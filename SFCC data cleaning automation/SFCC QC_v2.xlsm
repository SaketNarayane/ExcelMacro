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ma-my.sharepoint.com/personal/saket_narayane_puma_com/Documents/"/>
    </mc:Choice>
  </mc:AlternateContent>
  <xr:revisionPtr revIDLastSave="275" documentId="8_{3EF29053-D779-4974-8481-FB9427220125}" xr6:coauthVersionLast="47" xr6:coauthVersionMax="47" xr10:uidLastSave="{4985A7EE-07D0-4EF0-8F23-A9F6BF45F029}"/>
  <bookViews>
    <workbookView xWindow="-110" yWindow="-110" windowWidth="19420" windowHeight="11020" activeTab="3" xr2:uid="{00000000-000D-0000-FFFF-FFFF00000000}"/>
  </bookViews>
  <sheets>
    <sheet name="saket_raw_data" sheetId="1" r:id="rId1"/>
    <sheet name="Cleaned_SFCC" sheetId="7" r:id="rId2"/>
    <sheet name="Database" sheetId="4" r:id="rId3"/>
    <sheet name="SFCC+DB" sheetId="5" r:id="rId4"/>
    <sheet name="DB+SFCC" sheetId="8" r:id="rId5"/>
  </sheets>
  <definedNames>
    <definedName name="_xlnm._FilterDatabase" localSheetId="0" hidden="1">saket_raw_data!$A$1:$I$1665</definedName>
    <definedName name="_xlnm._FilterDatabase" localSheetId="3" hidden="1">'SFCC+DB'!$A$1:$N$1665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6" i="5" l="1"/>
  <c r="L396" i="5"/>
  <c r="M396" i="5" s="1"/>
  <c r="N396" i="5"/>
  <c r="K397" i="5"/>
  <c r="L397" i="5"/>
  <c r="M397" i="5" s="1"/>
  <c r="N397" i="5"/>
  <c r="K398" i="5"/>
  <c r="L398" i="5"/>
  <c r="M398" i="5" s="1"/>
  <c r="N398" i="5"/>
  <c r="K399" i="5"/>
  <c r="L399" i="5"/>
  <c r="M399" i="5" s="1"/>
  <c r="N399" i="5"/>
  <c r="K400" i="5"/>
  <c r="L400" i="5"/>
  <c r="M400" i="5" s="1"/>
  <c r="N400" i="5"/>
  <c r="K401" i="5"/>
  <c r="L401" i="5"/>
  <c r="M401" i="5" s="1"/>
  <c r="N401" i="5"/>
  <c r="K402" i="5"/>
  <c r="L402" i="5"/>
  <c r="M402" i="5" s="1"/>
  <c r="N402" i="5"/>
  <c r="K403" i="5"/>
  <c r="L403" i="5"/>
  <c r="M403" i="5" s="1"/>
  <c r="N403" i="5"/>
  <c r="K404" i="5"/>
  <c r="L404" i="5"/>
  <c r="M404" i="5" s="1"/>
  <c r="N404" i="5"/>
  <c r="K405" i="5"/>
  <c r="L405" i="5"/>
  <c r="M405" i="5" s="1"/>
  <c r="N405" i="5"/>
  <c r="K406" i="5"/>
  <c r="L406" i="5"/>
  <c r="M406" i="5" s="1"/>
  <c r="N406" i="5"/>
  <c r="K407" i="5"/>
  <c r="L407" i="5"/>
  <c r="M407" i="5" s="1"/>
  <c r="N407" i="5"/>
  <c r="K408" i="5"/>
  <c r="L408" i="5"/>
  <c r="M408" i="5" s="1"/>
  <c r="N408" i="5"/>
  <c r="K409" i="5"/>
  <c r="L409" i="5"/>
  <c r="M409" i="5" s="1"/>
  <c r="N409" i="5"/>
  <c r="K410" i="5"/>
  <c r="L410" i="5"/>
  <c r="M410" i="5" s="1"/>
  <c r="N410" i="5"/>
  <c r="K411" i="5"/>
  <c r="L411" i="5"/>
  <c r="M411" i="5" s="1"/>
  <c r="N411" i="5"/>
  <c r="K412" i="5"/>
  <c r="L412" i="5"/>
  <c r="M412" i="5" s="1"/>
  <c r="N412" i="5"/>
  <c r="K413" i="5"/>
  <c r="L413" i="5"/>
  <c r="M413" i="5" s="1"/>
  <c r="N413" i="5"/>
  <c r="K414" i="5"/>
  <c r="L414" i="5"/>
  <c r="M414" i="5" s="1"/>
  <c r="N414" i="5"/>
  <c r="K415" i="5"/>
  <c r="L415" i="5"/>
  <c r="M415" i="5" s="1"/>
  <c r="N415" i="5"/>
  <c r="K416" i="5"/>
  <c r="L416" i="5"/>
  <c r="M416" i="5" s="1"/>
  <c r="N416" i="5"/>
  <c r="K417" i="5"/>
  <c r="L417" i="5"/>
  <c r="M417" i="5" s="1"/>
  <c r="N417" i="5"/>
  <c r="K418" i="5"/>
  <c r="L418" i="5"/>
  <c r="M418" i="5" s="1"/>
  <c r="N418" i="5"/>
  <c r="K419" i="5"/>
  <c r="L419" i="5"/>
  <c r="M419" i="5" s="1"/>
  <c r="N419" i="5"/>
  <c r="K420" i="5"/>
  <c r="L420" i="5"/>
  <c r="M420" i="5" s="1"/>
  <c r="N420" i="5"/>
  <c r="K421" i="5"/>
  <c r="L421" i="5"/>
  <c r="M421" i="5" s="1"/>
  <c r="N421" i="5"/>
  <c r="K422" i="5"/>
  <c r="L422" i="5"/>
  <c r="M422" i="5" s="1"/>
  <c r="N422" i="5"/>
  <c r="K423" i="5"/>
  <c r="L423" i="5"/>
  <c r="M423" i="5" s="1"/>
  <c r="N423" i="5"/>
  <c r="K424" i="5"/>
  <c r="L424" i="5"/>
  <c r="M424" i="5" s="1"/>
  <c r="N424" i="5"/>
  <c r="K425" i="5"/>
  <c r="L425" i="5"/>
  <c r="M425" i="5" s="1"/>
  <c r="N425" i="5"/>
  <c r="K426" i="5"/>
  <c r="L426" i="5"/>
  <c r="M426" i="5" s="1"/>
  <c r="N426" i="5"/>
  <c r="K427" i="5"/>
  <c r="L427" i="5"/>
  <c r="M427" i="5" s="1"/>
  <c r="N427" i="5"/>
  <c r="K428" i="5"/>
  <c r="L428" i="5"/>
  <c r="M428" i="5" s="1"/>
  <c r="N428" i="5"/>
  <c r="K429" i="5"/>
  <c r="L429" i="5"/>
  <c r="M429" i="5" s="1"/>
  <c r="N429" i="5"/>
  <c r="K430" i="5"/>
  <c r="L430" i="5"/>
  <c r="M430" i="5" s="1"/>
  <c r="N430" i="5"/>
  <c r="K431" i="5"/>
  <c r="L431" i="5"/>
  <c r="M431" i="5" s="1"/>
  <c r="N431" i="5"/>
  <c r="K432" i="5"/>
  <c r="L432" i="5"/>
  <c r="M432" i="5" s="1"/>
  <c r="N432" i="5"/>
  <c r="K433" i="5"/>
  <c r="L433" i="5"/>
  <c r="M433" i="5" s="1"/>
  <c r="N433" i="5"/>
  <c r="K434" i="5"/>
  <c r="L434" i="5"/>
  <c r="M434" i="5" s="1"/>
  <c r="N434" i="5"/>
  <c r="K435" i="5"/>
  <c r="L435" i="5"/>
  <c r="M435" i="5" s="1"/>
  <c r="N435" i="5"/>
  <c r="K436" i="5"/>
  <c r="L436" i="5"/>
  <c r="M436" i="5" s="1"/>
  <c r="N436" i="5"/>
  <c r="K437" i="5"/>
  <c r="L437" i="5"/>
  <c r="M437" i="5" s="1"/>
  <c r="N437" i="5"/>
  <c r="K438" i="5"/>
  <c r="L438" i="5"/>
  <c r="M438" i="5" s="1"/>
  <c r="N438" i="5"/>
  <c r="K439" i="5"/>
  <c r="L439" i="5"/>
  <c r="M439" i="5" s="1"/>
  <c r="N439" i="5"/>
  <c r="K440" i="5"/>
  <c r="L440" i="5"/>
  <c r="M440" i="5" s="1"/>
  <c r="N440" i="5"/>
  <c r="K441" i="5"/>
  <c r="L441" i="5"/>
  <c r="M441" i="5" s="1"/>
  <c r="N441" i="5"/>
  <c r="K442" i="5"/>
  <c r="L442" i="5"/>
  <c r="M442" i="5" s="1"/>
  <c r="N442" i="5"/>
  <c r="K443" i="5"/>
  <c r="L443" i="5"/>
  <c r="M443" i="5" s="1"/>
  <c r="N443" i="5"/>
  <c r="K444" i="5"/>
  <c r="L444" i="5"/>
  <c r="M444" i="5" s="1"/>
  <c r="N444" i="5"/>
  <c r="K445" i="5"/>
  <c r="L445" i="5"/>
  <c r="M445" i="5" s="1"/>
  <c r="N445" i="5"/>
  <c r="K446" i="5"/>
  <c r="L446" i="5"/>
  <c r="M446" i="5" s="1"/>
  <c r="N446" i="5"/>
  <c r="K447" i="5"/>
  <c r="L447" i="5"/>
  <c r="M447" i="5" s="1"/>
  <c r="N447" i="5"/>
  <c r="K448" i="5"/>
  <c r="L448" i="5"/>
  <c r="M448" i="5" s="1"/>
  <c r="N448" i="5"/>
  <c r="K449" i="5"/>
  <c r="L449" i="5"/>
  <c r="M449" i="5" s="1"/>
  <c r="N449" i="5"/>
  <c r="K450" i="5"/>
  <c r="L450" i="5"/>
  <c r="M450" i="5" s="1"/>
  <c r="N450" i="5"/>
  <c r="K451" i="5"/>
  <c r="L451" i="5"/>
  <c r="M451" i="5" s="1"/>
  <c r="N451" i="5"/>
  <c r="K452" i="5"/>
  <c r="L452" i="5"/>
  <c r="M452" i="5" s="1"/>
  <c r="N452" i="5"/>
  <c r="K453" i="5"/>
  <c r="L453" i="5"/>
  <c r="M453" i="5" s="1"/>
  <c r="N453" i="5"/>
  <c r="K454" i="5"/>
  <c r="L454" i="5"/>
  <c r="M454" i="5" s="1"/>
  <c r="N454" i="5"/>
  <c r="K455" i="5"/>
  <c r="L455" i="5"/>
  <c r="M455" i="5" s="1"/>
  <c r="N455" i="5"/>
  <c r="K456" i="5"/>
  <c r="L456" i="5"/>
  <c r="M456" i="5" s="1"/>
  <c r="N456" i="5"/>
  <c r="K457" i="5"/>
  <c r="L457" i="5"/>
  <c r="M457" i="5" s="1"/>
  <c r="N457" i="5"/>
  <c r="K458" i="5"/>
  <c r="L458" i="5"/>
  <c r="M458" i="5" s="1"/>
  <c r="N458" i="5"/>
  <c r="K459" i="5"/>
  <c r="L459" i="5"/>
  <c r="M459" i="5" s="1"/>
  <c r="N459" i="5"/>
  <c r="K460" i="5"/>
  <c r="L460" i="5"/>
  <c r="M460" i="5" s="1"/>
  <c r="N460" i="5"/>
  <c r="K461" i="5"/>
  <c r="L461" i="5"/>
  <c r="M461" i="5" s="1"/>
  <c r="N461" i="5"/>
  <c r="K462" i="5"/>
  <c r="L462" i="5"/>
  <c r="M462" i="5" s="1"/>
  <c r="N462" i="5"/>
  <c r="K463" i="5"/>
  <c r="L463" i="5"/>
  <c r="M463" i="5" s="1"/>
  <c r="N463" i="5"/>
  <c r="K464" i="5"/>
  <c r="L464" i="5"/>
  <c r="M464" i="5" s="1"/>
  <c r="N464" i="5"/>
  <c r="K465" i="5"/>
  <c r="L465" i="5"/>
  <c r="M465" i="5" s="1"/>
  <c r="N465" i="5"/>
  <c r="K466" i="5"/>
  <c r="L466" i="5"/>
  <c r="M466" i="5" s="1"/>
  <c r="N466" i="5"/>
  <c r="K467" i="5"/>
  <c r="L467" i="5"/>
  <c r="M467" i="5" s="1"/>
  <c r="N467" i="5"/>
  <c r="K468" i="5"/>
  <c r="L468" i="5"/>
  <c r="M468" i="5" s="1"/>
  <c r="N468" i="5"/>
  <c r="K469" i="5"/>
  <c r="L469" i="5"/>
  <c r="M469" i="5" s="1"/>
  <c r="N469" i="5"/>
  <c r="K470" i="5"/>
  <c r="L470" i="5"/>
  <c r="M470" i="5" s="1"/>
  <c r="N470" i="5"/>
  <c r="K471" i="5"/>
  <c r="L471" i="5"/>
  <c r="M471" i="5" s="1"/>
  <c r="N471" i="5"/>
  <c r="K472" i="5"/>
  <c r="L472" i="5"/>
  <c r="M472" i="5" s="1"/>
  <c r="N472" i="5"/>
  <c r="K473" i="5"/>
  <c r="L473" i="5"/>
  <c r="M473" i="5" s="1"/>
  <c r="N473" i="5"/>
  <c r="K474" i="5"/>
  <c r="L474" i="5"/>
  <c r="M474" i="5" s="1"/>
  <c r="N474" i="5"/>
  <c r="K475" i="5"/>
  <c r="L475" i="5"/>
  <c r="M475" i="5" s="1"/>
  <c r="N475" i="5"/>
  <c r="K476" i="5"/>
  <c r="L476" i="5"/>
  <c r="M476" i="5" s="1"/>
  <c r="N476" i="5"/>
  <c r="K477" i="5"/>
  <c r="L477" i="5"/>
  <c r="M477" i="5" s="1"/>
  <c r="N477" i="5"/>
  <c r="K478" i="5"/>
  <c r="L478" i="5"/>
  <c r="M478" i="5" s="1"/>
  <c r="N478" i="5"/>
  <c r="K479" i="5"/>
  <c r="L479" i="5"/>
  <c r="M479" i="5" s="1"/>
  <c r="N479" i="5"/>
  <c r="K480" i="5"/>
  <c r="L480" i="5"/>
  <c r="M480" i="5" s="1"/>
  <c r="N480" i="5"/>
  <c r="K481" i="5"/>
  <c r="L481" i="5"/>
  <c r="M481" i="5" s="1"/>
  <c r="N481" i="5"/>
  <c r="K482" i="5"/>
  <c r="L482" i="5"/>
  <c r="M482" i="5" s="1"/>
  <c r="N482" i="5"/>
  <c r="K483" i="5"/>
  <c r="L483" i="5"/>
  <c r="M483" i="5" s="1"/>
  <c r="N483" i="5"/>
  <c r="K484" i="5"/>
  <c r="L484" i="5"/>
  <c r="M484" i="5" s="1"/>
  <c r="N484" i="5"/>
  <c r="K485" i="5"/>
  <c r="L485" i="5"/>
  <c r="M485" i="5" s="1"/>
  <c r="N485" i="5"/>
  <c r="K486" i="5"/>
  <c r="L486" i="5"/>
  <c r="M486" i="5" s="1"/>
  <c r="N486" i="5"/>
  <c r="K487" i="5"/>
  <c r="L487" i="5"/>
  <c r="M487" i="5" s="1"/>
  <c r="N487" i="5"/>
  <c r="K488" i="5"/>
  <c r="L488" i="5"/>
  <c r="M488" i="5" s="1"/>
  <c r="N488" i="5"/>
  <c r="K489" i="5"/>
  <c r="L489" i="5"/>
  <c r="M489" i="5" s="1"/>
  <c r="N489" i="5"/>
  <c r="K490" i="5"/>
  <c r="L490" i="5"/>
  <c r="M490" i="5" s="1"/>
  <c r="N490" i="5"/>
  <c r="K491" i="5"/>
  <c r="L491" i="5"/>
  <c r="M491" i="5" s="1"/>
  <c r="N491" i="5"/>
  <c r="K492" i="5"/>
  <c r="L492" i="5"/>
  <c r="M492" i="5" s="1"/>
  <c r="N492" i="5"/>
  <c r="K493" i="5"/>
  <c r="L493" i="5"/>
  <c r="M493" i="5" s="1"/>
  <c r="N493" i="5"/>
  <c r="K494" i="5"/>
  <c r="L494" i="5"/>
  <c r="M494" i="5" s="1"/>
  <c r="N494" i="5"/>
  <c r="K495" i="5"/>
  <c r="L495" i="5"/>
  <c r="M495" i="5" s="1"/>
  <c r="N495" i="5"/>
  <c r="K496" i="5"/>
  <c r="L496" i="5"/>
  <c r="M496" i="5" s="1"/>
  <c r="N496" i="5"/>
  <c r="K497" i="5"/>
  <c r="L497" i="5"/>
  <c r="M497" i="5" s="1"/>
  <c r="N497" i="5"/>
  <c r="K498" i="5"/>
  <c r="L498" i="5"/>
  <c r="M498" i="5" s="1"/>
  <c r="N498" i="5"/>
  <c r="K499" i="5"/>
  <c r="L499" i="5"/>
  <c r="M499" i="5" s="1"/>
  <c r="N499" i="5"/>
  <c r="K500" i="5"/>
  <c r="L500" i="5"/>
  <c r="M500" i="5" s="1"/>
  <c r="N500" i="5"/>
  <c r="K501" i="5"/>
  <c r="L501" i="5"/>
  <c r="M501" i="5" s="1"/>
  <c r="N501" i="5"/>
  <c r="K502" i="5"/>
  <c r="L502" i="5"/>
  <c r="M502" i="5" s="1"/>
  <c r="N502" i="5"/>
  <c r="K503" i="5"/>
  <c r="L503" i="5"/>
  <c r="M503" i="5" s="1"/>
  <c r="N503" i="5"/>
  <c r="K504" i="5"/>
  <c r="L504" i="5"/>
  <c r="M504" i="5" s="1"/>
  <c r="N504" i="5"/>
  <c r="K505" i="5"/>
  <c r="L505" i="5"/>
  <c r="M505" i="5" s="1"/>
  <c r="N505" i="5"/>
  <c r="K506" i="5"/>
  <c r="L506" i="5"/>
  <c r="M506" i="5" s="1"/>
  <c r="N506" i="5"/>
  <c r="K507" i="5"/>
  <c r="L507" i="5"/>
  <c r="M507" i="5" s="1"/>
  <c r="N507" i="5"/>
  <c r="K508" i="5"/>
  <c r="L508" i="5"/>
  <c r="M508" i="5" s="1"/>
  <c r="N508" i="5"/>
  <c r="K509" i="5"/>
  <c r="L509" i="5"/>
  <c r="M509" i="5" s="1"/>
  <c r="N509" i="5"/>
  <c r="K510" i="5"/>
  <c r="L510" i="5"/>
  <c r="M510" i="5" s="1"/>
  <c r="N510" i="5"/>
  <c r="K511" i="5"/>
  <c r="L511" i="5"/>
  <c r="M511" i="5" s="1"/>
  <c r="N511" i="5"/>
  <c r="K512" i="5"/>
  <c r="L512" i="5"/>
  <c r="M512" i="5" s="1"/>
  <c r="N512" i="5"/>
  <c r="K513" i="5"/>
  <c r="L513" i="5"/>
  <c r="M513" i="5" s="1"/>
  <c r="N513" i="5"/>
  <c r="K514" i="5"/>
  <c r="L514" i="5"/>
  <c r="M514" i="5" s="1"/>
  <c r="N514" i="5"/>
  <c r="K515" i="5"/>
  <c r="L515" i="5"/>
  <c r="M515" i="5" s="1"/>
  <c r="N515" i="5"/>
  <c r="K516" i="5"/>
  <c r="L516" i="5"/>
  <c r="M516" i="5" s="1"/>
  <c r="N516" i="5"/>
  <c r="K517" i="5"/>
  <c r="L517" i="5"/>
  <c r="M517" i="5" s="1"/>
  <c r="N517" i="5"/>
  <c r="K518" i="5"/>
  <c r="L518" i="5"/>
  <c r="M518" i="5" s="1"/>
  <c r="N518" i="5"/>
  <c r="K519" i="5"/>
  <c r="L519" i="5"/>
  <c r="M519" i="5" s="1"/>
  <c r="N519" i="5"/>
  <c r="K520" i="5"/>
  <c r="L520" i="5"/>
  <c r="M520" i="5" s="1"/>
  <c r="N520" i="5"/>
  <c r="K521" i="5"/>
  <c r="L521" i="5"/>
  <c r="M521" i="5" s="1"/>
  <c r="N521" i="5"/>
  <c r="K522" i="5"/>
  <c r="L522" i="5"/>
  <c r="M522" i="5" s="1"/>
  <c r="N522" i="5"/>
  <c r="K523" i="5"/>
  <c r="L523" i="5"/>
  <c r="M523" i="5" s="1"/>
  <c r="N523" i="5"/>
  <c r="K524" i="5"/>
  <c r="L524" i="5"/>
  <c r="M524" i="5" s="1"/>
  <c r="N524" i="5"/>
  <c r="K525" i="5"/>
  <c r="L525" i="5"/>
  <c r="M525" i="5" s="1"/>
  <c r="N525" i="5"/>
  <c r="K526" i="5"/>
  <c r="L526" i="5"/>
  <c r="M526" i="5" s="1"/>
  <c r="N526" i="5"/>
  <c r="K527" i="5"/>
  <c r="L527" i="5"/>
  <c r="M527" i="5" s="1"/>
  <c r="N527" i="5"/>
  <c r="K528" i="5"/>
  <c r="L528" i="5"/>
  <c r="M528" i="5" s="1"/>
  <c r="N528" i="5"/>
  <c r="K529" i="5"/>
  <c r="L529" i="5"/>
  <c r="M529" i="5" s="1"/>
  <c r="N529" i="5"/>
  <c r="K530" i="5"/>
  <c r="L530" i="5"/>
  <c r="M530" i="5" s="1"/>
  <c r="N530" i="5"/>
  <c r="K531" i="5"/>
  <c r="L531" i="5"/>
  <c r="M531" i="5" s="1"/>
  <c r="N531" i="5"/>
  <c r="K532" i="5"/>
  <c r="L532" i="5"/>
  <c r="M532" i="5" s="1"/>
  <c r="N532" i="5"/>
  <c r="K533" i="5"/>
  <c r="L533" i="5"/>
  <c r="M533" i="5" s="1"/>
  <c r="N533" i="5"/>
  <c r="K534" i="5"/>
  <c r="L534" i="5"/>
  <c r="M534" i="5" s="1"/>
  <c r="N534" i="5"/>
  <c r="K535" i="5"/>
  <c r="L535" i="5"/>
  <c r="M535" i="5" s="1"/>
  <c r="N535" i="5"/>
  <c r="K536" i="5"/>
  <c r="L536" i="5"/>
  <c r="M536" i="5" s="1"/>
  <c r="N536" i="5"/>
  <c r="K537" i="5"/>
  <c r="L537" i="5"/>
  <c r="M537" i="5" s="1"/>
  <c r="N537" i="5"/>
  <c r="K538" i="5"/>
  <c r="L538" i="5"/>
  <c r="M538" i="5" s="1"/>
  <c r="N538" i="5"/>
  <c r="K539" i="5"/>
  <c r="L539" i="5"/>
  <c r="M539" i="5" s="1"/>
  <c r="N539" i="5"/>
  <c r="K540" i="5"/>
  <c r="L540" i="5"/>
  <c r="M540" i="5" s="1"/>
  <c r="N540" i="5"/>
  <c r="K541" i="5"/>
  <c r="L541" i="5"/>
  <c r="M541" i="5" s="1"/>
  <c r="N541" i="5"/>
  <c r="K542" i="5"/>
  <c r="L542" i="5"/>
  <c r="M542" i="5" s="1"/>
  <c r="N542" i="5"/>
  <c r="K543" i="5"/>
  <c r="L543" i="5"/>
  <c r="M543" i="5" s="1"/>
  <c r="N543" i="5"/>
  <c r="K544" i="5"/>
  <c r="L544" i="5"/>
  <c r="M544" i="5" s="1"/>
  <c r="N544" i="5"/>
  <c r="K545" i="5"/>
  <c r="L545" i="5"/>
  <c r="M545" i="5" s="1"/>
  <c r="N545" i="5"/>
  <c r="K546" i="5"/>
  <c r="L546" i="5"/>
  <c r="M546" i="5" s="1"/>
  <c r="N546" i="5"/>
  <c r="K547" i="5"/>
  <c r="L547" i="5"/>
  <c r="M547" i="5" s="1"/>
  <c r="N547" i="5"/>
  <c r="K548" i="5"/>
  <c r="L548" i="5"/>
  <c r="M548" i="5" s="1"/>
  <c r="N548" i="5"/>
  <c r="K549" i="5"/>
  <c r="L549" i="5"/>
  <c r="M549" i="5" s="1"/>
  <c r="N549" i="5"/>
  <c r="K550" i="5"/>
  <c r="L550" i="5"/>
  <c r="M550" i="5" s="1"/>
  <c r="N550" i="5"/>
  <c r="K551" i="5"/>
  <c r="L551" i="5"/>
  <c r="M551" i="5" s="1"/>
  <c r="N551" i="5"/>
  <c r="K552" i="5"/>
  <c r="L552" i="5"/>
  <c r="M552" i="5" s="1"/>
  <c r="N552" i="5"/>
  <c r="K553" i="5"/>
  <c r="L553" i="5"/>
  <c r="M553" i="5" s="1"/>
  <c r="N553" i="5"/>
  <c r="K554" i="5"/>
  <c r="L554" i="5"/>
  <c r="M554" i="5" s="1"/>
  <c r="N554" i="5"/>
  <c r="K555" i="5"/>
  <c r="L555" i="5"/>
  <c r="M555" i="5" s="1"/>
  <c r="N555" i="5"/>
  <c r="K556" i="5"/>
  <c r="L556" i="5"/>
  <c r="M556" i="5" s="1"/>
  <c r="N556" i="5"/>
  <c r="K557" i="5"/>
  <c r="L557" i="5"/>
  <c r="M557" i="5" s="1"/>
  <c r="N557" i="5"/>
  <c r="K558" i="5"/>
  <c r="L558" i="5"/>
  <c r="M558" i="5" s="1"/>
  <c r="N558" i="5"/>
  <c r="K559" i="5"/>
  <c r="L559" i="5"/>
  <c r="M559" i="5" s="1"/>
  <c r="N559" i="5"/>
  <c r="K560" i="5"/>
  <c r="L560" i="5"/>
  <c r="M560" i="5" s="1"/>
  <c r="N560" i="5"/>
  <c r="K561" i="5"/>
  <c r="L561" i="5"/>
  <c r="M561" i="5" s="1"/>
  <c r="N561" i="5"/>
  <c r="K562" i="5"/>
  <c r="L562" i="5"/>
  <c r="M562" i="5" s="1"/>
  <c r="N562" i="5"/>
  <c r="K563" i="5"/>
  <c r="L563" i="5"/>
  <c r="M563" i="5" s="1"/>
  <c r="N563" i="5"/>
  <c r="K564" i="5"/>
  <c r="L564" i="5"/>
  <c r="M564" i="5" s="1"/>
  <c r="N564" i="5"/>
  <c r="K565" i="5"/>
  <c r="L565" i="5"/>
  <c r="M565" i="5" s="1"/>
  <c r="N565" i="5"/>
  <c r="K566" i="5"/>
  <c r="L566" i="5"/>
  <c r="M566" i="5" s="1"/>
  <c r="N566" i="5"/>
  <c r="K567" i="5"/>
  <c r="L567" i="5"/>
  <c r="M567" i="5" s="1"/>
  <c r="N567" i="5"/>
  <c r="K568" i="5"/>
  <c r="L568" i="5"/>
  <c r="M568" i="5" s="1"/>
  <c r="N568" i="5"/>
  <c r="K569" i="5"/>
  <c r="L569" i="5"/>
  <c r="M569" i="5" s="1"/>
  <c r="N569" i="5"/>
  <c r="K570" i="5"/>
  <c r="L570" i="5"/>
  <c r="M570" i="5" s="1"/>
  <c r="N570" i="5"/>
  <c r="K571" i="5"/>
  <c r="L571" i="5"/>
  <c r="M571" i="5" s="1"/>
  <c r="N571" i="5"/>
  <c r="K572" i="5"/>
  <c r="L572" i="5"/>
  <c r="M572" i="5" s="1"/>
  <c r="N572" i="5"/>
  <c r="K573" i="5"/>
  <c r="L573" i="5"/>
  <c r="M573" i="5" s="1"/>
  <c r="N573" i="5"/>
  <c r="K574" i="5"/>
  <c r="L574" i="5"/>
  <c r="M574" i="5" s="1"/>
  <c r="N574" i="5"/>
  <c r="K575" i="5"/>
  <c r="L575" i="5"/>
  <c r="M575" i="5" s="1"/>
  <c r="N575" i="5"/>
  <c r="K576" i="5"/>
  <c r="L576" i="5"/>
  <c r="M576" i="5" s="1"/>
  <c r="N576" i="5"/>
  <c r="K577" i="5"/>
  <c r="L577" i="5"/>
  <c r="M577" i="5" s="1"/>
  <c r="N577" i="5"/>
  <c r="K578" i="5"/>
  <c r="L578" i="5"/>
  <c r="M578" i="5" s="1"/>
  <c r="N578" i="5"/>
  <c r="K579" i="5"/>
  <c r="L579" i="5"/>
  <c r="M579" i="5" s="1"/>
  <c r="N579" i="5"/>
  <c r="K580" i="5"/>
  <c r="L580" i="5"/>
  <c r="M580" i="5" s="1"/>
  <c r="N580" i="5"/>
  <c r="K581" i="5"/>
  <c r="L581" i="5"/>
  <c r="M581" i="5" s="1"/>
  <c r="N581" i="5"/>
  <c r="K582" i="5"/>
  <c r="L582" i="5"/>
  <c r="M582" i="5" s="1"/>
  <c r="N582" i="5"/>
  <c r="K583" i="5"/>
  <c r="L583" i="5"/>
  <c r="M583" i="5" s="1"/>
  <c r="N583" i="5"/>
  <c r="K584" i="5"/>
  <c r="L584" i="5"/>
  <c r="M584" i="5" s="1"/>
  <c r="N584" i="5"/>
  <c r="K585" i="5"/>
  <c r="L585" i="5"/>
  <c r="M585" i="5" s="1"/>
  <c r="N585" i="5"/>
  <c r="K586" i="5"/>
  <c r="L586" i="5"/>
  <c r="M586" i="5" s="1"/>
  <c r="N586" i="5"/>
  <c r="K587" i="5"/>
  <c r="L587" i="5"/>
  <c r="M587" i="5" s="1"/>
  <c r="N587" i="5"/>
  <c r="K588" i="5"/>
  <c r="L588" i="5"/>
  <c r="M588" i="5" s="1"/>
  <c r="N588" i="5"/>
  <c r="K589" i="5"/>
  <c r="L589" i="5"/>
  <c r="M589" i="5" s="1"/>
  <c r="N589" i="5"/>
  <c r="K590" i="5"/>
  <c r="L590" i="5"/>
  <c r="M590" i="5" s="1"/>
  <c r="N590" i="5"/>
  <c r="K591" i="5"/>
  <c r="L591" i="5"/>
  <c r="M591" i="5" s="1"/>
  <c r="N591" i="5"/>
  <c r="K592" i="5"/>
  <c r="L592" i="5"/>
  <c r="M592" i="5" s="1"/>
  <c r="N592" i="5"/>
  <c r="K593" i="5"/>
  <c r="L593" i="5"/>
  <c r="M593" i="5" s="1"/>
  <c r="N593" i="5"/>
  <c r="K594" i="5"/>
  <c r="L594" i="5"/>
  <c r="M594" i="5" s="1"/>
  <c r="N594" i="5"/>
  <c r="K595" i="5"/>
  <c r="L595" i="5"/>
  <c r="M595" i="5" s="1"/>
  <c r="N595" i="5"/>
  <c r="K596" i="5"/>
  <c r="L596" i="5"/>
  <c r="M596" i="5" s="1"/>
  <c r="N596" i="5"/>
  <c r="K597" i="5"/>
  <c r="L597" i="5"/>
  <c r="M597" i="5" s="1"/>
  <c r="N597" i="5"/>
  <c r="K598" i="5"/>
  <c r="L598" i="5"/>
  <c r="M598" i="5" s="1"/>
  <c r="N598" i="5"/>
  <c r="K599" i="5"/>
  <c r="L599" i="5"/>
  <c r="M599" i="5" s="1"/>
  <c r="N599" i="5"/>
  <c r="K600" i="5"/>
  <c r="L600" i="5"/>
  <c r="M600" i="5" s="1"/>
  <c r="N600" i="5"/>
  <c r="K601" i="5"/>
  <c r="L601" i="5"/>
  <c r="M601" i="5" s="1"/>
  <c r="N601" i="5"/>
  <c r="K602" i="5"/>
  <c r="L602" i="5"/>
  <c r="M602" i="5" s="1"/>
  <c r="N602" i="5"/>
  <c r="K603" i="5"/>
  <c r="L603" i="5"/>
  <c r="M603" i="5" s="1"/>
  <c r="N603" i="5"/>
  <c r="K604" i="5"/>
  <c r="L604" i="5"/>
  <c r="M604" i="5" s="1"/>
  <c r="N604" i="5"/>
  <c r="K605" i="5"/>
  <c r="L605" i="5"/>
  <c r="M605" i="5" s="1"/>
  <c r="N605" i="5"/>
  <c r="K606" i="5"/>
  <c r="L606" i="5"/>
  <c r="M606" i="5" s="1"/>
  <c r="N606" i="5"/>
  <c r="K607" i="5"/>
  <c r="L607" i="5"/>
  <c r="M607" i="5" s="1"/>
  <c r="N607" i="5"/>
  <c r="K608" i="5"/>
  <c r="L608" i="5"/>
  <c r="M608" i="5" s="1"/>
  <c r="N608" i="5"/>
  <c r="K609" i="5"/>
  <c r="L609" i="5"/>
  <c r="M609" i="5" s="1"/>
  <c r="N609" i="5"/>
  <c r="K610" i="5"/>
  <c r="L610" i="5"/>
  <c r="M610" i="5" s="1"/>
  <c r="N610" i="5"/>
  <c r="K611" i="5"/>
  <c r="L611" i="5"/>
  <c r="M611" i="5" s="1"/>
  <c r="N611" i="5"/>
  <c r="K612" i="5"/>
  <c r="L612" i="5"/>
  <c r="M612" i="5" s="1"/>
  <c r="N612" i="5"/>
  <c r="K613" i="5"/>
  <c r="L613" i="5"/>
  <c r="M613" i="5" s="1"/>
  <c r="N613" i="5"/>
  <c r="K614" i="5"/>
  <c r="L614" i="5"/>
  <c r="M614" i="5" s="1"/>
  <c r="N614" i="5"/>
  <c r="K615" i="5"/>
  <c r="L615" i="5"/>
  <c r="M615" i="5" s="1"/>
  <c r="N615" i="5"/>
  <c r="K616" i="5"/>
  <c r="L616" i="5"/>
  <c r="M616" i="5" s="1"/>
  <c r="N616" i="5"/>
  <c r="K617" i="5"/>
  <c r="L617" i="5"/>
  <c r="M617" i="5" s="1"/>
  <c r="N617" i="5"/>
  <c r="K618" i="5"/>
  <c r="L618" i="5"/>
  <c r="M618" i="5" s="1"/>
  <c r="N618" i="5"/>
  <c r="K619" i="5"/>
  <c r="L619" i="5"/>
  <c r="M619" i="5" s="1"/>
  <c r="N619" i="5"/>
  <c r="K620" i="5"/>
  <c r="L620" i="5"/>
  <c r="M620" i="5" s="1"/>
  <c r="N620" i="5"/>
  <c r="K621" i="5"/>
  <c r="L621" i="5"/>
  <c r="M621" i="5" s="1"/>
  <c r="N621" i="5"/>
  <c r="K622" i="5"/>
  <c r="L622" i="5"/>
  <c r="M622" i="5" s="1"/>
  <c r="N622" i="5"/>
  <c r="K623" i="5"/>
  <c r="L623" i="5"/>
  <c r="M623" i="5" s="1"/>
  <c r="N623" i="5"/>
  <c r="K624" i="5"/>
  <c r="L624" i="5"/>
  <c r="M624" i="5" s="1"/>
  <c r="N624" i="5"/>
  <c r="K625" i="5"/>
  <c r="L625" i="5"/>
  <c r="M625" i="5" s="1"/>
  <c r="N625" i="5"/>
  <c r="K626" i="5"/>
  <c r="L626" i="5"/>
  <c r="M626" i="5" s="1"/>
  <c r="N626" i="5"/>
  <c r="K627" i="5"/>
  <c r="L627" i="5"/>
  <c r="M627" i="5" s="1"/>
  <c r="N627" i="5"/>
  <c r="K628" i="5"/>
  <c r="L628" i="5"/>
  <c r="M628" i="5" s="1"/>
  <c r="N628" i="5"/>
  <c r="K629" i="5"/>
  <c r="L629" i="5"/>
  <c r="M629" i="5" s="1"/>
  <c r="N629" i="5"/>
  <c r="K630" i="5"/>
  <c r="L630" i="5"/>
  <c r="M630" i="5" s="1"/>
  <c r="N630" i="5"/>
  <c r="K631" i="5"/>
  <c r="L631" i="5"/>
  <c r="M631" i="5" s="1"/>
  <c r="N631" i="5"/>
  <c r="K632" i="5"/>
  <c r="L632" i="5"/>
  <c r="M632" i="5" s="1"/>
  <c r="N632" i="5"/>
  <c r="K633" i="5"/>
  <c r="L633" i="5"/>
  <c r="M633" i="5" s="1"/>
  <c r="N633" i="5"/>
  <c r="K634" i="5"/>
  <c r="L634" i="5"/>
  <c r="M634" i="5" s="1"/>
  <c r="N634" i="5"/>
  <c r="K635" i="5"/>
  <c r="L635" i="5"/>
  <c r="M635" i="5" s="1"/>
  <c r="N635" i="5"/>
  <c r="K636" i="5"/>
  <c r="L636" i="5"/>
  <c r="M636" i="5" s="1"/>
  <c r="N636" i="5"/>
  <c r="K637" i="5"/>
  <c r="L637" i="5"/>
  <c r="M637" i="5" s="1"/>
  <c r="N637" i="5"/>
  <c r="K638" i="5"/>
  <c r="L638" i="5"/>
  <c r="M638" i="5" s="1"/>
  <c r="N638" i="5"/>
  <c r="K639" i="5"/>
  <c r="L639" i="5"/>
  <c r="M639" i="5" s="1"/>
  <c r="N639" i="5"/>
  <c r="K640" i="5"/>
  <c r="L640" i="5"/>
  <c r="M640" i="5" s="1"/>
  <c r="N640" i="5"/>
  <c r="K641" i="5"/>
  <c r="L641" i="5"/>
  <c r="M641" i="5" s="1"/>
  <c r="N641" i="5"/>
  <c r="K642" i="5"/>
  <c r="L642" i="5"/>
  <c r="M642" i="5" s="1"/>
  <c r="N642" i="5"/>
  <c r="K643" i="5"/>
  <c r="L643" i="5"/>
  <c r="M643" i="5" s="1"/>
  <c r="N643" i="5"/>
  <c r="K644" i="5"/>
  <c r="L644" i="5"/>
  <c r="M644" i="5" s="1"/>
  <c r="N644" i="5"/>
  <c r="K645" i="5"/>
  <c r="L645" i="5"/>
  <c r="M645" i="5" s="1"/>
  <c r="N645" i="5"/>
  <c r="K646" i="5"/>
  <c r="L646" i="5"/>
  <c r="M646" i="5" s="1"/>
  <c r="N646" i="5"/>
  <c r="K647" i="5"/>
  <c r="L647" i="5"/>
  <c r="M647" i="5" s="1"/>
  <c r="N647" i="5"/>
  <c r="K648" i="5"/>
  <c r="L648" i="5"/>
  <c r="M648" i="5" s="1"/>
  <c r="N648" i="5"/>
  <c r="K649" i="5"/>
  <c r="L649" i="5"/>
  <c r="M649" i="5" s="1"/>
  <c r="N649" i="5"/>
  <c r="K650" i="5"/>
  <c r="L650" i="5"/>
  <c r="M650" i="5" s="1"/>
  <c r="N650" i="5"/>
  <c r="K651" i="5"/>
  <c r="L651" i="5"/>
  <c r="M651" i="5" s="1"/>
  <c r="N651" i="5"/>
  <c r="K652" i="5"/>
  <c r="L652" i="5"/>
  <c r="M652" i="5" s="1"/>
  <c r="N652" i="5"/>
  <c r="K653" i="5"/>
  <c r="L653" i="5"/>
  <c r="M653" i="5" s="1"/>
  <c r="N653" i="5"/>
  <c r="K654" i="5"/>
  <c r="L654" i="5"/>
  <c r="M654" i="5" s="1"/>
  <c r="N654" i="5"/>
  <c r="K655" i="5"/>
  <c r="L655" i="5"/>
  <c r="M655" i="5" s="1"/>
  <c r="N655" i="5"/>
  <c r="K656" i="5"/>
  <c r="L656" i="5"/>
  <c r="M656" i="5" s="1"/>
  <c r="N656" i="5"/>
  <c r="K657" i="5"/>
  <c r="L657" i="5"/>
  <c r="M657" i="5" s="1"/>
  <c r="N657" i="5"/>
  <c r="K658" i="5"/>
  <c r="L658" i="5"/>
  <c r="M658" i="5" s="1"/>
  <c r="N658" i="5"/>
  <c r="K659" i="5"/>
  <c r="L659" i="5"/>
  <c r="M659" i="5" s="1"/>
  <c r="N659" i="5"/>
  <c r="K660" i="5"/>
  <c r="L660" i="5"/>
  <c r="M660" i="5" s="1"/>
  <c r="N660" i="5"/>
  <c r="K661" i="5"/>
  <c r="L661" i="5"/>
  <c r="M661" i="5" s="1"/>
  <c r="N661" i="5"/>
  <c r="K662" i="5"/>
  <c r="L662" i="5"/>
  <c r="M662" i="5" s="1"/>
  <c r="N662" i="5"/>
  <c r="K663" i="5"/>
  <c r="L663" i="5"/>
  <c r="M663" i="5" s="1"/>
  <c r="N663" i="5"/>
  <c r="K664" i="5"/>
  <c r="L664" i="5"/>
  <c r="M664" i="5" s="1"/>
  <c r="N664" i="5"/>
  <c r="K665" i="5"/>
  <c r="L665" i="5"/>
  <c r="M665" i="5" s="1"/>
  <c r="N665" i="5"/>
  <c r="K666" i="5"/>
  <c r="L666" i="5"/>
  <c r="M666" i="5" s="1"/>
  <c r="N666" i="5"/>
  <c r="K667" i="5"/>
  <c r="L667" i="5"/>
  <c r="M667" i="5" s="1"/>
  <c r="N667" i="5"/>
  <c r="K668" i="5"/>
  <c r="L668" i="5"/>
  <c r="M668" i="5" s="1"/>
  <c r="N668" i="5"/>
  <c r="K669" i="5"/>
  <c r="L669" i="5"/>
  <c r="M669" i="5" s="1"/>
  <c r="N669" i="5"/>
  <c r="K670" i="5"/>
  <c r="L670" i="5"/>
  <c r="M670" i="5" s="1"/>
  <c r="N670" i="5"/>
  <c r="K671" i="5"/>
  <c r="L671" i="5"/>
  <c r="M671" i="5" s="1"/>
  <c r="N671" i="5"/>
  <c r="K672" i="5"/>
  <c r="L672" i="5"/>
  <c r="M672" i="5" s="1"/>
  <c r="N672" i="5"/>
  <c r="K673" i="5"/>
  <c r="L673" i="5"/>
  <c r="M673" i="5" s="1"/>
  <c r="N673" i="5"/>
  <c r="K674" i="5"/>
  <c r="L674" i="5"/>
  <c r="M674" i="5" s="1"/>
  <c r="N674" i="5"/>
  <c r="K675" i="5"/>
  <c r="L675" i="5"/>
  <c r="M675" i="5" s="1"/>
  <c r="N675" i="5"/>
  <c r="K676" i="5"/>
  <c r="L676" i="5"/>
  <c r="M676" i="5" s="1"/>
  <c r="N676" i="5"/>
  <c r="K677" i="5"/>
  <c r="L677" i="5"/>
  <c r="M677" i="5" s="1"/>
  <c r="N677" i="5"/>
  <c r="K678" i="5"/>
  <c r="L678" i="5"/>
  <c r="M678" i="5" s="1"/>
  <c r="N678" i="5"/>
  <c r="K679" i="5"/>
  <c r="L679" i="5"/>
  <c r="M679" i="5" s="1"/>
  <c r="N679" i="5"/>
  <c r="K680" i="5"/>
  <c r="L680" i="5"/>
  <c r="M680" i="5" s="1"/>
  <c r="N680" i="5"/>
  <c r="K681" i="5"/>
  <c r="L681" i="5"/>
  <c r="M681" i="5" s="1"/>
  <c r="N681" i="5"/>
  <c r="K682" i="5"/>
  <c r="L682" i="5"/>
  <c r="M682" i="5" s="1"/>
  <c r="N682" i="5"/>
  <c r="K683" i="5"/>
  <c r="L683" i="5"/>
  <c r="M683" i="5" s="1"/>
  <c r="N683" i="5"/>
  <c r="K684" i="5"/>
  <c r="L684" i="5"/>
  <c r="M684" i="5" s="1"/>
  <c r="N684" i="5"/>
  <c r="K685" i="5"/>
  <c r="L685" i="5"/>
  <c r="M685" i="5" s="1"/>
  <c r="N685" i="5"/>
  <c r="K686" i="5"/>
  <c r="L686" i="5"/>
  <c r="M686" i="5" s="1"/>
  <c r="N686" i="5"/>
  <c r="K687" i="5"/>
  <c r="L687" i="5"/>
  <c r="M687" i="5" s="1"/>
  <c r="N687" i="5"/>
  <c r="K688" i="5"/>
  <c r="L688" i="5"/>
  <c r="M688" i="5" s="1"/>
  <c r="N688" i="5"/>
  <c r="K689" i="5"/>
  <c r="L689" i="5"/>
  <c r="M689" i="5" s="1"/>
  <c r="N689" i="5"/>
  <c r="K690" i="5"/>
  <c r="L690" i="5"/>
  <c r="M690" i="5" s="1"/>
  <c r="N690" i="5"/>
  <c r="K691" i="5"/>
  <c r="L691" i="5"/>
  <c r="M691" i="5" s="1"/>
  <c r="N691" i="5"/>
  <c r="K692" i="5"/>
  <c r="L692" i="5"/>
  <c r="M692" i="5" s="1"/>
  <c r="N692" i="5"/>
  <c r="K693" i="5"/>
  <c r="L693" i="5"/>
  <c r="M693" i="5" s="1"/>
  <c r="N693" i="5"/>
  <c r="K694" i="5"/>
  <c r="L694" i="5"/>
  <c r="M694" i="5" s="1"/>
  <c r="N694" i="5"/>
  <c r="K695" i="5"/>
  <c r="L695" i="5"/>
  <c r="M695" i="5" s="1"/>
  <c r="N695" i="5"/>
  <c r="K696" i="5"/>
  <c r="L696" i="5"/>
  <c r="M696" i="5" s="1"/>
  <c r="N696" i="5"/>
  <c r="K697" i="5"/>
  <c r="L697" i="5"/>
  <c r="M697" i="5" s="1"/>
  <c r="N697" i="5"/>
  <c r="K698" i="5"/>
  <c r="L698" i="5"/>
  <c r="M698" i="5" s="1"/>
  <c r="N698" i="5"/>
  <c r="K699" i="5"/>
  <c r="L699" i="5"/>
  <c r="M699" i="5" s="1"/>
  <c r="N699" i="5"/>
  <c r="K700" i="5"/>
  <c r="L700" i="5"/>
  <c r="M700" i="5" s="1"/>
  <c r="N700" i="5"/>
  <c r="K701" i="5"/>
  <c r="L701" i="5"/>
  <c r="M701" i="5" s="1"/>
  <c r="N701" i="5"/>
  <c r="K702" i="5"/>
  <c r="L702" i="5"/>
  <c r="M702" i="5" s="1"/>
  <c r="N702" i="5"/>
  <c r="K703" i="5"/>
  <c r="L703" i="5"/>
  <c r="M703" i="5" s="1"/>
  <c r="N703" i="5"/>
  <c r="K704" i="5"/>
  <c r="L704" i="5"/>
  <c r="M704" i="5" s="1"/>
  <c r="N704" i="5"/>
  <c r="K705" i="5"/>
  <c r="L705" i="5"/>
  <c r="M705" i="5" s="1"/>
  <c r="N705" i="5"/>
  <c r="K706" i="5"/>
  <c r="L706" i="5"/>
  <c r="M706" i="5" s="1"/>
  <c r="N706" i="5"/>
  <c r="K707" i="5"/>
  <c r="L707" i="5"/>
  <c r="M707" i="5" s="1"/>
  <c r="N707" i="5"/>
  <c r="K708" i="5"/>
  <c r="L708" i="5"/>
  <c r="M708" i="5" s="1"/>
  <c r="N708" i="5"/>
  <c r="K709" i="5"/>
  <c r="L709" i="5"/>
  <c r="M709" i="5" s="1"/>
  <c r="N709" i="5"/>
  <c r="K710" i="5"/>
  <c r="L710" i="5"/>
  <c r="M710" i="5" s="1"/>
  <c r="N710" i="5"/>
  <c r="K711" i="5"/>
  <c r="L711" i="5"/>
  <c r="M711" i="5" s="1"/>
  <c r="N711" i="5"/>
  <c r="K712" i="5"/>
  <c r="L712" i="5"/>
  <c r="M712" i="5" s="1"/>
  <c r="N712" i="5"/>
  <c r="K713" i="5"/>
  <c r="L713" i="5"/>
  <c r="M713" i="5" s="1"/>
  <c r="N713" i="5"/>
  <c r="K714" i="5"/>
  <c r="L714" i="5"/>
  <c r="M714" i="5" s="1"/>
  <c r="N714" i="5"/>
  <c r="K715" i="5"/>
  <c r="L715" i="5"/>
  <c r="M715" i="5" s="1"/>
  <c r="N715" i="5"/>
  <c r="K716" i="5"/>
  <c r="L716" i="5"/>
  <c r="M716" i="5" s="1"/>
  <c r="N716" i="5"/>
  <c r="K717" i="5"/>
  <c r="L717" i="5"/>
  <c r="M717" i="5" s="1"/>
  <c r="N717" i="5"/>
  <c r="K718" i="5"/>
  <c r="L718" i="5"/>
  <c r="M718" i="5" s="1"/>
  <c r="N718" i="5"/>
  <c r="K719" i="5"/>
  <c r="L719" i="5"/>
  <c r="M719" i="5" s="1"/>
  <c r="N719" i="5"/>
  <c r="K720" i="5"/>
  <c r="L720" i="5"/>
  <c r="M720" i="5" s="1"/>
  <c r="N720" i="5"/>
  <c r="K721" i="5"/>
  <c r="L721" i="5"/>
  <c r="M721" i="5" s="1"/>
  <c r="N721" i="5"/>
  <c r="K722" i="5"/>
  <c r="L722" i="5"/>
  <c r="M722" i="5" s="1"/>
  <c r="N722" i="5"/>
  <c r="K723" i="5"/>
  <c r="L723" i="5"/>
  <c r="M723" i="5" s="1"/>
  <c r="N723" i="5"/>
  <c r="K724" i="5"/>
  <c r="L724" i="5"/>
  <c r="M724" i="5" s="1"/>
  <c r="N724" i="5"/>
  <c r="K725" i="5"/>
  <c r="L725" i="5"/>
  <c r="M725" i="5" s="1"/>
  <c r="N725" i="5"/>
  <c r="K726" i="5"/>
  <c r="L726" i="5"/>
  <c r="M726" i="5" s="1"/>
  <c r="N726" i="5"/>
  <c r="K727" i="5"/>
  <c r="L727" i="5"/>
  <c r="M727" i="5" s="1"/>
  <c r="N727" i="5"/>
  <c r="K728" i="5"/>
  <c r="L728" i="5"/>
  <c r="M728" i="5" s="1"/>
  <c r="N728" i="5"/>
  <c r="K729" i="5"/>
  <c r="L729" i="5"/>
  <c r="M729" i="5" s="1"/>
  <c r="N729" i="5"/>
  <c r="K730" i="5"/>
  <c r="L730" i="5"/>
  <c r="M730" i="5" s="1"/>
  <c r="N730" i="5"/>
  <c r="K731" i="5"/>
  <c r="L731" i="5"/>
  <c r="M731" i="5" s="1"/>
  <c r="N731" i="5"/>
  <c r="K732" i="5"/>
  <c r="L732" i="5"/>
  <c r="M732" i="5" s="1"/>
  <c r="N732" i="5"/>
  <c r="K733" i="5"/>
  <c r="L733" i="5"/>
  <c r="M733" i="5" s="1"/>
  <c r="N733" i="5"/>
  <c r="K734" i="5"/>
  <c r="L734" i="5"/>
  <c r="M734" i="5" s="1"/>
  <c r="N734" i="5"/>
  <c r="K735" i="5"/>
  <c r="L735" i="5"/>
  <c r="M735" i="5" s="1"/>
  <c r="N735" i="5"/>
  <c r="K736" i="5"/>
  <c r="L736" i="5"/>
  <c r="M736" i="5" s="1"/>
  <c r="N736" i="5"/>
  <c r="K737" i="5"/>
  <c r="L737" i="5"/>
  <c r="M737" i="5" s="1"/>
  <c r="N737" i="5"/>
  <c r="K738" i="5"/>
  <c r="L738" i="5"/>
  <c r="M738" i="5" s="1"/>
  <c r="N738" i="5"/>
  <c r="K739" i="5"/>
  <c r="L739" i="5"/>
  <c r="M739" i="5" s="1"/>
  <c r="N739" i="5"/>
  <c r="K740" i="5"/>
  <c r="L740" i="5"/>
  <c r="M740" i="5" s="1"/>
  <c r="N740" i="5"/>
  <c r="K741" i="5"/>
  <c r="L741" i="5"/>
  <c r="M741" i="5" s="1"/>
  <c r="N741" i="5"/>
  <c r="K742" i="5"/>
  <c r="L742" i="5"/>
  <c r="M742" i="5" s="1"/>
  <c r="N742" i="5"/>
  <c r="K743" i="5"/>
  <c r="L743" i="5"/>
  <c r="M743" i="5" s="1"/>
  <c r="N743" i="5"/>
  <c r="K744" i="5"/>
  <c r="L744" i="5"/>
  <c r="M744" i="5" s="1"/>
  <c r="N744" i="5"/>
  <c r="K745" i="5"/>
  <c r="L745" i="5"/>
  <c r="M745" i="5" s="1"/>
  <c r="N745" i="5"/>
  <c r="K746" i="5"/>
  <c r="L746" i="5"/>
  <c r="M746" i="5" s="1"/>
  <c r="N746" i="5"/>
  <c r="K747" i="5"/>
  <c r="L747" i="5"/>
  <c r="M747" i="5" s="1"/>
  <c r="N747" i="5"/>
  <c r="K748" i="5"/>
  <c r="L748" i="5"/>
  <c r="M748" i="5" s="1"/>
  <c r="N748" i="5"/>
  <c r="K749" i="5"/>
  <c r="L749" i="5"/>
  <c r="M749" i="5" s="1"/>
  <c r="N749" i="5"/>
  <c r="K750" i="5"/>
  <c r="L750" i="5"/>
  <c r="M750" i="5" s="1"/>
  <c r="N750" i="5"/>
  <c r="K751" i="5"/>
  <c r="L751" i="5"/>
  <c r="M751" i="5" s="1"/>
  <c r="N751" i="5"/>
  <c r="K752" i="5"/>
  <c r="L752" i="5"/>
  <c r="M752" i="5" s="1"/>
  <c r="N752" i="5"/>
  <c r="K753" i="5"/>
  <c r="L753" i="5"/>
  <c r="M753" i="5" s="1"/>
  <c r="N753" i="5"/>
  <c r="K754" i="5"/>
  <c r="L754" i="5"/>
  <c r="M754" i="5" s="1"/>
  <c r="N754" i="5"/>
  <c r="K755" i="5"/>
  <c r="L755" i="5"/>
  <c r="M755" i="5" s="1"/>
  <c r="N755" i="5"/>
  <c r="K756" i="5"/>
  <c r="L756" i="5"/>
  <c r="M756" i="5" s="1"/>
  <c r="N756" i="5"/>
  <c r="K757" i="5"/>
  <c r="L757" i="5"/>
  <c r="M757" i="5" s="1"/>
  <c r="N757" i="5"/>
  <c r="K758" i="5"/>
  <c r="L758" i="5"/>
  <c r="M758" i="5" s="1"/>
  <c r="N758" i="5"/>
  <c r="K759" i="5"/>
  <c r="L759" i="5"/>
  <c r="M759" i="5" s="1"/>
  <c r="N759" i="5"/>
  <c r="K760" i="5"/>
  <c r="L760" i="5"/>
  <c r="M760" i="5" s="1"/>
  <c r="N760" i="5"/>
  <c r="K761" i="5"/>
  <c r="L761" i="5"/>
  <c r="M761" i="5" s="1"/>
  <c r="N761" i="5"/>
  <c r="K762" i="5"/>
  <c r="L762" i="5"/>
  <c r="M762" i="5" s="1"/>
  <c r="N762" i="5"/>
  <c r="K763" i="5"/>
  <c r="L763" i="5"/>
  <c r="M763" i="5" s="1"/>
  <c r="N763" i="5"/>
  <c r="K764" i="5"/>
  <c r="L764" i="5"/>
  <c r="M764" i="5" s="1"/>
  <c r="N764" i="5"/>
  <c r="K765" i="5"/>
  <c r="L765" i="5"/>
  <c r="M765" i="5" s="1"/>
  <c r="N765" i="5"/>
  <c r="K766" i="5"/>
  <c r="L766" i="5"/>
  <c r="M766" i="5" s="1"/>
  <c r="N766" i="5"/>
  <c r="K767" i="5"/>
  <c r="L767" i="5"/>
  <c r="M767" i="5" s="1"/>
  <c r="N767" i="5"/>
  <c r="K768" i="5"/>
  <c r="L768" i="5"/>
  <c r="M768" i="5" s="1"/>
  <c r="N768" i="5"/>
  <c r="K769" i="5"/>
  <c r="L769" i="5"/>
  <c r="M769" i="5" s="1"/>
  <c r="N769" i="5"/>
  <c r="K770" i="5"/>
  <c r="L770" i="5"/>
  <c r="M770" i="5" s="1"/>
  <c r="N770" i="5"/>
  <c r="K771" i="5"/>
  <c r="L771" i="5"/>
  <c r="M771" i="5" s="1"/>
  <c r="N771" i="5"/>
  <c r="K772" i="5"/>
  <c r="L772" i="5"/>
  <c r="M772" i="5" s="1"/>
  <c r="N772" i="5"/>
  <c r="K773" i="5"/>
  <c r="L773" i="5"/>
  <c r="M773" i="5" s="1"/>
  <c r="N773" i="5"/>
  <c r="K774" i="5"/>
  <c r="L774" i="5"/>
  <c r="M774" i="5" s="1"/>
  <c r="N774" i="5"/>
  <c r="K775" i="5"/>
  <c r="L775" i="5"/>
  <c r="M775" i="5" s="1"/>
  <c r="N775" i="5"/>
  <c r="K776" i="5"/>
  <c r="L776" i="5"/>
  <c r="M776" i="5" s="1"/>
  <c r="N776" i="5"/>
  <c r="K777" i="5"/>
  <c r="L777" i="5"/>
  <c r="M777" i="5" s="1"/>
  <c r="N777" i="5"/>
  <c r="K778" i="5"/>
  <c r="L778" i="5"/>
  <c r="M778" i="5" s="1"/>
  <c r="N778" i="5"/>
  <c r="K779" i="5"/>
  <c r="L779" i="5"/>
  <c r="M779" i="5" s="1"/>
  <c r="N779" i="5"/>
  <c r="K780" i="5"/>
  <c r="L780" i="5"/>
  <c r="M780" i="5" s="1"/>
  <c r="N780" i="5"/>
  <c r="K781" i="5"/>
  <c r="L781" i="5"/>
  <c r="M781" i="5" s="1"/>
  <c r="N781" i="5"/>
  <c r="K782" i="5"/>
  <c r="L782" i="5"/>
  <c r="M782" i="5" s="1"/>
  <c r="N782" i="5"/>
  <c r="K783" i="5"/>
  <c r="L783" i="5"/>
  <c r="M783" i="5" s="1"/>
  <c r="N783" i="5"/>
  <c r="K784" i="5"/>
  <c r="L784" i="5"/>
  <c r="M784" i="5" s="1"/>
  <c r="N784" i="5"/>
  <c r="K785" i="5"/>
  <c r="L785" i="5"/>
  <c r="M785" i="5" s="1"/>
  <c r="N785" i="5"/>
  <c r="K786" i="5"/>
  <c r="L786" i="5"/>
  <c r="M786" i="5" s="1"/>
  <c r="N786" i="5"/>
  <c r="K787" i="5"/>
  <c r="L787" i="5"/>
  <c r="M787" i="5" s="1"/>
  <c r="N787" i="5"/>
  <c r="K788" i="5"/>
  <c r="L788" i="5"/>
  <c r="M788" i="5" s="1"/>
  <c r="N788" i="5"/>
  <c r="K789" i="5"/>
  <c r="L789" i="5"/>
  <c r="M789" i="5" s="1"/>
  <c r="N789" i="5"/>
  <c r="K790" i="5"/>
  <c r="L790" i="5"/>
  <c r="M790" i="5" s="1"/>
  <c r="N790" i="5"/>
  <c r="K791" i="5"/>
  <c r="L791" i="5"/>
  <c r="M791" i="5" s="1"/>
  <c r="N791" i="5"/>
  <c r="K792" i="5"/>
  <c r="L792" i="5"/>
  <c r="M792" i="5" s="1"/>
  <c r="N792" i="5"/>
  <c r="K793" i="5"/>
  <c r="L793" i="5"/>
  <c r="M793" i="5" s="1"/>
  <c r="N793" i="5"/>
  <c r="K794" i="5"/>
  <c r="L794" i="5"/>
  <c r="M794" i="5" s="1"/>
  <c r="N794" i="5"/>
  <c r="K795" i="5"/>
  <c r="L795" i="5"/>
  <c r="M795" i="5" s="1"/>
  <c r="N795" i="5"/>
  <c r="K796" i="5"/>
  <c r="L796" i="5"/>
  <c r="M796" i="5" s="1"/>
  <c r="N796" i="5"/>
  <c r="K797" i="5"/>
  <c r="L797" i="5"/>
  <c r="M797" i="5" s="1"/>
  <c r="N797" i="5"/>
  <c r="K798" i="5"/>
  <c r="L798" i="5"/>
  <c r="M798" i="5" s="1"/>
  <c r="N798" i="5"/>
  <c r="K799" i="5"/>
  <c r="L799" i="5"/>
  <c r="M799" i="5" s="1"/>
  <c r="N799" i="5"/>
  <c r="K800" i="5"/>
  <c r="L800" i="5"/>
  <c r="M800" i="5" s="1"/>
  <c r="N800" i="5"/>
  <c r="K801" i="5"/>
  <c r="L801" i="5"/>
  <c r="M801" i="5" s="1"/>
  <c r="N801" i="5"/>
  <c r="K802" i="5"/>
  <c r="L802" i="5"/>
  <c r="M802" i="5" s="1"/>
  <c r="N802" i="5"/>
  <c r="K803" i="5"/>
  <c r="L803" i="5"/>
  <c r="M803" i="5" s="1"/>
  <c r="N803" i="5"/>
  <c r="K804" i="5"/>
  <c r="L804" i="5"/>
  <c r="M804" i="5" s="1"/>
  <c r="N804" i="5"/>
  <c r="K805" i="5"/>
  <c r="L805" i="5"/>
  <c r="M805" i="5" s="1"/>
  <c r="N805" i="5"/>
  <c r="K806" i="5"/>
  <c r="L806" i="5"/>
  <c r="M806" i="5" s="1"/>
  <c r="N806" i="5"/>
  <c r="K807" i="5"/>
  <c r="L807" i="5"/>
  <c r="M807" i="5" s="1"/>
  <c r="N807" i="5"/>
  <c r="K808" i="5"/>
  <c r="L808" i="5"/>
  <c r="M808" i="5" s="1"/>
  <c r="N808" i="5"/>
  <c r="K809" i="5"/>
  <c r="L809" i="5"/>
  <c r="M809" i="5" s="1"/>
  <c r="N809" i="5"/>
  <c r="K810" i="5"/>
  <c r="L810" i="5"/>
  <c r="M810" i="5" s="1"/>
  <c r="N810" i="5"/>
  <c r="K811" i="5"/>
  <c r="L811" i="5"/>
  <c r="M811" i="5" s="1"/>
  <c r="N811" i="5"/>
  <c r="K812" i="5"/>
  <c r="L812" i="5"/>
  <c r="M812" i="5" s="1"/>
  <c r="N812" i="5"/>
  <c r="K813" i="5"/>
  <c r="L813" i="5"/>
  <c r="M813" i="5" s="1"/>
  <c r="N813" i="5"/>
  <c r="K814" i="5"/>
  <c r="L814" i="5"/>
  <c r="M814" i="5" s="1"/>
  <c r="N814" i="5"/>
  <c r="K815" i="5"/>
  <c r="L815" i="5"/>
  <c r="M815" i="5" s="1"/>
  <c r="N815" i="5"/>
  <c r="K816" i="5"/>
  <c r="L816" i="5"/>
  <c r="M816" i="5" s="1"/>
  <c r="N816" i="5"/>
  <c r="K817" i="5"/>
  <c r="L817" i="5"/>
  <c r="M817" i="5" s="1"/>
  <c r="N817" i="5"/>
  <c r="K818" i="5"/>
  <c r="L818" i="5"/>
  <c r="M818" i="5" s="1"/>
  <c r="N818" i="5"/>
  <c r="K819" i="5"/>
  <c r="L819" i="5"/>
  <c r="M819" i="5" s="1"/>
  <c r="N819" i="5"/>
  <c r="K820" i="5"/>
  <c r="L820" i="5"/>
  <c r="M820" i="5" s="1"/>
  <c r="N820" i="5"/>
  <c r="K821" i="5"/>
  <c r="L821" i="5"/>
  <c r="M821" i="5" s="1"/>
  <c r="N821" i="5"/>
  <c r="K822" i="5"/>
  <c r="L822" i="5"/>
  <c r="M822" i="5" s="1"/>
  <c r="N822" i="5"/>
  <c r="K823" i="5"/>
  <c r="L823" i="5"/>
  <c r="M823" i="5" s="1"/>
  <c r="N823" i="5"/>
  <c r="K824" i="5"/>
  <c r="L824" i="5"/>
  <c r="M824" i="5" s="1"/>
  <c r="N824" i="5"/>
  <c r="K825" i="5"/>
  <c r="L825" i="5"/>
  <c r="M825" i="5" s="1"/>
  <c r="N825" i="5"/>
  <c r="K826" i="5"/>
  <c r="L826" i="5"/>
  <c r="M826" i="5" s="1"/>
  <c r="N826" i="5"/>
  <c r="K827" i="5"/>
  <c r="L827" i="5"/>
  <c r="M827" i="5" s="1"/>
  <c r="N827" i="5"/>
  <c r="K828" i="5"/>
  <c r="L828" i="5"/>
  <c r="M828" i="5" s="1"/>
  <c r="N828" i="5"/>
  <c r="K829" i="5"/>
  <c r="L829" i="5"/>
  <c r="M829" i="5" s="1"/>
  <c r="N829" i="5"/>
  <c r="K830" i="5"/>
  <c r="L830" i="5"/>
  <c r="M830" i="5" s="1"/>
  <c r="N830" i="5"/>
  <c r="K831" i="5"/>
  <c r="L831" i="5"/>
  <c r="M831" i="5" s="1"/>
  <c r="N831" i="5"/>
  <c r="K832" i="5"/>
  <c r="L832" i="5"/>
  <c r="M832" i="5" s="1"/>
  <c r="N832" i="5"/>
  <c r="K833" i="5"/>
  <c r="L833" i="5"/>
  <c r="M833" i="5" s="1"/>
  <c r="N833" i="5"/>
  <c r="K834" i="5"/>
  <c r="L834" i="5"/>
  <c r="M834" i="5" s="1"/>
  <c r="N834" i="5"/>
  <c r="K835" i="5"/>
  <c r="L835" i="5"/>
  <c r="M835" i="5" s="1"/>
  <c r="N835" i="5"/>
  <c r="K836" i="5"/>
  <c r="L836" i="5"/>
  <c r="M836" i="5" s="1"/>
  <c r="N836" i="5"/>
  <c r="K837" i="5"/>
  <c r="L837" i="5"/>
  <c r="M837" i="5" s="1"/>
  <c r="N837" i="5"/>
  <c r="K838" i="5"/>
  <c r="L838" i="5"/>
  <c r="M838" i="5" s="1"/>
  <c r="N838" i="5"/>
  <c r="K839" i="5"/>
  <c r="L839" i="5"/>
  <c r="M839" i="5" s="1"/>
  <c r="N839" i="5"/>
  <c r="K840" i="5"/>
  <c r="L840" i="5"/>
  <c r="M840" i="5" s="1"/>
  <c r="N840" i="5"/>
  <c r="K841" i="5"/>
  <c r="L841" i="5"/>
  <c r="M841" i="5" s="1"/>
  <c r="N841" i="5"/>
  <c r="K842" i="5"/>
  <c r="L842" i="5"/>
  <c r="M842" i="5" s="1"/>
  <c r="N842" i="5"/>
  <c r="K843" i="5"/>
  <c r="L843" i="5"/>
  <c r="M843" i="5" s="1"/>
  <c r="N843" i="5"/>
  <c r="K844" i="5"/>
  <c r="L844" i="5"/>
  <c r="M844" i="5" s="1"/>
  <c r="N844" i="5"/>
  <c r="K845" i="5"/>
  <c r="L845" i="5"/>
  <c r="M845" i="5" s="1"/>
  <c r="N845" i="5"/>
  <c r="K846" i="5"/>
  <c r="L846" i="5"/>
  <c r="M846" i="5" s="1"/>
  <c r="N846" i="5"/>
  <c r="K847" i="5"/>
  <c r="L847" i="5"/>
  <c r="M847" i="5" s="1"/>
  <c r="N847" i="5"/>
  <c r="K848" i="5"/>
  <c r="L848" i="5"/>
  <c r="M848" i="5" s="1"/>
  <c r="N848" i="5"/>
  <c r="K849" i="5"/>
  <c r="L849" i="5"/>
  <c r="M849" i="5" s="1"/>
  <c r="N849" i="5"/>
  <c r="K850" i="5"/>
  <c r="L850" i="5"/>
  <c r="M850" i="5" s="1"/>
  <c r="N850" i="5"/>
  <c r="K851" i="5"/>
  <c r="L851" i="5"/>
  <c r="M851" i="5" s="1"/>
  <c r="N851" i="5"/>
  <c r="K852" i="5"/>
  <c r="L852" i="5"/>
  <c r="M852" i="5" s="1"/>
  <c r="N852" i="5"/>
  <c r="K853" i="5"/>
  <c r="L853" i="5"/>
  <c r="M853" i="5" s="1"/>
  <c r="N853" i="5"/>
  <c r="K854" i="5"/>
  <c r="L854" i="5"/>
  <c r="M854" i="5" s="1"/>
  <c r="N854" i="5"/>
  <c r="K855" i="5"/>
  <c r="L855" i="5"/>
  <c r="M855" i="5" s="1"/>
  <c r="N855" i="5"/>
  <c r="K856" i="5"/>
  <c r="L856" i="5"/>
  <c r="M856" i="5" s="1"/>
  <c r="N856" i="5"/>
  <c r="K857" i="5"/>
  <c r="L857" i="5"/>
  <c r="M857" i="5" s="1"/>
  <c r="N857" i="5"/>
  <c r="K858" i="5"/>
  <c r="L858" i="5"/>
  <c r="M858" i="5" s="1"/>
  <c r="N858" i="5"/>
  <c r="K859" i="5"/>
  <c r="L859" i="5"/>
  <c r="M859" i="5" s="1"/>
  <c r="N859" i="5"/>
  <c r="K860" i="5"/>
  <c r="L860" i="5"/>
  <c r="M860" i="5" s="1"/>
  <c r="N860" i="5"/>
  <c r="K861" i="5"/>
  <c r="L861" i="5"/>
  <c r="M861" i="5" s="1"/>
  <c r="N861" i="5"/>
  <c r="K862" i="5"/>
  <c r="L862" i="5"/>
  <c r="M862" i="5" s="1"/>
  <c r="N862" i="5"/>
  <c r="K863" i="5"/>
  <c r="L863" i="5"/>
  <c r="M863" i="5" s="1"/>
  <c r="N863" i="5"/>
  <c r="K864" i="5"/>
  <c r="L864" i="5"/>
  <c r="M864" i="5" s="1"/>
  <c r="N864" i="5"/>
  <c r="K865" i="5"/>
  <c r="L865" i="5"/>
  <c r="M865" i="5" s="1"/>
  <c r="N865" i="5"/>
  <c r="K866" i="5"/>
  <c r="L866" i="5"/>
  <c r="M866" i="5" s="1"/>
  <c r="N866" i="5"/>
  <c r="K867" i="5"/>
  <c r="L867" i="5"/>
  <c r="M867" i="5" s="1"/>
  <c r="N867" i="5"/>
  <c r="K868" i="5"/>
  <c r="L868" i="5"/>
  <c r="M868" i="5" s="1"/>
  <c r="N868" i="5"/>
  <c r="K869" i="5"/>
  <c r="L869" i="5"/>
  <c r="M869" i="5" s="1"/>
  <c r="N869" i="5"/>
  <c r="K870" i="5"/>
  <c r="L870" i="5"/>
  <c r="M870" i="5" s="1"/>
  <c r="N870" i="5"/>
  <c r="K871" i="5"/>
  <c r="L871" i="5"/>
  <c r="M871" i="5" s="1"/>
  <c r="N871" i="5"/>
  <c r="K872" i="5"/>
  <c r="L872" i="5"/>
  <c r="M872" i="5" s="1"/>
  <c r="N872" i="5"/>
  <c r="K873" i="5"/>
  <c r="L873" i="5"/>
  <c r="M873" i="5" s="1"/>
  <c r="N873" i="5"/>
  <c r="K874" i="5"/>
  <c r="L874" i="5"/>
  <c r="M874" i="5" s="1"/>
  <c r="N874" i="5"/>
  <c r="K875" i="5"/>
  <c r="L875" i="5"/>
  <c r="M875" i="5" s="1"/>
  <c r="N875" i="5"/>
  <c r="K876" i="5"/>
  <c r="L876" i="5"/>
  <c r="M876" i="5" s="1"/>
  <c r="N876" i="5"/>
  <c r="K877" i="5"/>
  <c r="L877" i="5"/>
  <c r="M877" i="5" s="1"/>
  <c r="N877" i="5"/>
  <c r="K878" i="5"/>
  <c r="L878" i="5"/>
  <c r="M878" i="5" s="1"/>
  <c r="N878" i="5"/>
  <c r="K879" i="5"/>
  <c r="L879" i="5"/>
  <c r="M879" i="5" s="1"/>
  <c r="N879" i="5"/>
  <c r="K880" i="5"/>
  <c r="L880" i="5"/>
  <c r="M880" i="5" s="1"/>
  <c r="N880" i="5"/>
  <c r="K881" i="5"/>
  <c r="L881" i="5"/>
  <c r="M881" i="5" s="1"/>
  <c r="N881" i="5"/>
  <c r="K882" i="5"/>
  <c r="L882" i="5"/>
  <c r="M882" i="5" s="1"/>
  <c r="N882" i="5"/>
  <c r="K883" i="5"/>
  <c r="L883" i="5"/>
  <c r="M883" i="5" s="1"/>
  <c r="N883" i="5"/>
  <c r="K884" i="5"/>
  <c r="L884" i="5"/>
  <c r="M884" i="5" s="1"/>
  <c r="N884" i="5"/>
  <c r="K885" i="5"/>
  <c r="L885" i="5"/>
  <c r="M885" i="5" s="1"/>
  <c r="N885" i="5"/>
  <c r="K886" i="5"/>
  <c r="L886" i="5"/>
  <c r="M886" i="5" s="1"/>
  <c r="N886" i="5"/>
  <c r="K887" i="5"/>
  <c r="L887" i="5"/>
  <c r="M887" i="5" s="1"/>
  <c r="N887" i="5"/>
  <c r="K888" i="5"/>
  <c r="L888" i="5"/>
  <c r="M888" i="5" s="1"/>
  <c r="N888" i="5"/>
  <c r="K889" i="5"/>
  <c r="L889" i="5"/>
  <c r="M889" i="5" s="1"/>
  <c r="N889" i="5"/>
  <c r="K890" i="5"/>
  <c r="L890" i="5"/>
  <c r="M890" i="5" s="1"/>
  <c r="N890" i="5"/>
  <c r="K891" i="5"/>
  <c r="L891" i="5"/>
  <c r="M891" i="5" s="1"/>
  <c r="N891" i="5"/>
  <c r="K892" i="5"/>
  <c r="L892" i="5"/>
  <c r="M892" i="5" s="1"/>
  <c r="N892" i="5"/>
  <c r="K893" i="5"/>
  <c r="L893" i="5"/>
  <c r="M893" i="5" s="1"/>
  <c r="N893" i="5"/>
  <c r="K894" i="5"/>
  <c r="L894" i="5"/>
  <c r="M894" i="5" s="1"/>
  <c r="N894" i="5"/>
  <c r="K895" i="5"/>
  <c r="L895" i="5"/>
  <c r="M895" i="5" s="1"/>
  <c r="N895" i="5"/>
  <c r="K896" i="5"/>
  <c r="L896" i="5"/>
  <c r="M896" i="5" s="1"/>
  <c r="N896" i="5"/>
  <c r="K897" i="5"/>
  <c r="L897" i="5"/>
  <c r="M897" i="5" s="1"/>
  <c r="N897" i="5"/>
  <c r="K898" i="5"/>
  <c r="L898" i="5"/>
  <c r="M898" i="5" s="1"/>
  <c r="N898" i="5"/>
  <c r="K899" i="5"/>
  <c r="L899" i="5"/>
  <c r="M899" i="5" s="1"/>
  <c r="N899" i="5"/>
  <c r="K900" i="5"/>
  <c r="L900" i="5"/>
  <c r="M900" i="5" s="1"/>
  <c r="N900" i="5"/>
  <c r="K901" i="5"/>
  <c r="L901" i="5"/>
  <c r="M901" i="5" s="1"/>
  <c r="N901" i="5"/>
  <c r="K902" i="5"/>
  <c r="L902" i="5"/>
  <c r="M902" i="5" s="1"/>
  <c r="N902" i="5"/>
  <c r="K903" i="5"/>
  <c r="L903" i="5"/>
  <c r="M903" i="5" s="1"/>
  <c r="N903" i="5"/>
  <c r="K904" i="5"/>
  <c r="L904" i="5"/>
  <c r="M904" i="5" s="1"/>
  <c r="N904" i="5"/>
  <c r="K905" i="5"/>
  <c r="L905" i="5"/>
  <c r="M905" i="5" s="1"/>
  <c r="N905" i="5"/>
  <c r="K906" i="5"/>
  <c r="L906" i="5"/>
  <c r="M906" i="5" s="1"/>
  <c r="N906" i="5"/>
  <c r="K907" i="5"/>
  <c r="L907" i="5"/>
  <c r="M907" i="5" s="1"/>
  <c r="N907" i="5"/>
  <c r="K908" i="5"/>
  <c r="L908" i="5"/>
  <c r="M908" i="5" s="1"/>
  <c r="N908" i="5"/>
  <c r="K909" i="5"/>
  <c r="L909" i="5"/>
  <c r="M909" i="5" s="1"/>
  <c r="N909" i="5"/>
  <c r="K910" i="5"/>
  <c r="L910" i="5"/>
  <c r="M910" i="5" s="1"/>
  <c r="N910" i="5"/>
  <c r="K911" i="5"/>
  <c r="L911" i="5"/>
  <c r="M911" i="5" s="1"/>
  <c r="N911" i="5"/>
  <c r="K912" i="5"/>
  <c r="L912" i="5"/>
  <c r="M912" i="5" s="1"/>
  <c r="N912" i="5"/>
  <c r="K913" i="5"/>
  <c r="L913" i="5"/>
  <c r="M913" i="5" s="1"/>
  <c r="N913" i="5"/>
  <c r="K914" i="5"/>
  <c r="L914" i="5"/>
  <c r="M914" i="5" s="1"/>
  <c r="N914" i="5"/>
  <c r="K915" i="5"/>
  <c r="L915" i="5"/>
  <c r="M915" i="5" s="1"/>
  <c r="N915" i="5"/>
  <c r="K916" i="5"/>
  <c r="L916" i="5"/>
  <c r="M916" i="5" s="1"/>
  <c r="N916" i="5"/>
  <c r="K917" i="5"/>
  <c r="L917" i="5"/>
  <c r="M917" i="5" s="1"/>
  <c r="N917" i="5"/>
  <c r="K918" i="5"/>
  <c r="L918" i="5"/>
  <c r="M918" i="5" s="1"/>
  <c r="N918" i="5"/>
  <c r="K919" i="5"/>
  <c r="L919" i="5"/>
  <c r="M919" i="5" s="1"/>
  <c r="N919" i="5"/>
  <c r="K920" i="5"/>
  <c r="L920" i="5"/>
  <c r="M920" i="5" s="1"/>
  <c r="N920" i="5"/>
  <c r="K921" i="5"/>
  <c r="L921" i="5"/>
  <c r="M921" i="5" s="1"/>
  <c r="N921" i="5"/>
  <c r="K922" i="5"/>
  <c r="L922" i="5"/>
  <c r="M922" i="5" s="1"/>
  <c r="N922" i="5"/>
  <c r="K923" i="5"/>
  <c r="L923" i="5"/>
  <c r="M923" i="5" s="1"/>
  <c r="N923" i="5"/>
  <c r="K924" i="5"/>
  <c r="L924" i="5"/>
  <c r="M924" i="5" s="1"/>
  <c r="N924" i="5"/>
  <c r="K925" i="5"/>
  <c r="L925" i="5"/>
  <c r="M925" i="5" s="1"/>
  <c r="N925" i="5"/>
  <c r="K926" i="5"/>
  <c r="L926" i="5"/>
  <c r="M926" i="5" s="1"/>
  <c r="N926" i="5"/>
  <c r="K927" i="5"/>
  <c r="L927" i="5"/>
  <c r="M927" i="5" s="1"/>
  <c r="N927" i="5"/>
  <c r="K928" i="5"/>
  <c r="L928" i="5"/>
  <c r="M928" i="5" s="1"/>
  <c r="N928" i="5"/>
  <c r="K929" i="5"/>
  <c r="L929" i="5"/>
  <c r="M929" i="5" s="1"/>
  <c r="N929" i="5"/>
  <c r="K930" i="5"/>
  <c r="L930" i="5"/>
  <c r="M930" i="5" s="1"/>
  <c r="N930" i="5"/>
  <c r="K931" i="5"/>
  <c r="L931" i="5"/>
  <c r="M931" i="5" s="1"/>
  <c r="N931" i="5"/>
  <c r="K932" i="5"/>
  <c r="L932" i="5"/>
  <c r="M932" i="5" s="1"/>
  <c r="N932" i="5"/>
  <c r="K933" i="5"/>
  <c r="L933" i="5"/>
  <c r="M933" i="5" s="1"/>
  <c r="N933" i="5"/>
  <c r="K934" i="5"/>
  <c r="L934" i="5"/>
  <c r="M934" i="5" s="1"/>
  <c r="N934" i="5"/>
  <c r="K935" i="5"/>
  <c r="L935" i="5"/>
  <c r="M935" i="5" s="1"/>
  <c r="N935" i="5"/>
  <c r="K936" i="5"/>
  <c r="L936" i="5"/>
  <c r="M936" i="5" s="1"/>
  <c r="N936" i="5"/>
  <c r="K937" i="5"/>
  <c r="L937" i="5"/>
  <c r="M937" i="5" s="1"/>
  <c r="N937" i="5"/>
  <c r="K938" i="5"/>
  <c r="L938" i="5"/>
  <c r="M938" i="5" s="1"/>
  <c r="N938" i="5"/>
  <c r="K939" i="5"/>
  <c r="L939" i="5"/>
  <c r="M939" i="5" s="1"/>
  <c r="N939" i="5"/>
  <c r="K940" i="5"/>
  <c r="L940" i="5"/>
  <c r="M940" i="5" s="1"/>
  <c r="N940" i="5"/>
  <c r="K941" i="5"/>
  <c r="L941" i="5"/>
  <c r="M941" i="5" s="1"/>
  <c r="N941" i="5"/>
  <c r="K942" i="5"/>
  <c r="L942" i="5"/>
  <c r="M942" i="5" s="1"/>
  <c r="N942" i="5"/>
  <c r="K943" i="5"/>
  <c r="L943" i="5"/>
  <c r="M943" i="5" s="1"/>
  <c r="N943" i="5"/>
  <c r="K944" i="5"/>
  <c r="L944" i="5"/>
  <c r="M944" i="5" s="1"/>
  <c r="N944" i="5"/>
  <c r="K945" i="5"/>
  <c r="L945" i="5"/>
  <c r="M945" i="5" s="1"/>
  <c r="N945" i="5"/>
  <c r="K946" i="5"/>
  <c r="L946" i="5"/>
  <c r="M946" i="5" s="1"/>
  <c r="N946" i="5"/>
  <c r="K947" i="5"/>
  <c r="L947" i="5"/>
  <c r="M947" i="5" s="1"/>
  <c r="N947" i="5"/>
  <c r="K948" i="5"/>
  <c r="L948" i="5"/>
  <c r="M948" i="5" s="1"/>
  <c r="N948" i="5"/>
  <c r="K949" i="5"/>
  <c r="L949" i="5"/>
  <c r="M949" i="5" s="1"/>
  <c r="N949" i="5"/>
  <c r="K950" i="5"/>
  <c r="L950" i="5"/>
  <c r="M950" i="5" s="1"/>
  <c r="N950" i="5"/>
  <c r="K951" i="5"/>
  <c r="L951" i="5"/>
  <c r="M951" i="5" s="1"/>
  <c r="N951" i="5"/>
  <c r="K952" i="5"/>
  <c r="L952" i="5"/>
  <c r="M952" i="5" s="1"/>
  <c r="N952" i="5"/>
  <c r="K953" i="5"/>
  <c r="L953" i="5"/>
  <c r="M953" i="5" s="1"/>
  <c r="N953" i="5"/>
  <c r="K954" i="5"/>
  <c r="L954" i="5"/>
  <c r="M954" i="5" s="1"/>
  <c r="N954" i="5"/>
  <c r="K955" i="5"/>
  <c r="L955" i="5"/>
  <c r="M955" i="5" s="1"/>
  <c r="N955" i="5"/>
  <c r="K956" i="5"/>
  <c r="L956" i="5"/>
  <c r="M956" i="5" s="1"/>
  <c r="N956" i="5"/>
  <c r="K957" i="5"/>
  <c r="L957" i="5"/>
  <c r="M957" i="5" s="1"/>
  <c r="N957" i="5"/>
  <c r="K958" i="5"/>
  <c r="L958" i="5"/>
  <c r="M958" i="5" s="1"/>
  <c r="N958" i="5"/>
  <c r="K959" i="5"/>
  <c r="L959" i="5"/>
  <c r="M959" i="5" s="1"/>
  <c r="N959" i="5"/>
  <c r="K960" i="5"/>
  <c r="L960" i="5"/>
  <c r="M960" i="5" s="1"/>
  <c r="N960" i="5"/>
  <c r="K961" i="5"/>
  <c r="L961" i="5"/>
  <c r="M961" i="5" s="1"/>
  <c r="N961" i="5"/>
  <c r="K962" i="5"/>
  <c r="L962" i="5"/>
  <c r="M962" i="5" s="1"/>
  <c r="N962" i="5"/>
  <c r="K963" i="5"/>
  <c r="L963" i="5"/>
  <c r="M963" i="5" s="1"/>
  <c r="N963" i="5"/>
  <c r="K964" i="5"/>
  <c r="L964" i="5"/>
  <c r="M964" i="5" s="1"/>
  <c r="N964" i="5"/>
  <c r="K965" i="5"/>
  <c r="L965" i="5"/>
  <c r="M965" i="5" s="1"/>
  <c r="N965" i="5"/>
  <c r="K966" i="5"/>
  <c r="L966" i="5"/>
  <c r="M966" i="5" s="1"/>
  <c r="N966" i="5"/>
  <c r="K967" i="5"/>
  <c r="L967" i="5"/>
  <c r="M967" i="5" s="1"/>
  <c r="N967" i="5"/>
  <c r="K968" i="5"/>
  <c r="L968" i="5"/>
  <c r="M968" i="5" s="1"/>
  <c r="N968" i="5"/>
  <c r="K969" i="5"/>
  <c r="L969" i="5"/>
  <c r="M969" i="5" s="1"/>
  <c r="N969" i="5"/>
  <c r="K970" i="5"/>
  <c r="L970" i="5"/>
  <c r="M970" i="5" s="1"/>
  <c r="N970" i="5"/>
  <c r="K971" i="5"/>
  <c r="L971" i="5"/>
  <c r="M971" i="5" s="1"/>
  <c r="N971" i="5"/>
  <c r="K972" i="5"/>
  <c r="L972" i="5"/>
  <c r="M972" i="5" s="1"/>
  <c r="N972" i="5"/>
  <c r="K973" i="5"/>
  <c r="L973" i="5"/>
  <c r="M973" i="5" s="1"/>
  <c r="N973" i="5"/>
  <c r="K974" i="5"/>
  <c r="L974" i="5"/>
  <c r="M974" i="5" s="1"/>
  <c r="N974" i="5"/>
  <c r="K975" i="5"/>
  <c r="L975" i="5"/>
  <c r="M975" i="5" s="1"/>
  <c r="N975" i="5"/>
  <c r="K976" i="5"/>
  <c r="L976" i="5"/>
  <c r="M976" i="5" s="1"/>
  <c r="N976" i="5"/>
  <c r="K977" i="5"/>
  <c r="L977" i="5"/>
  <c r="M977" i="5" s="1"/>
  <c r="N977" i="5"/>
  <c r="K978" i="5"/>
  <c r="L978" i="5"/>
  <c r="M978" i="5" s="1"/>
  <c r="N978" i="5"/>
  <c r="K979" i="5"/>
  <c r="L979" i="5"/>
  <c r="M979" i="5" s="1"/>
  <c r="N979" i="5"/>
  <c r="K980" i="5"/>
  <c r="L980" i="5"/>
  <c r="M980" i="5" s="1"/>
  <c r="N980" i="5"/>
  <c r="K981" i="5"/>
  <c r="L981" i="5"/>
  <c r="M981" i="5" s="1"/>
  <c r="N981" i="5"/>
  <c r="K982" i="5"/>
  <c r="L982" i="5"/>
  <c r="M982" i="5" s="1"/>
  <c r="N982" i="5"/>
  <c r="K983" i="5"/>
  <c r="L983" i="5"/>
  <c r="M983" i="5" s="1"/>
  <c r="N983" i="5"/>
  <c r="K984" i="5"/>
  <c r="L984" i="5"/>
  <c r="M984" i="5" s="1"/>
  <c r="N984" i="5"/>
  <c r="K985" i="5"/>
  <c r="L985" i="5"/>
  <c r="M985" i="5" s="1"/>
  <c r="N985" i="5"/>
  <c r="K986" i="5"/>
  <c r="L986" i="5"/>
  <c r="M986" i="5" s="1"/>
  <c r="N986" i="5"/>
  <c r="K987" i="5"/>
  <c r="L987" i="5"/>
  <c r="M987" i="5" s="1"/>
  <c r="N987" i="5"/>
  <c r="K988" i="5"/>
  <c r="L988" i="5"/>
  <c r="M988" i="5" s="1"/>
  <c r="N988" i="5"/>
  <c r="K989" i="5"/>
  <c r="L989" i="5"/>
  <c r="M989" i="5" s="1"/>
  <c r="N989" i="5"/>
  <c r="K990" i="5"/>
  <c r="L990" i="5"/>
  <c r="M990" i="5" s="1"/>
  <c r="N990" i="5"/>
  <c r="K991" i="5"/>
  <c r="L991" i="5"/>
  <c r="M991" i="5" s="1"/>
  <c r="N991" i="5"/>
  <c r="K992" i="5"/>
  <c r="L992" i="5"/>
  <c r="M992" i="5" s="1"/>
  <c r="N992" i="5"/>
  <c r="K993" i="5"/>
  <c r="L993" i="5"/>
  <c r="M993" i="5" s="1"/>
  <c r="N993" i="5"/>
  <c r="K994" i="5"/>
  <c r="L994" i="5"/>
  <c r="M994" i="5" s="1"/>
  <c r="N994" i="5"/>
  <c r="K995" i="5"/>
  <c r="L995" i="5"/>
  <c r="M995" i="5" s="1"/>
  <c r="N995" i="5"/>
  <c r="K996" i="5"/>
  <c r="L996" i="5"/>
  <c r="M996" i="5" s="1"/>
  <c r="N996" i="5"/>
  <c r="K997" i="5"/>
  <c r="L997" i="5"/>
  <c r="M997" i="5" s="1"/>
  <c r="N997" i="5"/>
  <c r="K998" i="5"/>
  <c r="L998" i="5"/>
  <c r="M998" i="5" s="1"/>
  <c r="N998" i="5"/>
  <c r="K999" i="5"/>
  <c r="L999" i="5"/>
  <c r="M999" i="5" s="1"/>
  <c r="N999" i="5"/>
  <c r="K1000" i="5"/>
  <c r="L1000" i="5"/>
  <c r="M1000" i="5" s="1"/>
  <c r="N1000" i="5"/>
  <c r="K1001" i="5"/>
  <c r="L1001" i="5"/>
  <c r="M1001" i="5" s="1"/>
  <c r="N1001" i="5"/>
  <c r="K1002" i="5"/>
  <c r="L1002" i="5"/>
  <c r="M1002" i="5" s="1"/>
  <c r="N1002" i="5"/>
  <c r="K1003" i="5"/>
  <c r="L1003" i="5"/>
  <c r="M1003" i="5" s="1"/>
  <c r="N1003" i="5"/>
  <c r="K1004" i="5"/>
  <c r="L1004" i="5"/>
  <c r="M1004" i="5" s="1"/>
  <c r="N1004" i="5"/>
  <c r="K1005" i="5"/>
  <c r="L1005" i="5"/>
  <c r="M1005" i="5" s="1"/>
  <c r="N1005" i="5"/>
  <c r="K1006" i="5"/>
  <c r="L1006" i="5"/>
  <c r="M1006" i="5" s="1"/>
  <c r="N1006" i="5"/>
  <c r="K1007" i="5"/>
  <c r="L1007" i="5"/>
  <c r="M1007" i="5" s="1"/>
  <c r="N1007" i="5"/>
  <c r="K1008" i="5"/>
  <c r="L1008" i="5"/>
  <c r="M1008" i="5" s="1"/>
  <c r="N1008" i="5"/>
  <c r="K1009" i="5"/>
  <c r="L1009" i="5"/>
  <c r="M1009" i="5" s="1"/>
  <c r="N1009" i="5"/>
  <c r="K1010" i="5"/>
  <c r="L1010" i="5"/>
  <c r="M1010" i="5" s="1"/>
  <c r="N1010" i="5"/>
  <c r="K1011" i="5"/>
  <c r="L1011" i="5"/>
  <c r="M1011" i="5" s="1"/>
  <c r="N1011" i="5"/>
  <c r="K1012" i="5"/>
  <c r="L1012" i="5"/>
  <c r="M1012" i="5" s="1"/>
  <c r="N1012" i="5"/>
  <c r="K1013" i="5"/>
  <c r="L1013" i="5"/>
  <c r="M1013" i="5" s="1"/>
  <c r="N1013" i="5"/>
  <c r="K1014" i="5"/>
  <c r="L1014" i="5"/>
  <c r="M1014" i="5" s="1"/>
  <c r="N1014" i="5"/>
  <c r="K1015" i="5"/>
  <c r="L1015" i="5"/>
  <c r="M1015" i="5" s="1"/>
  <c r="N1015" i="5"/>
  <c r="K1016" i="5"/>
  <c r="L1016" i="5"/>
  <c r="M1016" i="5" s="1"/>
  <c r="N1016" i="5"/>
  <c r="K1017" i="5"/>
  <c r="L1017" i="5"/>
  <c r="M1017" i="5" s="1"/>
  <c r="N1017" i="5"/>
  <c r="K1018" i="5"/>
  <c r="L1018" i="5"/>
  <c r="M1018" i="5" s="1"/>
  <c r="N1018" i="5"/>
  <c r="K1019" i="5"/>
  <c r="L1019" i="5"/>
  <c r="M1019" i="5" s="1"/>
  <c r="N1019" i="5"/>
  <c r="K1020" i="5"/>
  <c r="L1020" i="5"/>
  <c r="M1020" i="5" s="1"/>
  <c r="N1020" i="5"/>
  <c r="K1021" i="5"/>
  <c r="L1021" i="5"/>
  <c r="M1021" i="5" s="1"/>
  <c r="N1021" i="5"/>
  <c r="K1022" i="5"/>
  <c r="L1022" i="5"/>
  <c r="M1022" i="5" s="1"/>
  <c r="N1022" i="5"/>
  <c r="K1023" i="5"/>
  <c r="L1023" i="5"/>
  <c r="M1023" i="5" s="1"/>
  <c r="N1023" i="5"/>
  <c r="K1024" i="5"/>
  <c r="L1024" i="5"/>
  <c r="M1024" i="5" s="1"/>
  <c r="N1024" i="5"/>
  <c r="K1025" i="5"/>
  <c r="L1025" i="5"/>
  <c r="M1025" i="5" s="1"/>
  <c r="N1025" i="5"/>
  <c r="K1026" i="5"/>
  <c r="L1026" i="5"/>
  <c r="M1026" i="5" s="1"/>
  <c r="N1026" i="5"/>
  <c r="K1027" i="5"/>
  <c r="L1027" i="5"/>
  <c r="M1027" i="5" s="1"/>
  <c r="N1027" i="5"/>
  <c r="K1028" i="5"/>
  <c r="L1028" i="5"/>
  <c r="M1028" i="5" s="1"/>
  <c r="N1028" i="5"/>
  <c r="K1029" i="5"/>
  <c r="L1029" i="5"/>
  <c r="M1029" i="5" s="1"/>
  <c r="N1029" i="5"/>
  <c r="K1030" i="5"/>
  <c r="L1030" i="5"/>
  <c r="M1030" i="5" s="1"/>
  <c r="N1030" i="5"/>
  <c r="K1031" i="5"/>
  <c r="L1031" i="5"/>
  <c r="M1031" i="5" s="1"/>
  <c r="N1031" i="5"/>
  <c r="K1032" i="5"/>
  <c r="L1032" i="5"/>
  <c r="M1032" i="5" s="1"/>
  <c r="N1032" i="5"/>
  <c r="K1033" i="5"/>
  <c r="L1033" i="5"/>
  <c r="M1033" i="5" s="1"/>
  <c r="N1033" i="5"/>
  <c r="K1034" i="5"/>
  <c r="L1034" i="5"/>
  <c r="M1034" i="5" s="1"/>
  <c r="N1034" i="5"/>
  <c r="K1035" i="5"/>
  <c r="L1035" i="5"/>
  <c r="M1035" i="5" s="1"/>
  <c r="N1035" i="5"/>
  <c r="K1036" i="5"/>
  <c r="L1036" i="5"/>
  <c r="M1036" i="5" s="1"/>
  <c r="N1036" i="5"/>
  <c r="K1037" i="5"/>
  <c r="L1037" i="5"/>
  <c r="M1037" i="5" s="1"/>
  <c r="N1037" i="5"/>
  <c r="K1038" i="5"/>
  <c r="L1038" i="5"/>
  <c r="M1038" i="5" s="1"/>
  <c r="N1038" i="5"/>
  <c r="K1039" i="5"/>
  <c r="L1039" i="5"/>
  <c r="M1039" i="5" s="1"/>
  <c r="N1039" i="5"/>
  <c r="K1040" i="5"/>
  <c r="L1040" i="5"/>
  <c r="M1040" i="5" s="1"/>
  <c r="N1040" i="5"/>
  <c r="K1041" i="5"/>
  <c r="L1041" i="5"/>
  <c r="M1041" i="5" s="1"/>
  <c r="N1041" i="5"/>
  <c r="K1042" i="5"/>
  <c r="L1042" i="5"/>
  <c r="M1042" i="5" s="1"/>
  <c r="N1042" i="5"/>
  <c r="K1043" i="5"/>
  <c r="L1043" i="5"/>
  <c r="M1043" i="5" s="1"/>
  <c r="N1043" i="5"/>
  <c r="K1044" i="5"/>
  <c r="L1044" i="5"/>
  <c r="M1044" i="5" s="1"/>
  <c r="N1044" i="5"/>
  <c r="K1045" i="5"/>
  <c r="L1045" i="5"/>
  <c r="M1045" i="5" s="1"/>
  <c r="N1045" i="5"/>
  <c r="K1046" i="5"/>
  <c r="L1046" i="5"/>
  <c r="M1046" i="5" s="1"/>
  <c r="N1046" i="5"/>
  <c r="K1047" i="5"/>
  <c r="L1047" i="5"/>
  <c r="M1047" i="5" s="1"/>
  <c r="N1047" i="5"/>
  <c r="K1048" i="5"/>
  <c r="L1048" i="5"/>
  <c r="M1048" i="5" s="1"/>
  <c r="N1048" i="5"/>
  <c r="K1049" i="5"/>
  <c r="L1049" i="5"/>
  <c r="M1049" i="5" s="1"/>
  <c r="N1049" i="5"/>
  <c r="K1050" i="5"/>
  <c r="L1050" i="5"/>
  <c r="M1050" i="5" s="1"/>
  <c r="N1050" i="5"/>
  <c r="K1051" i="5"/>
  <c r="L1051" i="5"/>
  <c r="M1051" i="5" s="1"/>
  <c r="N1051" i="5"/>
  <c r="K1052" i="5"/>
  <c r="L1052" i="5"/>
  <c r="M1052" i="5" s="1"/>
  <c r="N1052" i="5"/>
  <c r="K1053" i="5"/>
  <c r="L1053" i="5"/>
  <c r="M1053" i="5" s="1"/>
  <c r="N1053" i="5"/>
  <c r="K1054" i="5"/>
  <c r="L1054" i="5"/>
  <c r="M1054" i="5" s="1"/>
  <c r="N1054" i="5"/>
  <c r="K1055" i="5"/>
  <c r="L1055" i="5"/>
  <c r="M1055" i="5" s="1"/>
  <c r="N1055" i="5"/>
  <c r="K1056" i="5"/>
  <c r="L1056" i="5"/>
  <c r="M1056" i="5" s="1"/>
  <c r="N1056" i="5"/>
  <c r="K1057" i="5"/>
  <c r="L1057" i="5"/>
  <c r="M1057" i="5" s="1"/>
  <c r="N1057" i="5"/>
  <c r="K1058" i="5"/>
  <c r="L1058" i="5"/>
  <c r="M1058" i="5" s="1"/>
  <c r="N1058" i="5"/>
  <c r="K1059" i="5"/>
  <c r="L1059" i="5"/>
  <c r="M1059" i="5" s="1"/>
  <c r="N1059" i="5"/>
  <c r="K1060" i="5"/>
  <c r="L1060" i="5"/>
  <c r="M1060" i="5" s="1"/>
  <c r="N1060" i="5"/>
  <c r="K1061" i="5"/>
  <c r="L1061" i="5"/>
  <c r="M1061" i="5" s="1"/>
  <c r="N1061" i="5"/>
  <c r="K1062" i="5"/>
  <c r="L1062" i="5"/>
  <c r="M1062" i="5" s="1"/>
  <c r="N1062" i="5"/>
  <c r="K1063" i="5"/>
  <c r="L1063" i="5"/>
  <c r="M1063" i="5" s="1"/>
  <c r="N1063" i="5"/>
  <c r="K1064" i="5"/>
  <c r="L1064" i="5"/>
  <c r="M1064" i="5" s="1"/>
  <c r="N1064" i="5"/>
  <c r="K1065" i="5"/>
  <c r="L1065" i="5"/>
  <c r="M1065" i="5" s="1"/>
  <c r="N1065" i="5"/>
  <c r="K1066" i="5"/>
  <c r="L1066" i="5"/>
  <c r="M1066" i="5" s="1"/>
  <c r="N1066" i="5"/>
  <c r="K1067" i="5"/>
  <c r="L1067" i="5"/>
  <c r="M1067" i="5" s="1"/>
  <c r="N1067" i="5"/>
  <c r="K1068" i="5"/>
  <c r="L1068" i="5"/>
  <c r="M1068" i="5" s="1"/>
  <c r="N1068" i="5"/>
  <c r="K1069" i="5"/>
  <c r="L1069" i="5"/>
  <c r="M1069" i="5" s="1"/>
  <c r="N1069" i="5"/>
  <c r="K1070" i="5"/>
  <c r="L1070" i="5"/>
  <c r="M1070" i="5" s="1"/>
  <c r="N1070" i="5"/>
  <c r="K1071" i="5"/>
  <c r="L1071" i="5"/>
  <c r="M1071" i="5" s="1"/>
  <c r="N1071" i="5"/>
  <c r="K1072" i="5"/>
  <c r="L1072" i="5"/>
  <c r="M1072" i="5" s="1"/>
  <c r="N1072" i="5"/>
  <c r="K1073" i="5"/>
  <c r="L1073" i="5"/>
  <c r="M1073" i="5" s="1"/>
  <c r="N1073" i="5"/>
  <c r="K1074" i="5"/>
  <c r="L1074" i="5"/>
  <c r="M1074" i="5" s="1"/>
  <c r="N1074" i="5"/>
  <c r="K1075" i="5"/>
  <c r="L1075" i="5"/>
  <c r="M1075" i="5" s="1"/>
  <c r="N1075" i="5"/>
  <c r="K1076" i="5"/>
  <c r="L1076" i="5"/>
  <c r="M1076" i="5" s="1"/>
  <c r="N1076" i="5"/>
  <c r="K1077" i="5"/>
  <c r="L1077" i="5"/>
  <c r="M1077" i="5" s="1"/>
  <c r="N1077" i="5"/>
  <c r="K1078" i="5"/>
  <c r="L1078" i="5"/>
  <c r="M1078" i="5" s="1"/>
  <c r="N1078" i="5"/>
  <c r="K1079" i="5"/>
  <c r="L1079" i="5"/>
  <c r="M1079" i="5" s="1"/>
  <c r="N1079" i="5"/>
  <c r="K1080" i="5"/>
  <c r="L1080" i="5"/>
  <c r="M1080" i="5" s="1"/>
  <c r="N1080" i="5"/>
  <c r="K1081" i="5"/>
  <c r="L1081" i="5"/>
  <c r="M1081" i="5" s="1"/>
  <c r="N1081" i="5"/>
  <c r="K1082" i="5"/>
  <c r="L1082" i="5"/>
  <c r="M1082" i="5" s="1"/>
  <c r="N1082" i="5"/>
  <c r="K1083" i="5"/>
  <c r="L1083" i="5"/>
  <c r="M1083" i="5" s="1"/>
  <c r="N1083" i="5"/>
  <c r="K1084" i="5"/>
  <c r="L1084" i="5"/>
  <c r="M1084" i="5" s="1"/>
  <c r="N1084" i="5"/>
  <c r="K1085" i="5"/>
  <c r="L1085" i="5"/>
  <c r="M1085" i="5" s="1"/>
  <c r="N1085" i="5"/>
  <c r="K1086" i="5"/>
  <c r="L1086" i="5"/>
  <c r="M1086" i="5" s="1"/>
  <c r="N1086" i="5"/>
  <c r="K1087" i="5"/>
  <c r="L1087" i="5"/>
  <c r="M1087" i="5" s="1"/>
  <c r="N1087" i="5"/>
  <c r="K1088" i="5"/>
  <c r="L1088" i="5"/>
  <c r="M1088" i="5" s="1"/>
  <c r="N1088" i="5"/>
  <c r="K1089" i="5"/>
  <c r="L1089" i="5"/>
  <c r="M1089" i="5" s="1"/>
  <c r="N1089" i="5"/>
  <c r="K1090" i="5"/>
  <c r="L1090" i="5"/>
  <c r="M1090" i="5" s="1"/>
  <c r="N1090" i="5"/>
  <c r="K1091" i="5"/>
  <c r="L1091" i="5"/>
  <c r="M1091" i="5" s="1"/>
  <c r="N1091" i="5"/>
  <c r="K1092" i="5"/>
  <c r="L1092" i="5"/>
  <c r="M1092" i="5" s="1"/>
  <c r="N1092" i="5"/>
  <c r="K1093" i="5"/>
  <c r="L1093" i="5"/>
  <c r="M1093" i="5" s="1"/>
  <c r="N1093" i="5"/>
  <c r="K1094" i="5"/>
  <c r="L1094" i="5"/>
  <c r="M1094" i="5" s="1"/>
  <c r="N1094" i="5"/>
  <c r="K1095" i="5"/>
  <c r="L1095" i="5"/>
  <c r="M1095" i="5" s="1"/>
  <c r="N1095" i="5"/>
  <c r="K1096" i="5"/>
  <c r="L1096" i="5"/>
  <c r="M1096" i="5" s="1"/>
  <c r="N1096" i="5"/>
  <c r="K1097" i="5"/>
  <c r="L1097" i="5"/>
  <c r="M1097" i="5" s="1"/>
  <c r="N1097" i="5"/>
  <c r="K1098" i="5"/>
  <c r="L1098" i="5"/>
  <c r="M1098" i="5" s="1"/>
  <c r="N1098" i="5"/>
  <c r="K1099" i="5"/>
  <c r="L1099" i="5"/>
  <c r="M1099" i="5" s="1"/>
  <c r="N1099" i="5"/>
  <c r="K1100" i="5"/>
  <c r="L1100" i="5"/>
  <c r="M1100" i="5" s="1"/>
  <c r="N1100" i="5"/>
  <c r="K1101" i="5"/>
  <c r="L1101" i="5"/>
  <c r="M1101" i="5" s="1"/>
  <c r="N1101" i="5"/>
  <c r="K1102" i="5"/>
  <c r="L1102" i="5"/>
  <c r="M1102" i="5" s="1"/>
  <c r="N1102" i="5"/>
  <c r="K1103" i="5"/>
  <c r="L1103" i="5"/>
  <c r="M1103" i="5" s="1"/>
  <c r="N1103" i="5"/>
  <c r="K1104" i="5"/>
  <c r="L1104" i="5"/>
  <c r="M1104" i="5" s="1"/>
  <c r="N1104" i="5"/>
  <c r="K1105" i="5"/>
  <c r="L1105" i="5"/>
  <c r="M1105" i="5" s="1"/>
  <c r="N1105" i="5"/>
  <c r="K1106" i="5"/>
  <c r="L1106" i="5"/>
  <c r="M1106" i="5" s="1"/>
  <c r="N1106" i="5"/>
  <c r="K1107" i="5"/>
  <c r="L1107" i="5"/>
  <c r="M1107" i="5" s="1"/>
  <c r="N1107" i="5"/>
  <c r="K1108" i="5"/>
  <c r="L1108" i="5"/>
  <c r="M1108" i="5" s="1"/>
  <c r="N1108" i="5"/>
  <c r="K1109" i="5"/>
  <c r="L1109" i="5"/>
  <c r="M1109" i="5" s="1"/>
  <c r="N1109" i="5"/>
  <c r="K1110" i="5"/>
  <c r="L1110" i="5"/>
  <c r="M1110" i="5" s="1"/>
  <c r="N1110" i="5"/>
  <c r="K1111" i="5"/>
  <c r="L1111" i="5"/>
  <c r="M1111" i="5" s="1"/>
  <c r="N1111" i="5"/>
  <c r="K1112" i="5"/>
  <c r="L1112" i="5"/>
  <c r="M1112" i="5" s="1"/>
  <c r="N1112" i="5"/>
  <c r="K1113" i="5"/>
  <c r="L1113" i="5"/>
  <c r="M1113" i="5" s="1"/>
  <c r="N1113" i="5"/>
  <c r="K1114" i="5"/>
  <c r="L1114" i="5"/>
  <c r="M1114" i="5" s="1"/>
  <c r="N1114" i="5"/>
  <c r="K1115" i="5"/>
  <c r="L1115" i="5"/>
  <c r="M1115" i="5" s="1"/>
  <c r="N1115" i="5"/>
  <c r="K1116" i="5"/>
  <c r="L1116" i="5"/>
  <c r="M1116" i="5" s="1"/>
  <c r="N1116" i="5"/>
  <c r="K1117" i="5"/>
  <c r="L1117" i="5"/>
  <c r="M1117" i="5" s="1"/>
  <c r="N1117" i="5"/>
  <c r="K1118" i="5"/>
  <c r="L1118" i="5"/>
  <c r="M1118" i="5" s="1"/>
  <c r="N1118" i="5"/>
  <c r="K1119" i="5"/>
  <c r="L1119" i="5"/>
  <c r="M1119" i="5" s="1"/>
  <c r="N1119" i="5"/>
  <c r="K1120" i="5"/>
  <c r="L1120" i="5"/>
  <c r="M1120" i="5" s="1"/>
  <c r="N1120" i="5"/>
  <c r="K1121" i="5"/>
  <c r="L1121" i="5"/>
  <c r="M1121" i="5" s="1"/>
  <c r="N1121" i="5"/>
  <c r="K1122" i="5"/>
  <c r="L1122" i="5"/>
  <c r="M1122" i="5" s="1"/>
  <c r="N1122" i="5"/>
  <c r="K1123" i="5"/>
  <c r="L1123" i="5"/>
  <c r="M1123" i="5" s="1"/>
  <c r="N1123" i="5"/>
  <c r="K1124" i="5"/>
  <c r="L1124" i="5"/>
  <c r="M1124" i="5" s="1"/>
  <c r="N1124" i="5"/>
  <c r="K1125" i="5"/>
  <c r="L1125" i="5"/>
  <c r="M1125" i="5" s="1"/>
  <c r="N1125" i="5"/>
  <c r="K1126" i="5"/>
  <c r="L1126" i="5"/>
  <c r="M1126" i="5" s="1"/>
  <c r="N1126" i="5"/>
  <c r="K1127" i="5"/>
  <c r="L1127" i="5"/>
  <c r="M1127" i="5" s="1"/>
  <c r="N1127" i="5"/>
  <c r="K1128" i="5"/>
  <c r="L1128" i="5"/>
  <c r="M1128" i="5" s="1"/>
  <c r="N1128" i="5"/>
  <c r="K1129" i="5"/>
  <c r="L1129" i="5"/>
  <c r="M1129" i="5" s="1"/>
  <c r="N1129" i="5"/>
  <c r="K1130" i="5"/>
  <c r="L1130" i="5"/>
  <c r="M1130" i="5" s="1"/>
  <c r="N1130" i="5"/>
  <c r="K1131" i="5"/>
  <c r="L1131" i="5"/>
  <c r="M1131" i="5" s="1"/>
  <c r="N1131" i="5"/>
  <c r="K1132" i="5"/>
  <c r="L1132" i="5"/>
  <c r="M1132" i="5" s="1"/>
  <c r="N1132" i="5"/>
  <c r="K1133" i="5"/>
  <c r="L1133" i="5"/>
  <c r="M1133" i="5" s="1"/>
  <c r="N1133" i="5"/>
  <c r="K1134" i="5"/>
  <c r="L1134" i="5"/>
  <c r="M1134" i="5" s="1"/>
  <c r="N1134" i="5"/>
  <c r="K1135" i="5"/>
  <c r="L1135" i="5"/>
  <c r="M1135" i="5" s="1"/>
  <c r="N1135" i="5"/>
  <c r="K1136" i="5"/>
  <c r="L1136" i="5"/>
  <c r="M1136" i="5" s="1"/>
  <c r="N1136" i="5"/>
  <c r="K1137" i="5"/>
  <c r="L1137" i="5"/>
  <c r="M1137" i="5" s="1"/>
  <c r="N1137" i="5"/>
  <c r="K1138" i="5"/>
  <c r="L1138" i="5"/>
  <c r="M1138" i="5" s="1"/>
  <c r="N1138" i="5"/>
  <c r="K1139" i="5"/>
  <c r="L1139" i="5"/>
  <c r="M1139" i="5" s="1"/>
  <c r="N1139" i="5"/>
  <c r="K1140" i="5"/>
  <c r="L1140" i="5"/>
  <c r="M1140" i="5" s="1"/>
  <c r="N1140" i="5"/>
  <c r="K1141" i="5"/>
  <c r="L1141" i="5"/>
  <c r="M1141" i="5" s="1"/>
  <c r="N1141" i="5"/>
  <c r="K1142" i="5"/>
  <c r="L1142" i="5"/>
  <c r="M1142" i="5" s="1"/>
  <c r="N1142" i="5"/>
  <c r="K1143" i="5"/>
  <c r="L1143" i="5"/>
  <c r="M1143" i="5" s="1"/>
  <c r="N1143" i="5"/>
  <c r="K1144" i="5"/>
  <c r="L1144" i="5"/>
  <c r="M1144" i="5" s="1"/>
  <c r="N1144" i="5"/>
  <c r="K1145" i="5"/>
  <c r="L1145" i="5"/>
  <c r="M1145" i="5" s="1"/>
  <c r="N1145" i="5"/>
  <c r="K1146" i="5"/>
  <c r="L1146" i="5"/>
  <c r="M1146" i="5" s="1"/>
  <c r="N1146" i="5"/>
  <c r="K1147" i="5"/>
  <c r="L1147" i="5"/>
  <c r="M1147" i="5" s="1"/>
  <c r="N1147" i="5"/>
  <c r="K1148" i="5"/>
  <c r="L1148" i="5"/>
  <c r="M1148" i="5" s="1"/>
  <c r="N1148" i="5"/>
  <c r="K1149" i="5"/>
  <c r="L1149" i="5"/>
  <c r="M1149" i="5" s="1"/>
  <c r="N1149" i="5"/>
  <c r="K1150" i="5"/>
  <c r="L1150" i="5"/>
  <c r="M1150" i="5" s="1"/>
  <c r="N1150" i="5"/>
  <c r="K1151" i="5"/>
  <c r="L1151" i="5"/>
  <c r="M1151" i="5" s="1"/>
  <c r="N1151" i="5"/>
  <c r="K1152" i="5"/>
  <c r="L1152" i="5"/>
  <c r="M1152" i="5" s="1"/>
  <c r="N1152" i="5"/>
  <c r="K1153" i="5"/>
  <c r="L1153" i="5"/>
  <c r="M1153" i="5" s="1"/>
  <c r="N1153" i="5"/>
  <c r="K1154" i="5"/>
  <c r="L1154" i="5"/>
  <c r="M1154" i="5" s="1"/>
  <c r="N1154" i="5"/>
  <c r="K1155" i="5"/>
  <c r="L1155" i="5"/>
  <c r="M1155" i="5" s="1"/>
  <c r="N1155" i="5"/>
  <c r="K1156" i="5"/>
  <c r="L1156" i="5"/>
  <c r="M1156" i="5" s="1"/>
  <c r="N1156" i="5"/>
  <c r="K1157" i="5"/>
  <c r="L1157" i="5"/>
  <c r="M1157" i="5" s="1"/>
  <c r="N1157" i="5"/>
  <c r="K1158" i="5"/>
  <c r="L1158" i="5"/>
  <c r="M1158" i="5" s="1"/>
  <c r="N1158" i="5"/>
  <c r="K1159" i="5"/>
  <c r="L1159" i="5"/>
  <c r="M1159" i="5" s="1"/>
  <c r="N1159" i="5"/>
  <c r="K1160" i="5"/>
  <c r="L1160" i="5"/>
  <c r="M1160" i="5" s="1"/>
  <c r="N1160" i="5"/>
  <c r="K1161" i="5"/>
  <c r="L1161" i="5"/>
  <c r="M1161" i="5" s="1"/>
  <c r="N1161" i="5"/>
  <c r="K1162" i="5"/>
  <c r="L1162" i="5"/>
  <c r="M1162" i="5" s="1"/>
  <c r="N1162" i="5"/>
  <c r="K1163" i="5"/>
  <c r="L1163" i="5"/>
  <c r="M1163" i="5" s="1"/>
  <c r="N1163" i="5"/>
  <c r="K1164" i="5"/>
  <c r="L1164" i="5"/>
  <c r="M1164" i="5" s="1"/>
  <c r="N1164" i="5"/>
  <c r="K1165" i="5"/>
  <c r="L1165" i="5"/>
  <c r="M1165" i="5" s="1"/>
  <c r="N1165" i="5"/>
  <c r="K1166" i="5"/>
  <c r="L1166" i="5"/>
  <c r="M1166" i="5" s="1"/>
  <c r="N1166" i="5"/>
  <c r="K1167" i="5"/>
  <c r="L1167" i="5"/>
  <c r="M1167" i="5" s="1"/>
  <c r="N1167" i="5"/>
  <c r="K1168" i="5"/>
  <c r="L1168" i="5"/>
  <c r="M1168" i="5" s="1"/>
  <c r="N1168" i="5"/>
  <c r="K1169" i="5"/>
  <c r="L1169" i="5"/>
  <c r="M1169" i="5" s="1"/>
  <c r="N1169" i="5"/>
  <c r="K1170" i="5"/>
  <c r="L1170" i="5"/>
  <c r="M1170" i="5" s="1"/>
  <c r="N1170" i="5"/>
  <c r="K1171" i="5"/>
  <c r="L1171" i="5"/>
  <c r="M1171" i="5" s="1"/>
  <c r="N1171" i="5"/>
  <c r="K1172" i="5"/>
  <c r="L1172" i="5"/>
  <c r="M1172" i="5" s="1"/>
  <c r="N1172" i="5"/>
  <c r="K1173" i="5"/>
  <c r="L1173" i="5"/>
  <c r="M1173" i="5" s="1"/>
  <c r="N1173" i="5"/>
  <c r="K1174" i="5"/>
  <c r="L1174" i="5"/>
  <c r="M1174" i="5" s="1"/>
  <c r="N1174" i="5"/>
  <c r="K1175" i="5"/>
  <c r="L1175" i="5"/>
  <c r="M1175" i="5" s="1"/>
  <c r="N1175" i="5"/>
  <c r="K1176" i="5"/>
  <c r="L1176" i="5"/>
  <c r="M1176" i="5" s="1"/>
  <c r="N1176" i="5"/>
  <c r="K1177" i="5"/>
  <c r="L1177" i="5"/>
  <c r="M1177" i="5" s="1"/>
  <c r="N1177" i="5"/>
  <c r="K1178" i="5"/>
  <c r="L1178" i="5"/>
  <c r="M1178" i="5" s="1"/>
  <c r="N1178" i="5"/>
  <c r="K1179" i="5"/>
  <c r="L1179" i="5"/>
  <c r="M1179" i="5" s="1"/>
  <c r="N1179" i="5"/>
  <c r="K1180" i="5"/>
  <c r="L1180" i="5"/>
  <c r="M1180" i="5" s="1"/>
  <c r="N1180" i="5"/>
  <c r="K1181" i="5"/>
  <c r="L1181" i="5"/>
  <c r="M1181" i="5" s="1"/>
  <c r="N1181" i="5"/>
  <c r="K1182" i="5"/>
  <c r="L1182" i="5"/>
  <c r="M1182" i="5" s="1"/>
  <c r="N1182" i="5"/>
  <c r="K1183" i="5"/>
  <c r="L1183" i="5"/>
  <c r="M1183" i="5" s="1"/>
  <c r="N1183" i="5"/>
  <c r="K1184" i="5"/>
  <c r="L1184" i="5"/>
  <c r="M1184" i="5" s="1"/>
  <c r="N1184" i="5"/>
  <c r="K1185" i="5"/>
  <c r="L1185" i="5"/>
  <c r="M1185" i="5" s="1"/>
  <c r="N1185" i="5"/>
  <c r="K1186" i="5"/>
  <c r="L1186" i="5"/>
  <c r="M1186" i="5" s="1"/>
  <c r="N1186" i="5"/>
  <c r="K1187" i="5"/>
  <c r="L1187" i="5"/>
  <c r="M1187" i="5" s="1"/>
  <c r="N1187" i="5"/>
  <c r="K1188" i="5"/>
  <c r="L1188" i="5"/>
  <c r="M1188" i="5" s="1"/>
  <c r="N1188" i="5"/>
  <c r="K1189" i="5"/>
  <c r="L1189" i="5"/>
  <c r="M1189" i="5" s="1"/>
  <c r="N1189" i="5"/>
  <c r="K1190" i="5"/>
  <c r="L1190" i="5"/>
  <c r="M1190" i="5" s="1"/>
  <c r="N1190" i="5"/>
  <c r="K1191" i="5"/>
  <c r="L1191" i="5"/>
  <c r="M1191" i="5" s="1"/>
  <c r="N1191" i="5"/>
  <c r="K1192" i="5"/>
  <c r="L1192" i="5"/>
  <c r="M1192" i="5" s="1"/>
  <c r="N1192" i="5"/>
  <c r="K1193" i="5"/>
  <c r="L1193" i="5"/>
  <c r="M1193" i="5" s="1"/>
  <c r="N1193" i="5"/>
  <c r="K1194" i="5"/>
  <c r="L1194" i="5"/>
  <c r="M1194" i="5" s="1"/>
  <c r="N1194" i="5"/>
  <c r="K1195" i="5"/>
  <c r="L1195" i="5"/>
  <c r="M1195" i="5" s="1"/>
  <c r="N1195" i="5"/>
  <c r="K1196" i="5"/>
  <c r="L1196" i="5"/>
  <c r="M1196" i="5" s="1"/>
  <c r="N1196" i="5"/>
  <c r="K1197" i="5"/>
  <c r="L1197" i="5"/>
  <c r="M1197" i="5" s="1"/>
  <c r="N1197" i="5"/>
  <c r="K1198" i="5"/>
  <c r="L1198" i="5"/>
  <c r="M1198" i="5" s="1"/>
  <c r="N1198" i="5"/>
  <c r="K1199" i="5"/>
  <c r="L1199" i="5"/>
  <c r="M1199" i="5" s="1"/>
  <c r="N1199" i="5"/>
  <c r="K1200" i="5"/>
  <c r="L1200" i="5"/>
  <c r="M1200" i="5" s="1"/>
  <c r="N1200" i="5"/>
  <c r="K1201" i="5"/>
  <c r="L1201" i="5"/>
  <c r="M1201" i="5" s="1"/>
  <c r="N1201" i="5"/>
  <c r="K1202" i="5"/>
  <c r="L1202" i="5"/>
  <c r="M1202" i="5" s="1"/>
  <c r="N1202" i="5"/>
  <c r="K1203" i="5"/>
  <c r="L1203" i="5"/>
  <c r="M1203" i="5" s="1"/>
  <c r="N1203" i="5"/>
  <c r="K1204" i="5"/>
  <c r="L1204" i="5"/>
  <c r="M1204" i="5" s="1"/>
  <c r="N1204" i="5"/>
  <c r="K1205" i="5"/>
  <c r="L1205" i="5"/>
  <c r="M1205" i="5" s="1"/>
  <c r="N1205" i="5"/>
  <c r="K1206" i="5"/>
  <c r="L1206" i="5"/>
  <c r="M1206" i="5" s="1"/>
  <c r="N1206" i="5"/>
  <c r="K1207" i="5"/>
  <c r="L1207" i="5"/>
  <c r="M1207" i="5" s="1"/>
  <c r="N1207" i="5"/>
  <c r="K1208" i="5"/>
  <c r="L1208" i="5"/>
  <c r="M1208" i="5" s="1"/>
  <c r="N1208" i="5"/>
  <c r="K1209" i="5"/>
  <c r="L1209" i="5"/>
  <c r="M1209" i="5" s="1"/>
  <c r="N1209" i="5"/>
  <c r="K1210" i="5"/>
  <c r="L1210" i="5"/>
  <c r="M1210" i="5" s="1"/>
  <c r="N1210" i="5"/>
  <c r="K1211" i="5"/>
  <c r="L1211" i="5"/>
  <c r="M1211" i="5" s="1"/>
  <c r="N1211" i="5"/>
  <c r="K1212" i="5"/>
  <c r="L1212" i="5"/>
  <c r="M1212" i="5" s="1"/>
  <c r="N1212" i="5"/>
  <c r="K1213" i="5"/>
  <c r="L1213" i="5"/>
  <c r="M1213" i="5" s="1"/>
  <c r="N1213" i="5"/>
  <c r="K1214" i="5"/>
  <c r="L1214" i="5"/>
  <c r="M1214" i="5" s="1"/>
  <c r="N1214" i="5"/>
  <c r="K1215" i="5"/>
  <c r="L1215" i="5"/>
  <c r="M1215" i="5" s="1"/>
  <c r="N1215" i="5"/>
  <c r="K1216" i="5"/>
  <c r="L1216" i="5"/>
  <c r="M1216" i="5" s="1"/>
  <c r="N1216" i="5"/>
  <c r="K1217" i="5"/>
  <c r="L1217" i="5"/>
  <c r="M1217" i="5" s="1"/>
  <c r="N1217" i="5"/>
  <c r="K1218" i="5"/>
  <c r="L1218" i="5"/>
  <c r="M1218" i="5" s="1"/>
  <c r="N1218" i="5"/>
  <c r="K1219" i="5"/>
  <c r="L1219" i="5"/>
  <c r="M1219" i="5" s="1"/>
  <c r="N1219" i="5"/>
  <c r="K1220" i="5"/>
  <c r="L1220" i="5"/>
  <c r="M1220" i="5" s="1"/>
  <c r="N1220" i="5"/>
  <c r="K1221" i="5"/>
  <c r="L1221" i="5"/>
  <c r="M1221" i="5" s="1"/>
  <c r="N1221" i="5"/>
  <c r="K1222" i="5"/>
  <c r="L1222" i="5"/>
  <c r="M1222" i="5" s="1"/>
  <c r="N1222" i="5"/>
  <c r="K1223" i="5"/>
  <c r="L1223" i="5"/>
  <c r="M1223" i="5" s="1"/>
  <c r="N1223" i="5"/>
  <c r="K1224" i="5"/>
  <c r="L1224" i="5"/>
  <c r="M1224" i="5" s="1"/>
  <c r="N1224" i="5"/>
  <c r="K1225" i="5"/>
  <c r="L1225" i="5"/>
  <c r="M1225" i="5" s="1"/>
  <c r="N1225" i="5"/>
  <c r="K1226" i="5"/>
  <c r="L1226" i="5"/>
  <c r="M1226" i="5" s="1"/>
  <c r="N1226" i="5"/>
  <c r="K1227" i="5"/>
  <c r="L1227" i="5"/>
  <c r="M1227" i="5" s="1"/>
  <c r="N1227" i="5"/>
  <c r="K1228" i="5"/>
  <c r="L1228" i="5"/>
  <c r="M1228" i="5" s="1"/>
  <c r="N1228" i="5"/>
  <c r="K1229" i="5"/>
  <c r="L1229" i="5"/>
  <c r="M1229" i="5" s="1"/>
  <c r="N1229" i="5"/>
  <c r="K1230" i="5"/>
  <c r="L1230" i="5"/>
  <c r="M1230" i="5" s="1"/>
  <c r="N1230" i="5"/>
  <c r="K1231" i="5"/>
  <c r="L1231" i="5"/>
  <c r="M1231" i="5" s="1"/>
  <c r="N1231" i="5"/>
  <c r="K1232" i="5"/>
  <c r="L1232" i="5"/>
  <c r="M1232" i="5" s="1"/>
  <c r="N1232" i="5"/>
  <c r="K1233" i="5"/>
  <c r="L1233" i="5"/>
  <c r="M1233" i="5" s="1"/>
  <c r="N1233" i="5"/>
  <c r="K1234" i="5"/>
  <c r="L1234" i="5"/>
  <c r="M1234" i="5" s="1"/>
  <c r="N1234" i="5"/>
  <c r="K1235" i="5"/>
  <c r="L1235" i="5"/>
  <c r="M1235" i="5" s="1"/>
  <c r="N1235" i="5"/>
  <c r="K1236" i="5"/>
  <c r="L1236" i="5"/>
  <c r="M1236" i="5" s="1"/>
  <c r="N1236" i="5"/>
  <c r="K1237" i="5"/>
  <c r="L1237" i="5"/>
  <c r="M1237" i="5" s="1"/>
  <c r="N1237" i="5"/>
  <c r="K1238" i="5"/>
  <c r="L1238" i="5"/>
  <c r="M1238" i="5" s="1"/>
  <c r="N1238" i="5"/>
  <c r="K1239" i="5"/>
  <c r="L1239" i="5"/>
  <c r="M1239" i="5" s="1"/>
  <c r="N1239" i="5"/>
  <c r="K1240" i="5"/>
  <c r="L1240" i="5"/>
  <c r="M1240" i="5" s="1"/>
  <c r="N1240" i="5"/>
  <c r="K1241" i="5"/>
  <c r="L1241" i="5"/>
  <c r="M1241" i="5" s="1"/>
  <c r="N1241" i="5"/>
  <c r="K1242" i="5"/>
  <c r="L1242" i="5"/>
  <c r="M1242" i="5" s="1"/>
  <c r="N1242" i="5"/>
  <c r="K1243" i="5"/>
  <c r="L1243" i="5"/>
  <c r="M1243" i="5" s="1"/>
  <c r="N1243" i="5"/>
  <c r="K1244" i="5"/>
  <c r="L1244" i="5"/>
  <c r="M1244" i="5" s="1"/>
  <c r="N1244" i="5"/>
  <c r="K1245" i="5"/>
  <c r="L1245" i="5"/>
  <c r="M1245" i="5" s="1"/>
  <c r="N1245" i="5"/>
  <c r="K1246" i="5"/>
  <c r="L1246" i="5"/>
  <c r="M1246" i="5" s="1"/>
  <c r="N1246" i="5"/>
  <c r="K1247" i="5"/>
  <c r="L1247" i="5"/>
  <c r="M1247" i="5" s="1"/>
  <c r="N1247" i="5"/>
  <c r="K1248" i="5"/>
  <c r="L1248" i="5"/>
  <c r="M1248" i="5" s="1"/>
  <c r="N1248" i="5"/>
  <c r="K1249" i="5"/>
  <c r="L1249" i="5"/>
  <c r="M1249" i="5" s="1"/>
  <c r="N1249" i="5"/>
  <c r="K1250" i="5"/>
  <c r="L1250" i="5"/>
  <c r="M1250" i="5" s="1"/>
  <c r="N1250" i="5"/>
  <c r="K1251" i="5"/>
  <c r="L1251" i="5"/>
  <c r="M1251" i="5" s="1"/>
  <c r="N1251" i="5"/>
  <c r="K1252" i="5"/>
  <c r="L1252" i="5"/>
  <c r="M1252" i="5" s="1"/>
  <c r="N1252" i="5"/>
  <c r="K1253" i="5"/>
  <c r="L1253" i="5"/>
  <c r="M1253" i="5" s="1"/>
  <c r="N1253" i="5"/>
  <c r="K1254" i="5"/>
  <c r="L1254" i="5"/>
  <c r="M1254" i="5" s="1"/>
  <c r="N1254" i="5"/>
  <c r="K1255" i="5"/>
  <c r="L1255" i="5"/>
  <c r="M1255" i="5" s="1"/>
  <c r="N1255" i="5"/>
  <c r="K1256" i="5"/>
  <c r="L1256" i="5"/>
  <c r="M1256" i="5" s="1"/>
  <c r="N1256" i="5"/>
  <c r="K1257" i="5"/>
  <c r="L1257" i="5"/>
  <c r="M1257" i="5" s="1"/>
  <c r="N1257" i="5"/>
  <c r="K1258" i="5"/>
  <c r="L1258" i="5"/>
  <c r="M1258" i="5" s="1"/>
  <c r="N1258" i="5"/>
  <c r="K1259" i="5"/>
  <c r="L1259" i="5"/>
  <c r="M1259" i="5" s="1"/>
  <c r="N1259" i="5"/>
  <c r="K1260" i="5"/>
  <c r="L1260" i="5"/>
  <c r="M1260" i="5" s="1"/>
  <c r="N1260" i="5"/>
  <c r="K1261" i="5"/>
  <c r="L1261" i="5"/>
  <c r="M1261" i="5" s="1"/>
  <c r="N1261" i="5"/>
  <c r="K1262" i="5"/>
  <c r="L1262" i="5"/>
  <c r="M1262" i="5" s="1"/>
  <c r="N1262" i="5"/>
  <c r="K1263" i="5"/>
  <c r="L1263" i="5"/>
  <c r="M1263" i="5" s="1"/>
  <c r="N1263" i="5"/>
  <c r="K1264" i="5"/>
  <c r="L1264" i="5"/>
  <c r="M1264" i="5" s="1"/>
  <c r="N1264" i="5"/>
  <c r="K1265" i="5"/>
  <c r="L1265" i="5"/>
  <c r="M1265" i="5" s="1"/>
  <c r="N1265" i="5"/>
  <c r="K1266" i="5"/>
  <c r="L1266" i="5"/>
  <c r="M1266" i="5" s="1"/>
  <c r="N1266" i="5"/>
  <c r="K1267" i="5"/>
  <c r="L1267" i="5"/>
  <c r="M1267" i="5" s="1"/>
  <c r="N1267" i="5"/>
  <c r="K1268" i="5"/>
  <c r="L1268" i="5"/>
  <c r="M1268" i="5" s="1"/>
  <c r="N1268" i="5"/>
  <c r="K1269" i="5"/>
  <c r="L1269" i="5"/>
  <c r="M1269" i="5" s="1"/>
  <c r="N1269" i="5"/>
  <c r="K1270" i="5"/>
  <c r="L1270" i="5"/>
  <c r="M1270" i="5" s="1"/>
  <c r="N1270" i="5"/>
  <c r="K1271" i="5"/>
  <c r="L1271" i="5"/>
  <c r="M1271" i="5" s="1"/>
  <c r="N1271" i="5"/>
  <c r="K1272" i="5"/>
  <c r="L1272" i="5"/>
  <c r="M1272" i="5" s="1"/>
  <c r="N1272" i="5"/>
  <c r="K1273" i="5"/>
  <c r="L1273" i="5"/>
  <c r="M1273" i="5" s="1"/>
  <c r="N1273" i="5"/>
  <c r="K1274" i="5"/>
  <c r="L1274" i="5"/>
  <c r="M1274" i="5" s="1"/>
  <c r="N1274" i="5"/>
  <c r="K1275" i="5"/>
  <c r="L1275" i="5"/>
  <c r="M1275" i="5" s="1"/>
  <c r="N1275" i="5"/>
  <c r="K1276" i="5"/>
  <c r="L1276" i="5"/>
  <c r="M1276" i="5" s="1"/>
  <c r="N1276" i="5"/>
  <c r="K1277" i="5"/>
  <c r="L1277" i="5"/>
  <c r="M1277" i="5" s="1"/>
  <c r="N1277" i="5"/>
  <c r="K1278" i="5"/>
  <c r="L1278" i="5"/>
  <c r="M1278" i="5" s="1"/>
  <c r="N1278" i="5"/>
  <c r="K1279" i="5"/>
  <c r="L1279" i="5"/>
  <c r="M1279" i="5" s="1"/>
  <c r="N1279" i="5"/>
  <c r="K1280" i="5"/>
  <c r="L1280" i="5"/>
  <c r="M1280" i="5" s="1"/>
  <c r="N1280" i="5"/>
  <c r="K1281" i="5"/>
  <c r="L1281" i="5"/>
  <c r="M1281" i="5" s="1"/>
  <c r="N1281" i="5"/>
  <c r="K1282" i="5"/>
  <c r="L1282" i="5"/>
  <c r="M1282" i="5" s="1"/>
  <c r="N1282" i="5"/>
  <c r="K1283" i="5"/>
  <c r="L1283" i="5"/>
  <c r="M1283" i="5" s="1"/>
  <c r="N1283" i="5"/>
  <c r="K1284" i="5"/>
  <c r="L1284" i="5"/>
  <c r="M1284" i="5" s="1"/>
  <c r="N1284" i="5"/>
  <c r="K1285" i="5"/>
  <c r="L1285" i="5"/>
  <c r="M1285" i="5" s="1"/>
  <c r="N1285" i="5"/>
  <c r="K1286" i="5"/>
  <c r="L1286" i="5"/>
  <c r="M1286" i="5" s="1"/>
  <c r="N1286" i="5"/>
  <c r="K1287" i="5"/>
  <c r="L1287" i="5"/>
  <c r="M1287" i="5" s="1"/>
  <c r="N1287" i="5"/>
  <c r="K1288" i="5"/>
  <c r="L1288" i="5"/>
  <c r="M1288" i="5" s="1"/>
  <c r="N1288" i="5"/>
  <c r="K1289" i="5"/>
  <c r="L1289" i="5"/>
  <c r="M1289" i="5" s="1"/>
  <c r="N1289" i="5"/>
  <c r="K1290" i="5"/>
  <c r="L1290" i="5"/>
  <c r="M1290" i="5" s="1"/>
  <c r="N1290" i="5"/>
  <c r="K1291" i="5"/>
  <c r="L1291" i="5"/>
  <c r="M1291" i="5" s="1"/>
  <c r="N1291" i="5"/>
  <c r="K1292" i="5"/>
  <c r="L1292" i="5"/>
  <c r="M1292" i="5" s="1"/>
  <c r="N1292" i="5"/>
  <c r="K1293" i="5"/>
  <c r="L1293" i="5"/>
  <c r="M1293" i="5" s="1"/>
  <c r="N1293" i="5"/>
  <c r="K1294" i="5"/>
  <c r="L1294" i="5"/>
  <c r="M1294" i="5" s="1"/>
  <c r="N1294" i="5"/>
  <c r="K1295" i="5"/>
  <c r="L1295" i="5"/>
  <c r="M1295" i="5" s="1"/>
  <c r="N1295" i="5"/>
  <c r="K1296" i="5"/>
  <c r="L1296" i="5"/>
  <c r="M1296" i="5" s="1"/>
  <c r="N1296" i="5"/>
  <c r="K1297" i="5"/>
  <c r="L1297" i="5"/>
  <c r="M1297" i="5" s="1"/>
  <c r="N1297" i="5"/>
  <c r="K1298" i="5"/>
  <c r="L1298" i="5"/>
  <c r="M1298" i="5" s="1"/>
  <c r="N1298" i="5"/>
  <c r="K1299" i="5"/>
  <c r="L1299" i="5"/>
  <c r="M1299" i="5" s="1"/>
  <c r="N1299" i="5"/>
  <c r="K1300" i="5"/>
  <c r="L1300" i="5"/>
  <c r="M1300" i="5" s="1"/>
  <c r="N1300" i="5"/>
  <c r="K1301" i="5"/>
  <c r="L1301" i="5"/>
  <c r="M1301" i="5" s="1"/>
  <c r="N1301" i="5"/>
  <c r="K1302" i="5"/>
  <c r="L1302" i="5"/>
  <c r="M1302" i="5" s="1"/>
  <c r="N1302" i="5"/>
  <c r="K1303" i="5"/>
  <c r="L1303" i="5"/>
  <c r="M1303" i="5" s="1"/>
  <c r="N1303" i="5"/>
  <c r="K1304" i="5"/>
  <c r="L1304" i="5"/>
  <c r="M1304" i="5" s="1"/>
  <c r="N1304" i="5"/>
  <c r="K1305" i="5"/>
  <c r="L1305" i="5"/>
  <c r="M1305" i="5" s="1"/>
  <c r="N1305" i="5"/>
  <c r="K1306" i="5"/>
  <c r="L1306" i="5"/>
  <c r="M1306" i="5" s="1"/>
  <c r="N1306" i="5"/>
  <c r="K1307" i="5"/>
  <c r="L1307" i="5"/>
  <c r="M1307" i="5" s="1"/>
  <c r="N1307" i="5"/>
  <c r="K1308" i="5"/>
  <c r="L1308" i="5"/>
  <c r="M1308" i="5" s="1"/>
  <c r="N1308" i="5"/>
  <c r="K1309" i="5"/>
  <c r="L1309" i="5"/>
  <c r="M1309" i="5" s="1"/>
  <c r="N1309" i="5"/>
  <c r="K1310" i="5"/>
  <c r="L1310" i="5"/>
  <c r="M1310" i="5" s="1"/>
  <c r="N1310" i="5"/>
  <c r="K1311" i="5"/>
  <c r="L1311" i="5"/>
  <c r="M1311" i="5" s="1"/>
  <c r="N1311" i="5"/>
  <c r="K1312" i="5"/>
  <c r="L1312" i="5"/>
  <c r="M1312" i="5" s="1"/>
  <c r="N1312" i="5"/>
  <c r="K1313" i="5"/>
  <c r="L1313" i="5"/>
  <c r="M1313" i="5" s="1"/>
  <c r="N1313" i="5"/>
  <c r="K1314" i="5"/>
  <c r="L1314" i="5"/>
  <c r="M1314" i="5" s="1"/>
  <c r="N1314" i="5"/>
  <c r="K1315" i="5"/>
  <c r="L1315" i="5"/>
  <c r="M1315" i="5" s="1"/>
  <c r="N1315" i="5"/>
  <c r="K1316" i="5"/>
  <c r="L1316" i="5"/>
  <c r="M1316" i="5" s="1"/>
  <c r="N1316" i="5"/>
  <c r="K1317" i="5"/>
  <c r="L1317" i="5"/>
  <c r="M1317" i="5" s="1"/>
  <c r="N1317" i="5"/>
  <c r="K1318" i="5"/>
  <c r="L1318" i="5"/>
  <c r="M1318" i="5" s="1"/>
  <c r="N1318" i="5"/>
  <c r="K1319" i="5"/>
  <c r="L1319" i="5"/>
  <c r="M1319" i="5" s="1"/>
  <c r="N1319" i="5"/>
  <c r="K1320" i="5"/>
  <c r="L1320" i="5"/>
  <c r="M1320" i="5" s="1"/>
  <c r="N1320" i="5"/>
  <c r="K1321" i="5"/>
  <c r="L1321" i="5"/>
  <c r="M1321" i="5" s="1"/>
  <c r="N1321" i="5"/>
  <c r="K1322" i="5"/>
  <c r="L1322" i="5"/>
  <c r="M1322" i="5" s="1"/>
  <c r="N1322" i="5"/>
  <c r="K1323" i="5"/>
  <c r="L1323" i="5"/>
  <c r="M1323" i="5" s="1"/>
  <c r="N1323" i="5"/>
  <c r="K1324" i="5"/>
  <c r="L1324" i="5"/>
  <c r="M1324" i="5" s="1"/>
  <c r="N1324" i="5"/>
  <c r="K1325" i="5"/>
  <c r="L1325" i="5"/>
  <c r="M1325" i="5" s="1"/>
  <c r="N1325" i="5"/>
  <c r="K1326" i="5"/>
  <c r="L1326" i="5"/>
  <c r="M1326" i="5" s="1"/>
  <c r="N1326" i="5"/>
  <c r="K1327" i="5"/>
  <c r="L1327" i="5"/>
  <c r="M1327" i="5" s="1"/>
  <c r="N1327" i="5"/>
  <c r="K1328" i="5"/>
  <c r="L1328" i="5"/>
  <c r="M1328" i="5" s="1"/>
  <c r="N1328" i="5"/>
  <c r="K1329" i="5"/>
  <c r="L1329" i="5"/>
  <c r="M1329" i="5" s="1"/>
  <c r="N1329" i="5"/>
  <c r="K1330" i="5"/>
  <c r="L1330" i="5"/>
  <c r="M1330" i="5" s="1"/>
  <c r="N1330" i="5"/>
  <c r="K1331" i="5"/>
  <c r="L1331" i="5"/>
  <c r="M1331" i="5" s="1"/>
  <c r="N1331" i="5"/>
  <c r="K1332" i="5"/>
  <c r="L1332" i="5"/>
  <c r="M1332" i="5" s="1"/>
  <c r="N1332" i="5"/>
  <c r="K1333" i="5"/>
  <c r="L1333" i="5"/>
  <c r="M1333" i="5" s="1"/>
  <c r="N1333" i="5"/>
  <c r="K1334" i="5"/>
  <c r="L1334" i="5"/>
  <c r="M1334" i="5" s="1"/>
  <c r="N1334" i="5"/>
  <c r="K1335" i="5"/>
  <c r="L1335" i="5"/>
  <c r="M1335" i="5" s="1"/>
  <c r="N1335" i="5"/>
  <c r="K1336" i="5"/>
  <c r="L1336" i="5"/>
  <c r="M1336" i="5" s="1"/>
  <c r="N1336" i="5"/>
  <c r="K1337" i="5"/>
  <c r="L1337" i="5"/>
  <c r="M1337" i="5" s="1"/>
  <c r="N1337" i="5"/>
  <c r="K1338" i="5"/>
  <c r="L1338" i="5"/>
  <c r="M1338" i="5" s="1"/>
  <c r="N1338" i="5"/>
  <c r="K1339" i="5"/>
  <c r="L1339" i="5"/>
  <c r="M1339" i="5" s="1"/>
  <c r="N1339" i="5"/>
  <c r="K1340" i="5"/>
  <c r="L1340" i="5"/>
  <c r="M1340" i="5" s="1"/>
  <c r="N1340" i="5"/>
  <c r="K1341" i="5"/>
  <c r="L1341" i="5"/>
  <c r="M1341" i="5" s="1"/>
  <c r="N1341" i="5"/>
  <c r="K1342" i="5"/>
  <c r="L1342" i="5"/>
  <c r="M1342" i="5" s="1"/>
  <c r="N1342" i="5"/>
  <c r="K1343" i="5"/>
  <c r="L1343" i="5"/>
  <c r="M1343" i="5" s="1"/>
  <c r="N1343" i="5"/>
  <c r="K1344" i="5"/>
  <c r="L1344" i="5"/>
  <c r="M1344" i="5" s="1"/>
  <c r="N1344" i="5"/>
  <c r="K1345" i="5"/>
  <c r="L1345" i="5"/>
  <c r="M1345" i="5" s="1"/>
  <c r="N1345" i="5"/>
  <c r="K1346" i="5"/>
  <c r="L1346" i="5"/>
  <c r="M1346" i="5" s="1"/>
  <c r="N1346" i="5"/>
  <c r="K1347" i="5"/>
  <c r="L1347" i="5"/>
  <c r="M1347" i="5" s="1"/>
  <c r="N1347" i="5"/>
  <c r="K1348" i="5"/>
  <c r="L1348" i="5"/>
  <c r="M1348" i="5" s="1"/>
  <c r="N1348" i="5"/>
  <c r="K1349" i="5"/>
  <c r="L1349" i="5"/>
  <c r="M1349" i="5" s="1"/>
  <c r="N1349" i="5"/>
  <c r="K1350" i="5"/>
  <c r="L1350" i="5"/>
  <c r="M1350" i="5" s="1"/>
  <c r="N1350" i="5"/>
  <c r="K1351" i="5"/>
  <c r="L1351" i="5"/>
  <c r="M1351" i="5" s="1"/>
  <c r="N1351" i="5"/>
  <c r="K1352" i="5"/>
  <c r="L1352" i="5"/>
  <c r="M1352" i="5" s="1"/>
  <c r="N1352" i="5"/>
  <c r="K1353" i="5"/>
  <c r="L1353" i="5"/>
  <c r="M1353" i="5" s="1"/>
  <c r="N1353" i="5"/>
  <c r="K1354" i="5"/>
  <c r="L1354" i="5"/>
  <c r="M1354" i="5" s="1"/>
  <c r="N1354" i="5"/>
  <c r="K1355" i="5"/>
  <c r="L1355" i="5"/>
  <c r="M1355" i="5" s="1"/>
  <c r="N1355" i="5"/>
  <c r="K1356" i="5"/>
  <c r="L1356" i="5"/>
  <c r="M1356" i="5" s="1"/>
  <c r="N1356" i="5"/>
  <c r="K1357" i="5"/>
  <c r="L1357" i="5"/>
  <c r="M1357" i="5" s="1"/>
  <c r="N1357" i="5"/>
  <c r="K1358" i="5"/>
  <c r="L1358" i="5"/>
  <c r="M1358" i="5" s="1"/>
  <c r="N1358" i="5"/>
  <c r="K1359" i="5"/>
  <c r="L1359" i="5"/>
  <c r="M1359" i="5" s="1"/>
  <c r="N1359" i="5"/>
  <c r="K1360" i="5"/>
  <c r="L1360" i="5"/>
  <c r="M1360" i="5" s="1"/>
  <c r="N1360" i="5"/>
  <c r="K1361" i="5"/>
  <c r="L1361" i="5"/>
  <c r="M1361" i="5" s="1"/>
  <c r="N1361" i="5"/>
  <c r="K1362" i="5"/>
  <c r="L1362" i="5"/>
  <c r="M1362" i="5" s="1"/>
  <c r="N1362" i="5"/>
  <c r="K1363" i="5"/>
  <c r="L1363" i="5"/>
  <c r="M1363" i="5" s="1"/>
  <c r="N1363" i="5"/>
  <c r="K1364" i="5"/>
  <c r="L1364" i="5"/>
  <c r="M1364" i="5" s="1"/>
  <c r="N1364" i="5"/>
  <c r="K1365" i="5"/>
  <c r="L1365" i="5"/>
  <c r="M1365" i="5" s="1"/>
  <c r="N1365" i="5"/>
  <c r="K1366" i="5"/>
  <c r="L1366" i="5"/>
  <c r="M1366" i="5" s="1"/>
  <c r="N1366" i="5"/>
  <c r="K1367" i="5"/>
  <c r="L1367" i="5"/>
  <c r="M1367" i="5" s="1"/>
  <c r="N1367" i="5"/>
  <c r="K1368" i="5"/>
  <c r="L1368" i="5"/>
  <c r="M1368" i="5" s="1"/>
  <c r="N1368" i="5"/>
  <c r="K1369" i="5"/>
  <c r="L1369" i="5"/>
  <c r="M1369" i="5" s="1"/>
  <c r="N1369" i="5"/>
  <c r="K1370" i="5"/>
  <c r="L1370" i="5"/>
  <c r="M1370" i="5" s="1"/>
  <c r="N1370" i="5"/>
  <c r="K1371" i="5"/>
  <c r="L1371" i="5"/>
  <c r="M1371" i="5" s="1"/>
  <c r="N1371" i="5"/>
  <c r="K1372" i="5"/>
  <c r="L1372" i="5"/>
  <c r="M1372" i="5" s="1"/>
  <c r="N1372" i="5"/>
  <c r="K1373" i="5"/>
  <c r="L1373" i="5"/>
  <c r="M1373" i="5" s="1"/>
  <c r="N1373" i="5"/>
  <c r="K1374" i="5"/>
  <c r="L1374" i="5"/>
  <c r="M1374" i="5" s="1"/>
  <c r="N1374" i="5"/>
  <c r="K1375" i="5"/>
  <c r="L1375" i="5"/>
  <c r="M1375" i="5" s="1"/>
  <c r="N1375" i="5"/>
  <c r="K1376" i="5"/>
  <c r="L1376" i="5"/>
  <c r="M1376" i="5" s="1"/>
  <c r="N1376" i="5"/>
  <c r="K1377" i="5"/>
  <c r="L1377" i="5"/>
  <c r="M1377" i="5" s="1"/>
  <c r="N1377" i="5"/>
  <c r="K1378" i="5"/>
  <c r="L1378" i="5"/>
  <c r="M1378" i="5" s="1"/>
  <c r="N1378" i="5"/>
  <c r="K1379" i="5"/>
  <c r="L1379" i="5"/>
  <c r="M1379" i="5" s="1"/>
  <c r="N1379" i="5"/>
  <c r="K1380" i="5"/>
  <c r="L1380" i="5"/>
  <c r="M1380" i="5" s="1"/>
  <c r="N1380" i="5"/>
  <c r="K1381" i="5"/>
  <c r="L1381" i="5"/>
  <c r="M1381" i="5" s="1"/>
  <c r="N1381" i="5"/>
  <c r="K1382" i="5"/>
  <c r="L1382" i="5"/>
  <c r="M1382" i="5" s="1"/>
  <c r="N1382" i="5"/>
  <c r="K1383" i="5"/>
  <c r="L1383" i="5"/>
  <c r="M1383" i="5" s="1"/>
  <c r="N1383" i="5"/>
  <c r="K1384" i="5"/>
  <c r="L1384" i="5"/>
  <c r="M1384" i="5" s="1"/>
  <c r="N1384" i="5"/>
  <c r="K1385" i="5"/>
  <c r="L1385" i="5"/>
  <c r="M1385" i="5" s="1"/>
  <c r="N1385" i="5"/>
  <c r="K1386" i="5"/>
  <c r="L1386" i="5"/>
  <c r="M1386" i="5" s="1"/>
  <c r="N1386" i="5"/>
  <c r="K1387" i="5"/>
  <c r="L1387" i="5"/>
  <c r="M1387" i="5" s="1"/>
  <c r="N1387" i="5"/>
  <c r="K1388" i="5"/>
  <c r="L1388" i="5"/>
  <c r="M1388" i="5" s="1"/>
  <c r="N1388" i="5"/>
  <c r="K1389" i="5"/>
  <c r="L1389" i="5"/>
  <c r="M1389" i="5" s="1"/>
  <c r="N1389" i="5"/>
  <c r="K1390" i="5"/>
  <c r="L1390" i="5"/>
  <c r="M1390" i="5" s="1"/>
  <c r="N1390" i="5"/>
  <c r="K1391" i="5"/>
  <c r="L1391" i="5"/>
  <c r="M1391" i="5" s="1"/>
  <c r="N1391" i="5"/>
  <c r="K1392" i="5"/>
  <c r="L1392" i="5"/>
  <c r="M1392" i="5" s="1"/>
  <c r="N1392" i="5"/>
  <c r="K1393" i="5"/>
  <c r="L1393" i="5"/>
  <c r="M1393" i="5" s="1"/>
  <c r="N1393" i="5"/>
  <c r="K1394" i="5"/>
  <c r="L1394" i="5"/>
  <c r="M1394" i="5" s="1"/>
  <c r="N1394" i="5"/>
  <c r="K1395" i="5"/>
  <c r="L1395" i="5"/>
  <c r="M1395" i="5" s="1"/>
  <c r="N1395" i="5"/>
  <c r="K1396" i="5"/>
  <c r="L1396" i="5"/>
  <c r="M1396" i="5" s="1"/>
  <c r="N1396" i="5"/>
  <c r="K1397" i="5"/>
  <c r="L1397" i="5"/>
  <c r="M1397" i="5" s="1"/>
  <c r="N1397" i="5"/>
  <c r="K1398" i="5"/>
  <c r="L1398" i="5"/>
  <c r="M1398" i="5" s="1"/>
  <c r="N1398" i="5"/>
  <c r="K1399" i="5"/>
  <c r="L1399" i="5"/>
  <c r="M1399" i="5" s="1"/>
  <c r="N1399" i="5"/>
  <c r="K1400" i="5"/>
  <c r="L1400" i="5"/>
  <c r="M1400" i="5" s="1"/>
  <c r="N1400" i="5"/>
  <c r="K1401" i="5"/>
  <c r="L1401" i="5"/>
  <c r="M1401" i="5" s="1"/>
  <c r="N1401" i="5"/>
  <c r="K1402" i="5"/>
  <c r="L1402" i="5"/>
  <c r="M1402" i="5" s="1"/>
  <c r="N1402" i="5"/>
  <c r="K1403" i="5"/>
  <c r="L1403" i="5"/>
  <c r="M1403" i="5" s="1"/>
  <c r="N1403" i="5"/>
  <c r="K1404" i="5"/>
  <c r="L1404" i="5"/>
  <c r="M1404" i="5" s="1"/>
  <c r="N1404" i="5"/>
  <c r="K1405" i="5"/>
  <c r="L1405" i="5"/>
  <c r="M1405" i="5" s="1"/>
  <c r="N1405" i="5"/>
  <c r="K1406" i="5"/>
  <c r="L1406" i="5"/>
  <c r="M1406" i="5" s="1"/>
  <c r="N1406" i="5"/>
  <c r="K1407" i="5"/>
  <c r="L1407" i="5"/>
  <c r="M1407" i="5" s="1"/>
  <c r="N1407" i="5"/>
  <c r="K1408" i="5"/>
  <c r="L1408" i="5"/>
  <c r="M1408" i="5" s="1"/>
  <c r="N1408" i="5"/>
  <c r="K1409" i="5"/>
  <c r="L1409" i="5"/>
  <c r="M1409" i="5" s="1"/>
  <c r="N1409" i="5"/>
  <c r="K1410" i="5"/>
  <c r="L1410" i="5"/>
  <c r="M1410" i="5" s="1"/>
  <c r="N1410" i="5"/>
  <c r="K1411" i="5"/>
  <c r="L1411" i="5"/>
  <c r="M1411" i="5" s="1"/>
  <c r="N1411" i="5"/>
  <c r="K1412" i="5"/>
  <c r="L1412" i="5"/>
  <c r="M1412" i="5" s="1"/>
  <c r="N1412" i="5"/>
  <c r="K1413" i="5"/>
  <c r="L1413" i="5"/>
  <c r="M1413" i="5" s="1"/>
  <c r="N1413" i="5"/>
  <c r="K1414" i="5"/>
  <c r="L1414" i="5"/>
  <c r="M1414" i="5" s="1"/>
  <c r="N1414" i="5"/>
  <c r="K1415" i="5"/>
  <c r="L1415" i="5"/>
  <c r="M1415" i="5" s="1"/>
  <c r="N1415" i="5"/>
  <c r="K1416" i="5"/>
  <c r="L1416" i="5"/>
  <c r="M1416" i="5" s="1"/>
  <c r="N1416" i="5"/>
  <c r="K1417" i="5"/>
  <c r="L1417" i="5"/>
  <c r="M1417" i="5" s="1"/>
  <c r="N1417" i="5"/>
  <c r="K1418" i="5"/>
  <c r="L1418" i="5"/>
  <c r="M1418" i="5" s="1"/>
  <c r="N1418" i="5"/>
  <c r="K1419" i="5"/>
  <c r="L1419" i="5"/>
  <c r="M1419" i="5" s="1"/>
  <c r="N1419" i="5"/>
  <c r="K1420" i="5"/>
  <c r="L1420" i="5"/>
  <c r="M1420" i="5" s="1"/>
  <c r="N1420" i="5"/>
  <c r="K1421" i="5"/>
  <c r="L1421" i="5"/>
  <c r="M1421" i="5" s="1"/>
  <c r="N1421" i="5"/>
  <c r="K1422" i="5"/>
  <c r="L1422" i="5"/>
  <c r="M1422" i="5" s="1"/>
  <c r="N1422" i="5"/>
  <c r="K1423" i="5"/>
  <c r="L1423" i="5"/>
  <c r="M1423" i="5" s="1"/>
  <c r="N1423" i="5"/>
  <c r="K1424" i="5"/>
  <c r="L1424" i="5"/>
  <c r="M1424" i="5" s="1"/>
  <c r="N1424" i="5"/>
  <c r="K1425" i="5"/>
  <c r="L1425" i="5"/>
  <c r="M1425" i="5" s="1"/>
  <c r="N1425" i="5"/>
  <c r="K1426" i="5"/>
  <c r="L1426" i="5"/>
  <c r="M1426" i="5" s="1"/>
  <c r="N1426" i="5"/>
  <c r="K1427" i="5"/>
  <c r="L1427" i="5"/>
  <c r="M1427" i="5" s="1"/>
  <c r="N1427" i="5"/>
  <c r="K1428" i="5"/>
  <c r="L1428" i="5"/>
  <c r="M1428" i="5" s="1"/>
  <c r="N1428" i="5"/>
  <c r="K1429" i="5"/>
  <c r="L1429" i="5"/>
  <c r="M1429" i="5" s="1"/>
  <c r="N1429" i="5"/>
  <c r="K1430" i="5"/>
  <c r="L1430" i="5"/>
  <c r="M1430" i="5" s="1"/>
  <c r="N1430" i="5"/>
  <c r="K1431" i="5"/>
  <c r="L1431" i="5"/>
  <c r="M1431" i="5" s="1"/>
  <c r="N1431" i="5"/>
  <c r="K1432" i="5"/>
  <c r="L1432" i="5"/>
  <c r="M1432" i="5" s="1"/>
  <c r="N1432" i="5"/>
  <c r="K1433" i="5"/>
  <c r="L1433" i="5"/>
  <c r="M1433" i="5" s="1"/>
  <c r="N1433" i="5"/>
  <c r="K1434" i="5"/>
  <c r="L1434" i="5"/>
  <c r="M1434" i="5" s="1"/>
  <c r="N1434" i="5"/>
  <c r="K1435" i="5"/>
  <c r="L1435" i="5"/>
  <c r="M1435" i="5" s="1"/>
  <c r="N1435" i="5"/>
  <c r="K1436" i="5"/>
  <c r="L1436" i="5"/>
  <c r="M1436" i="5" s="1"/>
  <c r="N1436" i="5"/>
  <c r="K1437" i="5"/>
  <c r="L1437" i="5"/>
  <c r="M1437" i="5" s="1"/>
  <c r="N1437" i="5"/>
  <c r="K1438" i="5"/>
  <c r="L1438" i="5"/>
  <c r="M1438" i="5" s="1"/>
  <c r="N1438" i="5"/>
  <c r="K1439" i="5"/>
  <c r="L1439" i="5"/>
  <c r="M1439" i="5" s="1"/>
  <c r="N1439" i="5"/>
  <c r="K1440" i="5"/>
  <c r="L1440" i="5"/>
  <c r="M1440" i="5" s="1"/>
  <c r="N1440" i="5"/>
  <c r="K1441" i="5"/>
  <c r="L1441" i="5"/>
  <c r="M1441" i="5" s="1"/>
  <c r="N1441" i="5"/>
  <c r="K1442" i="5"/>
  <c r="L1442" i="5"/>
  <c r="M1442" i="5" s="1"/>
  <c r="N1442" i="5"/>
  <c r="K1443" i="5"/>
  <c r="L1443" i="5"/>
  <c r="M1443" i="5" s="1"/>
  <c r="N1443" i="5"/>
  <c r="K1444" i="5"/>
  <c r="L1444" i="5"/>
  <c r="M1444" i="5" s="1"/>
  <c r="N1444" i="5"/>
  <c r="K1445" i="5"/>
  <c r="L1445" i="5"/>
  <c r="M1445" i="5" s="1"/>
  <c r="N1445" i="5"/>
  <c r="K1446" i="5"/>
  <c r="L1446" i="5"/>
  <c r="M1446" i="5" s="1"/>
  <c r="N1446" i="5"/>
  <c r="K1447" i="5"/>
  <c r="L1447" i="5"/>
  <c r="M1447" i="5" s="1"/>
  <c r="N1447" i="5"/>
  <c r="K1448" i="5"/>
  <c r="L1448" i="5"/>
  <c r="M1448" i="5" s="1"/>
  <c r="N1448" i="5"/>
  <c r="K1449" i="5"/>
  <c r="L1449" i="5"/>
  <c r="M1449" i="5" s="1"/>
  <c r="N1449" i="5"/>
  <c r="K1450" i="5"/>
  <c r="L1450" i="5"/>
  <c r="M1450" i="5" s="1"/>
  <c r="N1450" i="5"/>
  <c r="K1451" i="5"/>
  <c r="L1451" i="5"/>
  <c r="M1451" i="5" s="1"/>
  <c r="N1451" i="5"/>
  <c r="K1452" i="5"/>
  <c r="L1452" i="5"/>
  <c r="M1452" i="5" s="1"/>
  <c r="N1452" i="5"/>
  <c r="K1453" i="5"/>
  <c r="L1453" i="5"/>
  <c r="M1453" i="5" s="1"/>
  <c r="N1453" i="5"/>
  <c r="K1454" i="5"/>
  <c r="L1454" i="5"/>
  <c r="M1454" i="5" s="1"/>
  <c r="N1454" i="5"/>
  <c r="K1455" i="5"/>
  <c r="L1455" i="5"/>
  <c r="M1455" i="5" s="1"/>
  <c r="N1455" i="5"/>
  <c r="K1456" i="5"/>
  <c r="L1456" i="5"/>
  <c r="M1456" i="5" s="1"/>
  <c r="N1456" i="5"/>
  <c r="K1457" i="5"/>
  <c r="L1457" i="5"/>
  <c r="M1457" i="5" s="1"/>
  <c r="N1457" i="5"/>
  <c r="K1458" i="5"/>
  <c r="L1458" i="5"/>
  <c r="M1458" i="5" s="1"/>
  <c r="N1458" i="5"/>
  <c r="K1459" i="5"/>
  <c r="L1459" i="5"/>
  <c r="M1459" i="5" s="1"/>
  <c r="N1459" i="5"/>
  <c r="K1460" i="5"/>
  <c r="L1460" i="5"/>
  <c r="M1460" i="5" s="1"/>
  <c r="N1460" i="5"/>
  <c r="K1461" i="5"/>
  <c r="L1461" i="5"/>
  <c r="M1461" i="5" s="1"/>
  <c r="N1461" i="5"/>
  <c r="K1462" i="5"/>
  <c r="L1462" i="5"/>
  <c r="M1462" i="5" s="1"/>
  <c r="N1462" i="5"/>
  <c r="K1463" i="5"/>
  <c r="L1463" i="5"/>
  <c r="M1463" i="5" s="1"/>
  <c r="N1463" i="5"/>
  <c r="K1464" i="5"/>
  <c r="L1464" i="5"/>
  <c r="M1464" i="5" s="1"/>
  <c r="N1464" i="5"/>
  <c r="K1465" i="5"/>
  <c r="L1465" i="5"/>
  <c r="M1465" i="5" s="1"/>
  <c r="N1465" i="5"/>
  <c r="K1466" i="5"/>
  <c r="L1466" i="5"/>
  <c r="M1466" i="5" s="1"/>
  <c r="N1466" i="5"/>
  <c r="K1467" i="5"/>
  <c r="L1467" i="5"/>
  <c r="M1467" i="5" s="1"/>
  <c r="N1467" i="5"/>
  <c r="K1468" i="5"/>
  <c r="L1468" i="5"/>
  <c r="M1468" i="5" s="1"/>
  <c r="N1468" i="5"/>
  <c r="K1469" i="5"/>
  <c r="L1469" i="5"/>
  <c r="M1469" i="5" s="1"/>
  <c r="N1469" i="5"/>
  <c r="K1470" i="5"/>
  <c r="L1470" i="5"/>
  <c r="M1470" i="5" s="1"/>
  <c r="N1470" i="5"/>
  <c r="K1471" i="5"/>
  <c r="L1471" i="5"/>
  <c r="M1471" i="5" s="1"/>
  <c r="N1471" i="5"/>
  <c r="K1472" i="5"/>
  <c r="L1472" i="5"/>
  <c r="M1472" i="5" s="1"/>
  <c r="N1472" i="5"/>
  <c r="K1473" i="5"/>
  <c r="L1473" i="5"/>
  <c r="M1473" i="5" s="1"/>
  <c r="N1473" i="5"/>
  <c r="K1474" i="5"/>
  <c r="L1474" i="5"/>
  <c r="M1474" i="5" s="1"/>
  <c r="N1474" i="5"/>
  <c r="K1475" i="5"/>
  <c r="L1475" i="5"/>
  <c r="M1475" i="5" s="1"/>
  <c r="N1475" i="5"/>
  <c r="K1476" i="5"/>
  <c r="L1476" i="5"/>
  <c r="M1476" i="5" s="1"/>
  <c r="N1476" i="5"/>
  <c r="K1477" i="5"/>
  <c r="L1477" i="5"/>
  <c r="M1477" i="5" s="1"/>
  <c r="N1477" i="5"/>
  <c r="K1478" i="5"/>
  <c r="L1478" i="5"/>
  <c r="M1478" i="5" s="1"/>
  <c r="N1478" i="5"/>
  <c r="K1479" i="5"/>
  <c r="L1479" i="5"/>
  <c r="M1479" i="5" s="1"/>
  <c r="N1479" i="5"/>
  <c r="K1480" i="5"/>
  <c r="L1480" i="5"/>
  <c r="M1480" i="5" s="1"/>
  <c r="N1480" i="5"/>
  <c r="K1481" i="5"/>
  <c r="L1481" i="5"/>
  <c r="M1481" i="5" s="1"/>
  <c r="N1481" i="5"/>
  <c r="K1482" i="5"/>
  <c r="L1482" i="5"/>
  <c r="M1482" i="5" s="1"/>
  <c r="N1482" i="5"/>
  <c r="K1483" i="5"/>
  <c r="L1483" i="5"/>
  <c r="M1483" i="5" s="1"/>
  <c r="N1483" i="5"/>
  <c r="K1484" i="5"/>
  <c r="L1484" i="5"/>
  <c r="M1484" i="5" s="1"/>
  <c r="N1484" i="5"/>
  <c r="K1485" i="5"/>
  <c r="L1485" i="5"/>
  <c r="M1485" i="5" s="1"/>
  <c r="N1485" i="5"/>
  <c r="K1486" i="5"/>
  <c r="L1486" i="5"/>
  <c r="M1486" i="5" s="1"/>
  <c r="N1486" i="5"/>
  <c r="K1487" i="5"/>
  <c r="L1487" i="5"/>
  <c r="M1487" i="5" s="1"/>
  <c r="N1487" i="5"/>
  <c r="K1488" i="5"/>
  <c r="L1488" i="5"/>
  <c r="M1488" i="5" s="1"/>
  <c r="N1488" i="5"/>
  <c r="K1489" i="5"/>
  <c r="L1489" i="5"/>
  <c r="M1489" i="5" s="1"/>
  <c r="N1489" i="5"/>
  <c r="K1490" i="5"/>
  <c r="L1490" i="5"/>
  <c r="M1490" i="5" s="1"/>
  <c r="N1490" i="5"/>
  <c r="K1491" i="5"/>
  <c r="L1491" i="5"/>
  <c r="M1491" i="5" s="1"/>
  <c r="N1491" i="5"/>
  <c r="K1492" i="5"/>
  <c r="L1492" i="5"/>
  <c r="M1492" i="5" s="1"/>
  <c r="N1492" i="5"/>
  <c r="K1493" i="5"/>
  <c r="L1493" i="5"/>
  <c r="M1493" i="5" s="1"/>
  <c r="N1493" i="5"/>
  <c r="K1494" i="5"/>
  <c r="L1494" i="5"/>
  <c r="M1494" i="5" s="1"/>
  <c r="N1494" i="5"/>
  <c r="K1495" i="5"/>
  <c r="L1495" i="5"/>
  <c r="M1495" i="5" s="1"/>
  <c r="N1495" i="5"/>
  <c r="K1496" i="5"/>
  <c r="L1496" i="5"/>
  <c r="M1496" i="5" s="1"/>
  <c r="N1496" i="5"/>
  <c r="K1497" i="5"/>
  <c r="L1497" i="5"/>
  <c r="M1497" i="5" s="1"/>
  <c r="N1497" i="5"/>
  <c r="K1498" i="5"/>
  <c r="L1498" i="5"/>
  <c r="M1498" i="5" s="1"/>
  <c r="N1498" i="5"/>
  <c r="K1499" i="5"/>
  <c r="L1499" i="5"/>
  <c r="M1499" i="5" s="1"/>
  <c r="N1499" i="5"/>
  <c r="K1500" i="5"/>
  <c r="L1500" i="5"/>
  <c r="M1500" i="5" s="1"/>
  <c r="N1500" i="5"/>
  <c r="K1501" i="5"/>
  <c r="L1501" i="5"/>
  <c r="M1501" i="5" s="1"/>
  <c r="N1501" i="5"/>
  <c r="K1502" i="5"/>
  <c r="L1502" i="5"/>
  <c r="M1502" i="5" s="1"/>
  <c r="N1502" i="5"/>
  <c r="K1503" i="5"/>
  <c r="L1503" i="5"/>
  <c r="M1503" i="5" s="1"/>
  <c r="N1503" i="5"/>
  <c r="K1504" i="5"/>
  <c r="L1504" i="5"/>
  <c r="M1504" i="5" s="1"/>
  <c r="N1504" i="5"/>
  <c r="K1505" i="5"/>
  <c r="L1505" i="5"/>
  <c r="M1505" i="5" s="1"/>
  <c r="N1505" i="5"/>
  <c r="K1506" i="5"/>
  <c r="L1506" i="5"/>
  <c r="M1506" i="5" s="1"/>
  <c r="N1506" i="5"/>
  <c r="K1507" i="5"/>
  <c r="L1507" i="5"/>
  <c r="M1507" i="5" s="1"/>
  <c r="N1507" i="5"/>
  <c r="K1508" i="5"/>
  <c r="L1508" i="5"/>
  <c r="M1508" i="5" s="1"/>
  <c r="N1508" i="5"/>
  <c r="K1509" i="5"/>
  <c r="L1509" i="5"/>
  <c r="M1509" i="5" s="1"/>
  <c r="N1509" i="5"/>
  <c r="K1510" i="5"/>
  <c r="L1510" i="5"/>
  <c r="M1510" i="5" s="1"/>
  <c r="N1510" i="5"/>
  <c r="K1511" i="5"/>
  <c r="L1511" i="5"/>
  <c r="M1511" i="5" s="1"/>
  <c r="N1511" i="5"/>
  <c r="K1512" i="5"/>
  <c r="L1512" i="5"/>
  <c r="M1512" i="5" s="1"/>
  <c r="N1512" i="5"/>
  <c r="K1513" i="5"/>
  <c r="L1513" i="5"/>
  <c r="M1513" i="5" s="1"/>
  <c r="N1513" i="5"/>
  <c r="K1514" i="5"/>
  <c r="L1514" i="5"/>
  <c r="M1514" i="5" s="1"/>
  <c r="N1514" i="5"/>
  <c r="K1515" i="5"/>
  <c r="L1515" i="5"/>
  <c r="M1515" i="5" s="1"/>
  <c r="N1515" i="5"/>
  <c r="K1516" i="5"/>
  <c r="L1516" i="5"/>
  <c r="M1516" i="5" s="1"/>
  <c r="N1516" i="5"/>
  <c r="K1517" i="5"/>
  <c r="L1517" i="5"/>
  <c r="M1517" i="5" s="1"/>
  <c r="N1517" i="5"/>
  <c r="K1518" i="5"/>
  <c r="L1518" i="5"/>
  <c r="M1518" i="5" s="1"/>
  <c r="N1518" i="5"/>
  <c r="K1519" i="5"/>
  <c r="L1519" i="5"/>
  <c r="M1519" i="5" s="1"/>
  <c r="N1519" i="5"/>
  <c r="K1520" i="5"/>
  <c r="L1520" i="5"/>
  <c r="M1520" i="5" s="1"/>
  <c r="N1520" i="5"/>
  <c r="K1521" i="5"/>
  <c r="L1521" i="5"/>
  <c r="M1521" i="5" s="1"/>
  <c r="N1521" i="5"/>
  <c r="K1522" i="5"/>
  <c r="L1522" i="5"/>
  <c r="M1522" i="5" s="1"/>
  <c r="N1522" i="5"/>
  <c r="K1523" i="5"/>
  <c r="L1523" i="5"/>
  <c r="M1523" i="5" s="1"/>
  <c r="N1523" i="5"/>
  <c r="K1524" i="5"/>
  <c r="L1524" i="5"/>
  <c r="M1524" i="5" s="1"/>
  <c r="N1524" i="5"/>
  <c r="K1525" i="5"/>
  <c r="L1525" i="5"/>
  <c r="M1525" i="5" s="1"/>
  <c r="N1525" i="5"/>
  <c r="K1526" i="5"/>
  <c r="L1526" i="5"/>
  <c r="M1526" i="5" s="1"/>
  <c r="N1526" i="5"/>
  <c r="K1527" i="5"/>
  <c r="L1527" i="5"/>
  <c r="M1527" i="5" s="1"/>
  <c r="N1527" i="5"/>
  <c r="K1528" i="5"/>
  <c r="L1528" i="5"/>
  <c r="M1528" i="5" s="1"/>
  <c r="N1528" i="5"/>
  <c r="K1529" i="5"/>
  <c r="L1529" i="5"/>
  <c r="M1529" i="5" s="1"/>
  <c r="N1529" i="5"/>
  <c r="K1530" i="5"/>
  <c r="L1530" i="5"/>
  <c r="M1530" i="5" s="1"/>
  <c r="N1530" i="5"/>
  <c r="K1531" i="5"/>
  <c r="L1531" i="5"/>
  <c r="M1531" i="5" s="1"/>
  <c r="N1531" i="5"/>
  <c r="K1532" i="5"/>
  <c r="L1532" i="5"/>
  <c r="M1532" i="5" s="1"/>
  <c r="N1532" i="5"/>
  <c r="K1533" i="5"/>
  <c r="L1533" i="5"/>
  <c r="M1533" i="5" s="1"/>
  <c r="N1533" i="5"/>
  <c r="K1534" i="5"/>
  <c r="L1534" i="5"/>
  <c r="M1534" i="5" s="1"/>
  <c r="N1534" i="5"/>
  <c r="K1535" i="5"/>
  <c r="L1535" i="5"/>
  <c r="M1535" i="5" s="1"/>
  <c r="N1535" i="5"/>
  <c r="K1536" i="5"/>
  <c r="L1536" i="5"/>
  <c r="M1536" i="5" s="1"/>
  <c r="N1536" i="5"/>
  <c r="K1537" i="5"/>
  <c r="L1537" i="5"/>
  <c r="M1537" i="5" s="1"/>
  <c r="N1537" i="5"/>
  <c r="K1538" i="5"/>
  <c r="L1538" i="5"/>
  <c r="M1538" i="5" s="1"/>
  <c r="N1538" i="5"/>
  <c r="K1539" i="5"/>
  <c r="L1539" i="5"/>
  <c r="M1539" i="5" s="1"/>
  <c r="N1539" i="5"/>
  <c r="K1540" i="5"/>
  <c r="L1540" i="5"/>
  <c r="M1540" i="5" s="1"/>
  <c r="N1540" i="5"/>
  <c r="K1541" i="5"/>
  <c r="L1541" i="5"/>
  <c r="M1541" i="5" s="1"/>
  <c r="N1541" i="5"/>
  <c r="K1542" i="5"/>
  <c r="L1542" i="5"/>
  <c r="M1542" i="5" s="1"/>
  <c r="N1542" i="5"/>
  <c r="K1543" i="5"/>
  <c r="L1543" i="5"/>
  <c r="M1543" i="5" s="1"/>
  <c r="N1543" i="5"/>
  <c r="K1544" i="5"/>
  <c r="L1544" i="5"/>
  <c r="M1544" i="5" s="1"/>
  <c r="N1544" i="5"/>
  <c r="K1545" i="5"/>
  <c r="L1545" i="5"/>
  <c r="M1545" i="5" s="1"/>
  <c r="N1545" i="5"/>
  <c r="K1546" i="5"/>
  <c r="L1546" i="5"/>
  <c r="M1546" i="5" s="1"/>
  <c r="N1546" i="5"/>
  <c r="K1547" i="5"/>
  <c r="L1547" i="5"/>
  <c r="M1547" i="5" s="1"/>
  <c r="N1547" i="5"/>
  <c r="K1548" i="5"/>
  <c r="L1548" i="5"/>
  <c r="M1548" i="5" s="1"/>
  <c r="N1548" i="5"/>
  <c r="K1549" i="5"/>
  <c r="L1549" i="5"/>
  <c r="M1549" i="5" s="1"/>
  <c r="N1549" i="5"/>
  <c r="K1550" i="5"/>
  <c r="L1550" i="5"/>
  <c r="M1550" i="5" s="1"/>
  <c r="N1550" i="5"/>
  <c r="K1551" i="5"/>
  <c r="L1551" i="5"/>
  <c r="M1551" i="5" s="1"/>
  <c r="N1551" i="5"/>
  <c r="K1552" i="5"/>
  <c r="L1552" i="5"/>
  <c r="M1552" i="5" s="1"/>
  <c r="N1552" i="5"/>
  <c r="K1553" i="5"/>
  <c r="L1553" i="5"/>
  <c r="M1553" i="5" s="1"/>
  <c r="N1553" i="5"/>
  <c r="K1554" i="5"/>
  <c r="L1554" i="5"/>
  <c r="M1554" i="5" s="1"/>
  <c r="N1554" i="5"/>
  <c r="K1555" i="5"/>
  <c r="L1555" i="5"/>
  <c r="M1555" i="5" s="1"/>
  <c r="N1555" i="5"/>
  <c r="K1556" i="5"/>
  <c r="L1556" i="5"/>
  <c r="M1556" i="5" s="1"/>
  <c r="N1556" i="5"/>
  <c r="K1557" i="5"/>
  <c r="L1557" i="5"/>
  <c r="M1557" i="5" s="1"/>
  <c r="N1557" i="5"/>
  <c r="K1558" i="5"/>
  <c r="L1558" i="5"/>
  <c r="M1558" i="5" s="1"/>
  <c r="N1558" i="5"/>
  <c r="K1559" i="5"/>
  <c r="L1559" i="5"/>
  <c r="M1559" i="5" s="1"/>
  <c r="N1559" i="5"/>
  <c r="K1560" i="5"/>
  <c r="L1560" i="5"/>
  <c r="M1560" i="5" s="1"/>
  <c r="N1560" i="5"/>
  <c r="K1561" i="5"/>
  <c r="L1561" i="5"/>
  <c r="M1561" i="5" s="1"/>
  <c r="N1561" i="5"/>
  <c r="K1562" i="5"/>
  <c r="L1562" i="5"/>
  <c r="M1562" i="5" s="1"/>
  <c r="N1562" i="5"/>
  <c r="K1563" i="5"/>
  <c r="L1563" i="5"/>
  <c r="M1563" i="5" s="1"/>
  <c r="N1563" i="5"/>
  <c r="K1564" i="5"/>
  <c r="L1564" i="5"/>
  <c r="M1564" i="5" s="1"/>
  <c r="N1564" i="5"/>
  <c r="K1565" i="5"/>
  <c r="L1565" i="5"/>
  <c r="M1565" i="5" s="1"/>
  <c r="N1565" i="5"/>
  <c r="K1566" i="5"/>
  <c r="L1566" i="5"/>
  <c r="M1566" i="5" s="1"/>
  <c r="N1566" i="5"/>
  <c r="K1567" i="5"/>
  <c r="L1567" i="5"/>
  <c r="M1567" i="5" s="1"/>
  <c r="N1567" i="5"/>
  <c r="K1568" i="5"/>
  <c r="L1568" i="5"/>
  <c r="M1568" i="5" s="1"/>
  <c r="N1568" i="5"/>
  <c r="K1569" i="5"/>
  <c r="L1569" i="5"/>
  <c r="M1569" i="5" s="1"/>
  <c r="N1569" i="5"/>
  <c r="K1570" i="5"/>
  <c r="L1570" i="5"/>
  <c r="M1570" i="5" s="1"/>
  <c r="N1570" i="5"/>
  <c r="K1571" i="5"/>
  <c r="L1571" i="5"/>
  <c r="M1571" i="5" s="1"/>
  <c r="N1571" i="5"/>
  <c r="K1572" i="5"/>
  <c r="L1572" i="5"/>
  <c r="M1572" i="5" s="1"/>
  <c r="N1572" i="5"/>
  <c r="K1573" i="5"/>
  <c r="L1573" i="5"/>
  <c r="M1573" i="5" s="1"/>
  <c r="N1573" i="5"/>
  <c r="K1574" i="5"/>
  <c r="L1574" i="5"/>
  <c r="M1574" i="5" s="1"/>
  <c r="N1574" i="5"/>
  <c r="K1575" i="5"/>
  <c r="L1575" i="5"/>
  <c r="M1575" i="5" s="1"/>
  <c r="N1575" i="5"/>
  <c r="K1576" i="5"/>
  <c r="L1576" i="5"/>
  <c r="M1576" i="5" s="1"/>
  <c r="N1576" i="5"/>
  <c r="K1577" i="5"/>
  <c r="L1577" i="5"/>
  <c r="M1577" i="5" s="1"/>
  <c r="N1577" i="5"/>
  <c r="K1578" i="5"/>
  <c r="L1578" i="5"/>
  <c r="M1578" i="5" s="1"/>
  <c r="N1578" i="5"/>
  <c r="K1579" i="5"/>
  <c r="L1579" i="5"/>
  <c r="M1579" i="5" s="1"/>
  <c r="N1579" i="5"/>
  <c r="K1580" i="5"/>
  <c r="L1580" i="5"/>
  <c r="M1580" i="5" s="1"/>
  <c r="N1580" i="5"/>
  <c r="K1581" i="5"/>
  <c r="L1581" i="5"/>
  <c r="M1581" i="5" s="1"/>
  <c r="N1581" i="5"/>
  <c r="K1582" i="5"/>
  <c r="L1582" i="5"/>
  <c r="M1582" i="5" s="1"/>
  <c r="N1582" i="5"/>
  <c r="K1583" i="5"/>
  <c r="L1583" i="5"/>
  <c r="M1583" i="5" s="1"/>
  <c r="N1583" i="5"/>
  <c r="K1584" i="5"/>
  <c r="L1584" i="5"/>
  <c r="M1584" i="5" s="1"/>
  <c r="N1584" i="5"/>
  <c r="K1585" i="5"/>
  <c r="L1585" i="5"/>
  <c r="M1585" i="5" s="1"/>
  <c r="N1585" i="5"/>
  <c r="K1586" i="5"/>
  <c r="L1586" i="5"/>
  <c r="M1586" i="5" s="1"/>
  <c r="N1586" i="5"/>
  <c r="K1587" i="5"/>
  <c r="L1587" i="5"/>
  <c r="M1587" i="5" s="1"/>
  <c r="N1587" i="5"/>
  <c r="K1588" i="5"/>
  <c r="L1588" i="5"/>
  <c r="M1588" i="5" s="1"/>
  <c r="N1588" i="5"/>
  <c r="K1589" i="5"/>
  <c r="L1589" i="5"/>
  <c r="M1589" i="5" s="1"/>
  <c r="N1589" i="5"/>
  <c r="K1590" i="5"/>
  <c r="L1590" i="5"/>
  <c r="M1590" i="5" s="1"/>
  <c r="N1590" i="5"/>
  <c r="K1591" i="5"/>
  <c r="L1591" i="5"/>
  <c r="M1591" i="5" s="1"/>
  <c r="N1591" i="5"/>
  <c r="K1592" i="5"/>
  <c r="L1592" i="5"/>
  <c r="M1592" i="5" s="1"/>
  <c r="N1592" i="5"/>
  <c r="K1593" i="5"/>
  <c r="L1593" i="5"/>
  <c r="M1593" i="5" s="1"/>
  <c r="N1593" i="5"/>
  <c r="K1594" i="5"/>
  <c r="L1594" i="5"/>
  <c r="M1594" i="5" s="1"/>
  <c r="N1594" i="5"/>
  <c r="K1595" i="5"/>
  <c r="L1595" i="5"/>
  <c r="M1595" i="5" s="1"/>
  <c r="N1595" i="5"/>
  <c r="K1596" i="5"/>
  <c r="L1596" i="5"/>
  <c r="M1596" i="5" s="1"/>
  <c r="N1596" i="5"/>
  <c r="K1597" i="5"/>
  <c r="L1597" i="5"/>
  <c r="M1597" i="5" s="1"/>
  <c r="N1597" i="5"/>
  <c r="K1598" i="5"/>
  <c r="L1598" i="5"/>
  <c r="M1598" i="5" s="1"/>
  <c r="N1598" i="5"/>
  <c r="K1599" i="5"/>
  <c r="L1599" i="5"/>
  <c r="M1599" i="5" s="1"/>
  <c r="N1599" i="5"/>
  <c r="K1600" i="5"/>
  <c r="L1600" i="5"/>
  <c r="M1600" i="5" s="1"/>
  <c r="N1600" i="5"/>
  <c r="K1601" i="5"/>
  <c r="L1601" i="5"/>
  <c r="M1601" i="5" s="1"/>
  <c r="N1601" i="5"/>
  <c r="K1602" i="5"/>
  <c r="L1602" i="5"/>
  <c r="M1602" i="5" s="1"/>
  <c r="N1602" i="5"/>
  <c r="K1603" i="5"/>
  <c r="L1603" i="5"/>
  <c r="M1603" i="5" s="1"/>
  <c r="N1603" i="5"/>
  <c r="K1604" i="5"/>
  <c r="L1604" i="5"/>
  <c r="M1604" i="5" s="1"/>
  <c r="N1604" i="5"/>
  <c r="K1605" i="5"/>
  <c r="L1605" i="5"/>
  <c r="M1605" i="5" s="1"/>
  <c r="N1605" i="5"/>
  <c r="K1606" i="5"/>
  <c r="L1606" i="5"/>
  <c r="M1606" i="5" s="1"/>
  <c r="N1606" i="5"/>
  <c r="K1607" i="5"/>
  <c r="L1607" i="5"/>
  <c r="M1607" i="5" s="1"/>
  <c r="N1607" i="5"/>
  <c r="K1608" i="5"/>
  <c r="L1608" i="5"/>
  <c r="M1608" i="5" s="1"/>
  <c r="N1608" i="5"/>
  <c r="K1609" i="5"/>
  <c r="L1609" i="5"/>
  <c r="M1609" i="5" s="1"/>
  <c r="N1609" i="5"/>
  <c r="K1610" i="5"/>
  <c r="L1610" i="5"/>
  <c r="M1610" i="5" s="1"/>
  <c r="N1610" i="5"/>
  <c r="K1611" i="5"/>
  <c r="L1611" i="5"/>
  <c r="M1611" i="5" s="1"/>
  <c r="N1611" i="5"/>
  <c r="K1612" i="5"/>
  <c r="L1612" i="5"/>
  <c r="M1612" i="5" s="1"/>
  <c r="N1612" i="5"/>
  <c r="K1613" i="5"/>
  <c r="L1613" i="5"/>
  <c r="M1613" i="5" s="1"/>
  <c r="N1613" i="5"/>
  <c r="K1614" i="5"/>
  <c r="L1614" i="5"/>
  <c r="M1614" i="5" s="1"/>
  <c r="N1614" i="5"/>
  <c r="K1615" i="5"/>
  <c r="L1615" i="5"/>
  <c r="M1615" i="5" s="1"/>
  <c r="N1615" i="5"/>
  <c r="K1616" i="5"/>
  <c r="L1616" i="5"/>
  <c r="M1616" i="5" s="1"/>
  <c r="N1616" i="5"/>
  <c r="K1617" i="5"/>
  <c r="L1617" i="5"/>
  <c r="M1617" i="5" s="1"/>
  <c r="N1617" i="5"/>
  <c r="K1618" i="5"/>
  <c r="L1618" i="5"/>
  <c r="M1618" i="5" s="1"/>
  <c r="N1618" i="5"/>
  <c r="K1619" i="5"/>
  <c r="L1619" i="5"/>
  <c r="M1619" i="5" s="1"/>
  <c r="N1619" i="5"/>
  <c r="K1620" i="5"/>
  <c r="L1620" i="5"/>
  <c r="M1620" i="5" s="1"/>
  <c r="N1620" i="5"/>
  <c r="K1621" i="5"/>
  <c r="L1621" i="5"/>
  <c r="M1621" i="5" s="1"/>
  <c r="N1621" i="5"/>
  <c r="K1622" i="5"/>
  <c r="L1622" i="5"/>
  <c r="M1622" i="5" s="1"/>
  <c r="N1622" i="5"/>
  <c r="K1623" i="5"/>
  <c r="L1623" i="5"/>
  <c r="M1623" i="5" s="1"/>
  <c r="N1623" i="5"/>
  <c r="K1624" i="5"/>
  <c r="L1624" i="5"/>
  <c r="M1624" i="5" s="1"/>
  <c r="N1624" i="5"/>
  <c r="K1625" i="5"/>
  <c r="L1625" i="5"/>
  <c r="M1625" i="5" s="1"/>
  <c r="N1625" i="5"/>
  <c r="K1626" i="5"/>
  <c r="L1626" i="5"/>
  <c r="M1626" i="5" s="1"/>
  <c r="N1626" i="5"/>
  <c r="K1627" i="5"/>
  <c r="L1627" i="5"/>
  <c r="M1627" i="5" s="1"/>
  <c r="N1627" i="5"/>
  <c r="K1628" i="5"/>
  <c r="L1628" i="5"/>
  <c r="M1628" i="5" s="1"/>
  <c r="N1628" i="5"/>
  <c r="K1629" i="5"/>
  <c r="L1629" i="5"/>
  <c r="M1629" i="5" s="1"/>
  <c r="N1629" i="5"/>
  <c r="K1630" i="5"/>
  <c r="L1630" i="5"/>
  <c r="M1630" i="5" s="1"/>
  <c r="N1630" i="5"/>
  <c r="K1631" i="5"/>
  <c r="L1631" i="5"/>
  <c r="M1631" i="5" s="1"/>
  <c r="N1631" i="5"/>
  <c r="K1632" i="5"/>
  <c r="L1632" i="5"/>
  <c r="M1632" i="5" s="1"/>
  <c r="N1632" i="5"/>
  <c r="K1633" i="5"/>
  <c r="L1633" i="5"/>
  <c r="M1633" i="5" s="1"/>
  <c r="N1633" i="5"/>
  <c r="K1634" i="5"/>
  <c r="L1634" i="5"/>
  <c r="M1634" i="5" s="1"/>
  <c r="N1634" i="5"/>
  <c r="K1635" i="5"/>
  <c r="L1635" i="5"/>
  <c r="M1635" i="5" s="1"/>
  <c r="N1635" i="5"/>
  <c r="K1636" i="5"/>
  <c r="L1636" i="5"/>
  <c r="M1636" i="5" s="1"/>
  <c r="N1636" i="5"/>
  <c r="K1637" i="5"/>
  <c r="L1637" i="5"/>
  <c r="M1637" i="5" s="1"/>
  <c r="N1637" i="5"/>
  <c r="K1638" i="5"/>
  <c r="L1638" i="5"/>
  <c r="M1638" i="5" s="1"/>
  <c r="N1638" i="5"/>
  <c r="K1639" i="5"/>
  <c r="L1639" i="5"/>
  <c r="M1639" i="5" s="1"/>
  <c r="N1639" i="5"/>
  <c r="K1640" i="5"/>
  <c r="L1640" i="5"/>
  <c r="M1640" i="5" s="1"/>
  <c r="N1640" i="5"/>
  <c r="K1641" i="5"/>
  <c r="L1641" i="5"/>
  <c r="M1641" i="5" s="1"/>
  <c r="N1641" i="5"/>
  <c r="K1642" i="5"/>
  <c r="L1642" i="5"/>
  <c r="M1642" i="5" s="1"/>
  <c r="N1642" i="5"/>
  <c r="K1643" i="5"/>
  <c r="L1643" i="5"/>
  <c r="M1643" i="5" s="1"/>
  <c r="N1643" i="5"/>
  <c r="K1644" i="5"/>
  <c r="L1644" i="5"/>
  <c r="M1644" i="5" s="1"/>
  <c r="N1644" i="5"/>
  <c r="K1645" i="5"/>
  <c r="L1645" i="5"/>
  <c r="M1645" i="5" s="1"/>
  <c r="N1645" i="5"/>
  <c r="K1646" i="5"/>
  <c r="L1646" i="5"/>
  <c r="M1646" i="5" s="1"/>
  <c r="N1646" i="5"/>
  <c r="K1647" i="5"/>
  <c r="L1647" i="5"/>
  <c r="M1647" i="5" s="1"/>
  <c r="N1647" i="5"/>
  <c r="K1648" i="5"/>
  <c r="L1648" i="5"/>
  <c r="M1648" i="5" s="1"/>
  <c r="N1648" i="5"/>
  <c r="K1649" i="5"/>
  <c r="L1649" i="5"/>
  <c r="M1649" i="5" s="1"/>
  <c r="N1649" i="5"/>
  <c r="K1650" i="5"/>
  <c r="L1650" i="5"/>
  <c r="M1650" i="5" s="1"/>
  <c r="N1650" i="5"/>
  <c r="K1651" i="5"/>
  <c r="L1651" i="5"/>
  <c r="M1651" i="5" s="1"/>
  <c r="N1651" i="5"/>
  <c r="K1652" i="5"/>
  <c r="L1652" i="5"/>
  <c r="M1652" i="5" s="1"/>
  <c r="N1652" i="5"/>
  <c r="K1653" i="5"/>
  <c r="L1653" i="5"/>
  <c r="M1653" i="5" s="1"/>
  <c r="N1653" i="5"/>
  <c r="K1654" i="5"/>
  <c r="L1654" i="5"/>
  <c r="M1654" i="5" s="1"/>
  <c r="N1654" i="5"/>
  <c r="K1655" i="5"/>
  <c r="L1655" i="5"/>
  <c r="M1655" i="5" s="1"/>
  <c r="N1655" i="5"/>
  <c r="K1656" i="5"/>
  <c r="L1656" i="5"/>
  <c r="M1656" i="5" s="1"/>
  <c r="N1656" i="5"/>
  <c r="K1657" i="5"/>
  <c r="L1657" i="5"/>
  <c r="M1657" i="5" s="1"/>
  <c r="N1657" i="5"/>
  <c r="K1658" i="5"/>
  <c r="L1658" i="5"/>
  <c r="M1658" i="5" s="1"/>
  <c r="N1658" i="5"/>
  <c r="K1659" i="5"/>
  <c r="L1659" i="5"/>
  <c r="M1659" i="5" s="1"/>
  <c r="N1659" i="5"/>
  <c r="K1660" i="5"/>
  <c r="L1660" i="5"/>
  <c r="M1660" i="5" s="1"/>
  <c r="N1660" i="5"/>
  <c r="K1661" i="5"/>
  <c r="L1661" i="5"/>
  <c r="M1661" i="5" s="1"/>
  <c r="N1661" i="5"/>
  <c r="K1662" i="5"/>
  <c r="L1662" i="5"/>
  <c r="M1662" i="5" s="1"/>
  <c r="N1662" i="5"/>
  <c r="K1663" i="5"/>
  <c r="L1663" i="5"/>
  <c r="M1663" i="5" s="1"/>
  <c r="N1663" i="5"/>
  <c r="K1664" i="5"/>
  <c r="L1664" i="5"/>
  <c r="M1664" i="5" s="1"/>
  <c r="N1664" i="5"/>
  <c r="K1665" i="5"/>
  <c r="L1665" i="5"/>
  <c r="M1665" i="5" s="1"/>
  <c r="N1665" i="5"/>
  <c r="C1665" i="5"/>
  <c r="C1664" i="5"/>
  <c r="C1663" i="5"/>
  <c r="C1662" i="5"/>
  <c r="C1661" i="5"/>
  <c r="C1660" i="5"/>
  <c r="C1659" i="5"/>
  <c r="C1658" i="5"/>
  <c r="C1657" i="5"/>
  <c r="C1656" i="5"/>
  <c r="C1655" i="5"/>
  <c r="C1654" i="5"/>
  <c r="C1653" i="5"/>
  <c r="C1652" i="5"/>
  <c r="C1651" i="5"/>
  <c r="C1650" i="5"/>
  <c r="C1649" i="5"/>
  <c r="C1648" i="5"/>
  <c r="C1647" i="5"/>
  <c r="C1646" i="5"/>
  <c r="C1645" i="5"/>
  <c r="C1644" i="5"/>
  <c r="C1643" i="5"/>
  <c r="C1642" i="5"/>
  <c r="C1641" i="5"/>
  <c r="C1640" i="5"/>
  <c r="C1639" i="5"/>
  <c r="C1638" i="5"/>
  <c r="C1637" i="5"/>
  <c r="C1636" i="5"/>
  <c r="C1635" i="5"/>
  <c r="C1634" i="5"/>
  <c r="C1633" i="5"/>
  <c r="C1632" i="5"/>
  <c r="C1631" i="5"/>
  <c r="C1630" i="5"/>
  <c r="C1629" i="5"/>
  <c r="C1628" i="5"/>
  <c r="C1627" i="5"/>
  <c r="C1626" i="5"/>
  <c r="C1625" i="5"/>
  <c r="C1624" i="5"/>
  <c r="C1623" i="5"/>
  <c r="C1622" i="5"/>
  <c r="C1621" i="5"/>
  <c r="C1620" i="5"/>
  <c r="C1619" i="5"/>
  <c r="C1618" i="5"/>
  <c r="C1617" i="5"/>
  <c r="C1616" i="5"/>
  <c r="C1615" i="5"/>
  <c r="C1614" i="5"/>
  <c r="C1613" i="5"/>
  <c r="C1612" i="5"/>
  <c r="C1611" i="5"/>
  <c r="C1610" i="5"/>
  <c r="C1609" i="5"/>
  <c r="C1608" i="5"/>
  <c r="C1607" i="5"/>
  <c r="C1606" i="5"/>
  <c r="C1605" i="5"/>
  <c r="C1604" i="5"/>
  <c r="C1603" i="5"/>
  <c r="C1602" i="5"/>
  <c r="C1601" i="5"/>
  <c r="C1600" i="5"/>
  <c r="C1599" i="5"/>
  <c r="C1598" i="5"/>
  <c r="C1597" i="5"/>
  <c r="C1596" i="5"/>
  <c r="C1595" i="5"/>
  <c r="C1594" i="5"/>
  <c r="C1593" i="5"/>
  <c r="C1592" i="5"/>
  <c r="C1591" i="5"/>
  <c r="C1590" i="5"/>
  <c r="C1589" i="5"/>
  <c r="C1588" i="5"/>
  <c r="C1587" i="5"/>
  <c r="C1586" i="5"/>
  <c r="C1585" i="5"/>
  <c r="C1584" i="5"/>
  <c r="C1583" i="5"/>
  <c r="C1582" i="5"/>
  <c r="C1581" i="5"/>
  <c r="C1580" i="5"/>
  <c r="C1579" i="5"/>
  <c r="C1578" i="5"/>
  <c r="C1577" i="5"/>
  <c r="C1576" i="5"/>
  <c r="C1575" i="5"/>
  <c r="C1574" i="5"/>
  <c r="C1573" i="5"/>
  <c r="C1572" i="5"/>
  <c r="C1571" i="5"/>
  <c r="C1570" i="5"/>
  <c r="C1569" i="5"/>
  <c r="C1568" i="5"/>
  <c r="C1567" i="5"/>
  <c r="C1566" i="5"/>
  <c r="C1565" i="5"/>
  <c r="C1564" i="5"/>
  <c r="C1563" i="5"/>
  <c r="C1562" i="5"/>
  <c r="C1561" i="5"/>
  <c r="C1560" i="5"/>
  <c r="C1559" i="5"/>
  <c r="C1558" i="5"/>
  <c r="C1557" i="5"/>
  <c r="C1556" i="5"/>
  <c r="C1555" i="5"/>
  <c r="C1554" i="5"/>
  <c r="C1553" i="5"/>
  <c r="C1552" i="5"/>
  <c r="C1551" i="5"/>
  <c r="C1550" i="5"/>
  <c r="C1549" i="5"/>
  <c r="C1548" i="5"/>
  <c r="C1547" i="5"/>
  <c r="C1546" i="5"/>
  <c r="C1545" i="5"/>
  <c r="C1544" i="5"/>
  <c r="C1543" i="5"/>
  <c r="C1542" i="5"/>
  <c r="C1541" i="5"/>
  <c r="C1540" i="5"/>
  <c r="C1539" i="5"/>
  <c r="C1538" i="5"/>
  <c r="C1537" i="5"/>
  <c r="C1536" i="5"/>
  <c r="C1535" i="5"/>
  <c r="C1534" i="5"/>
  <c r="C1533" i="5"/>
  <c r="C1532" i="5"/>
  <c r="C1531" i="5"/>
  <c r="C1530" i="5"/>
  <c r="C1529" i="5"/>
  <c r="C1528" i="5"/>
  <c r="C1527" i="5"/>
  <c r="C1526" i="5"/>
  <c r="C1525" i="5"/>
  <c r="C1524" i="5"/>
  <c r="C1523" i="5"/>
  <c r="C1522" i="5"/>
  <c r="C1521" i="5"/>
  <c r="C1520" i="5"/>
  <c r="C1519" i="5"/>
  <c r="C1518" i="5"/>
  <c r="C1517" i="5"/>
  <c r="C1516" i="5"/>
  <c r="C1515" i="5"/>
  <c r="C1514" i="5"/>
  <c r="C1513" i="5"/>
  <c r="C1512" i="5"/>
  <c r="C1511" i="5"/>
  <c r="C1510" i="5"/>
  <c r="C1509" i="5"/>
  <c r="C1508" i="5"/>
  <c r="C1507" i="5"/>
  <c r="C1506" i="5"/>
  <c r="C1505" i="5"/>
  <c r="C1504" i="5"/>
  <c r="C1503" i="5"/>
  <c r="C1502" i="5"/>
  <c r="C1501" i="5"/>
  <c r="C1500" i="5"/>
  <c r="C1499" i="5"/>
  <c r="C1498" i="5"/>
  <c r="C1497" i="5"/>
  <c r="C1496" i="5"/>
  <c r="C1495" i="5"/>
  <c r="C1494" i="5"/>
  <c r="C1493" i="5"/>
  <c r="C1492" i="5"/>
  <c r="C1491" i="5"/>
  <c r="C1490" i="5"/>
  <c r="C1489" i="5"/>
  <c r="C1488" i="5"/>
  <c r="C1487" i="5"/>
  <c r="C1486" i="5"/>
  <c r="C1485" i="5"/>
  <c r="C1484" i="5"/>
  <c r="C1483" i="5"/>
  <c r="C1482" i="5"/>
  <c r="C1481" i="5"/>
  <c r="C1480" i="5"/>
  <c r="C1479" i="5"/>
  <c r="C1478" i="5"/>
  <c r="C1477" i="5"/>
  <c r="C1476" i="5"/>
  <c r="C1475" i="5"/>
  <c r="C1474" i="5"/>
  <c r="C1473" i="5"/>
  <c r="C1472" i="5"/>
  <c r="C1471" i="5"/>
  <c r="C1470" i="5"/>
  <c r="C1469" i="5"/>
  <c r="C1468" i="5"/>
  <c r="C1467" i="5"/>
  <c r="C1466" i="5"/>
  <c r="C1465" i="5"/>
  <c r="C1464" i="5"/>
  <c r="C1463" i="5"/>
  <c r="C1462" i="5"/>
  <c r="C1461" i="5"/>
  <c r="C1460" i="5"/>
  <c r="C1459" i="5"/>
  <c r="C1458" i="5"/>
  <c r="C1457" i="5"/>
  <c r="C1456" i="5"/>
  <c r="C1455" i="5"/>
  <c r="C1454" i="5"/>
  <c r="C1453" i="5"/>
  <c r="C1452" i="5"/>
  <c r="C1451" i="5"/>
  <c r="C1450" i="5"/>
  <c r="C1449" i="5"/>
  <c r="C1448" i="5"/>
  <c r="C1447" i="5"/>
  <c r="C1446" i="5"/>
  <c r="C1445" i="5"/>
  <c r="C1444" i="5"/>
  <c r="C1443" i="5"/>
  <c r="C1442" i="5"/>
  <c r="C1441" i="5"/>
  <c r="C1440" i="5"/>
  <c r="C1439" i="5"/>
  <c r="C1438" i="5"/>
  <c r="C1437" i="5"/>
  <c r="C1436" i="5"/>
  <c r="C1435" i="5"/>
  <c r="C1434" i="5"/>
  <c r="C1433" i="5"/>
  <c r="C1432" i="5"/>
  <c r="C1431" i="5"/>
  <c r="C1430" i="5"/>
  <c r="C1429" i="5"/>
  <c r="C1428" i="5"/>
  <c r="C1427" i="5"/>
  <c r="C1426" i="5"/>
  <c r="C1425" i="5"/>
  <c r="C1424" i="5"/>
  <c r="C1423" i="5"/>
  <c r="C1422" i="5"/>
  <c r="C1421" i="5"/>
  <c r="C1420" i="5"/>
  <c r="C1419" i="5"/>
  <c r="C1418" i="5"/>
  <c r="C1417" i="5"/>
  <c r="C1416" i="5"/>
  <c r="C1415" i="5"/>
  <c r="C1414" i="5"/>
  <c r="C1413" i="5"/>
  <c r="C1412" i="5"/>
  <c r="C1411" i="5"/>
  <c r="C1410" i="5"/>
  <c r="C1409" i="5"/>
  <c r="C1408" i="5"/>
  <c r="C1407" i="5"/>
  <c r="C1406" i="5"/>
  <c r="C1405" i="5"/>
  <c r="C1404" i="5"/>
  <c r="C1403" i="5"/>
  <c r="C1402" i="5"/>
  <c r="C1401" i="5"/>
  <c r="C1400" i="5"/>
  <c r="C1399" i="5"/>
  <c r="C1398" i="5"/>
  <c r="C1397" i="5"/>
  <c r="C1396" i="5"/>
  <c r="C1395" i="5"/>
  <c r="C1394" i="5"/>
  <c r="C1393" i="5"/>
  <c r="C1392" i="5"/>
  <c r="C1391" i="5"/>
  <c r="C1390" i="5"/>
  <c r="C1389" i="5"/>
  <c r="C1388" i="5"/>
  <c r="C1387" i="5"/>
  <c r="C1386" i="5"/>
  <c r="C1385" i="5"/>
  <c r="C1384" i="5"/>
  <c r="C1383" i="5"/>
  <c r="C1382" i="5"/>
  <c r="C1381" i="5"/>
  <c r="C1380" i="5"/>
  <c r="C1379" i="5"/>
  <c r="C1378" i="5"/>
  <c r="C1377" i="5"/>
  <c r="C1376" i="5"/>
  <c r="C1375" i="5"/>
  <c r="C1374" i="5"/>
  <c r="C1373" i="5"/>
  <c r="C1372" i="5"/>
  <c r="C1371" i="5"/>
  <c r="C1370" i="5"/>
  <c r="C1369" i="5"/>
  <c r="C1368" i="5"/>
  <c r="C1367" i="5"/>
  <c r="C1366" i="5"/>
  <c r="C1365" i="5"/>
  <c r="C1364" i="5"/>
  <c r="C1363" i="5"/>
  <c r="C1362" i="5"/>
  <c r="C1361" i="5"/>
  <c r="C1360" i="5"/>
  <c r="C1359" i="5"/>
  <c r="C1358" i="5"/>
  <c r="C1357" i="5"/>
  <c r="C1356" i="5"/>
  <c r="C1355" i="5"/>
  <c r="C1354" i="5"/>
  <c r="C1353" i="5"/>
  <c r="C1352" i="5"/>
  <c r="C1351" i="5"/>
  <c r="C1350" i="5"/>
  <c r="C1349" i="5"/>
  <c r="C1348" i="5"/>
  <c r="C1347" i="5"/>
  <c r="C1346" i="5"/>
  <c r="C1345" i="5"/>
  <c r="C1344" i="5"/>
  <c r="C1343" i="5"/>
  <c r="C1342" i="5"/>
  <c r="C1341" i="5"/>
  <c r="C1340" i="5"/>
  <c r="C1339" i="5"/>
  <c r="C1338" i="5"/>
  <c r="C1337" i="5"/>
  <c r="C1336" i="5"/>
  <c r="C1335" i="5"/>
  <c r="C1334" i="5"/>
  <c r="C1333" i="5"/>
  <c r="C1332" i="5"/>
  <c r="C1331" i="5"/>
  <c r="C1330" i="5"/>
  <c r="C1329" i="5"/>
  <c r="C1328" i="5"/>
  <c r="C1327" i="5"/>
  <c r="C1326" i="5"/>
  <c r="C1325" i="5"/>
  <c r="C1324" i="5"/>
  <c r="C1323" i="5"/>
  <c r="C1322" i="5"/>
  <c r="C1321" i="5"/>
  <c r="C1320" i="5"/>
  <c r="C1319" i="5"/>
  <c r="C1318" i="5"/>
  <c r="C1317" i="5"/>
  <c r="C1316" i="5"/>
  <c r="C1315" i="5"/>
  <c r="C1314" i="5"/>
  <c r="C1313" i="5"/>
  <c r="C1312" i="5"/>
  <c r="C1311" i="5"/>
  <c r="C1310" i="5"/>
  <c r="C1309" i="5"/>
  <c r="C1308" i="5"/>
  <c r="C1307" i="5"/>
  <c r="C1306" i="5"/>
  <c r="C1305" i="5"/>
  <c r="C1304" i="5"/>
  <c r="C1303" i="5"/>
  <c r="C1302" i="5"/>
  <c r="C1301" i="5"/>
  <c r="C1300" i="5"/>
  <c r="C1299" i="5"/>
  <c r="C1298" i="5"/>
  <c r="C1297" i="5"/>
  <c r="C1296" i="5"/>
  <c r="C1295" i="5"/>
  <c r="C1294" i="5"/>
  <c r="C1293" i="5"/>
  <c r="C1292" i="5"/>
  <c r="C1291" i="5"/>
  <c r="C1290" i="5"/>
  <c r="C1289" i="5"/>
  <c r="C1288" i="5"/>
  <c r="C1287" i="5"/>
  <c r="C1286" i="5"/>
  <c r="C1285" i="5"/>
  <c r="C1284" i="5"/>
  <c r="C1283" i="5"/>
  <c r="C1282" i="5"/>
  <c r="C1281" i="5"/>
  <c r="C1280" i="5"/>
  <c r="C1279" i="5"/>
  <c r="C1278" i="5"/>
  <c r="C1277" i="5"/>
  <c r="C1276" i="5"/>
  <c r="C1275" i="5"/>
  <c r="C1274" i="5"/>
  <c r="C1273" i="5"/>
  <c r="C1272" i="5"/>
  <c r="C1271" i="5"/>
  <c r="C1270" i="5"/>
  <c r="C1269" i="5"/>
  <c r="C1268" i="5"/>
  <c r="C1267" i="5"/>
  <c r="C1266" i="5"/>
  <c r="C1265" i="5"/>
  <c r="C1264" i="5"/>
  <c r="C1263" i="5"/>
  <c r="C1262" i="5"/>
  <c r="C1261" i="5"/>
  <c r="C1260" i="5"/>
  <c r="C1259" i="5"/>
  <c r="C1258" i="5"/>
  <c r="C1257" i="5"/>
  <c r="C1256" i="5"/>
  <c r="C1255" i="5"/>
  <c r="C1254" i="5"/>
  <c r="C1253" i="5"/>
  <c r="C1252" i="5"/>
  <c r="C1251" i="5"/>
  <c r="C1250" i="5"/>
  <c r="C1249" i="5"/>
  <c r="C1248" i="5"/>
  <c r="C1247" i="5"/>
  <c r="C1246" i="5"/>
  <c r="C1245" i="5"/>
  <c r="C1244" i="5"/>
  <c r="C1243" i="5"/>
  <c r="C1242" i="5"/>
  <c r="C1241" i="5"/>
  <c r="C1240" i="5"/>
  <c r="C1239" i="5"/>
  <c r="C1238" i="5"/>
  <c r="C1237" i="5"/>
  <c r="C1236" i="5"/>
  <c r="C1235" i="5"/>
  <c r="C1234" i="5"/>
  <c r="C1233" i="5"/>
  <c r="C1232" i="5"/>
  <c r="C1231" i="5"/>
  <c r="C1230" i="5"/>
  <c r="C1229" i="5"/>
  <c r="C1228" i="5"/>
  <c r="C1227" i="5"/>
  <c r="C1226" i="5"/>
  <c r="C1225" i="5"/>
  <c r="C1224" i="5"/>
  <c r="C1223" i="5"/>
  <c r="C1222" i="5"/>
  <c r="C1221" i="5"/>
  <c r="C1220" i="5"/>
  <c r="C1219" i="5"/>
  <c r="C1218" i="5"/>
  <c r="C1217" i="5"/>
  <c r="C1216" i="5"/>
  <c r="C1215" i="5"/>
  <c r="C1214" i="5"/>
  <c r="C1213" i="5"/>
  <c r="C1212" i="5"/>
  <c r="C1211" i="5"/>
  <c r="C1210" i="5"/>
  <c r="C1209" i="5"/>
  <c r="C1208" i="5"/>
  <c r="C1207" i="5"/>
  <c r="C1206" i="5"/>
  <c r="C1205" i="5"/>
  <c r="C1204" i="5"/>
  <c r="C1203" i="5"/>
  <c r="C1202" i="5"/>
  <c r="C1201" i="5"/>
  <c r="C1200" i="5"/>
  <c r="C1199" i="5"/>
  <c r="C1198" i="5"/>
  <c r="C1197" i="5"/>
  <c r="C1196" i="5"/>
  <c r="C1195" i="5"/>
  <c r="C1194" i="5"/>
  <c r="C1193" i="5"/>
  <c r="C1192" i="5"/>
  <c r="C1191" i="5"/>
  <c r="C1190" i="5"/>
  <c r="C1189" i="5"/>
  <c r="C1188" i="5"/>
  <c r="C1187" i="5"/>
  <c r="C1186" i="5"/>
  <c r="C1185" i="5"/>
  <c r="C1184" i="5"/>
  <c r="C1183" i="5"/>
  <c r="C1182" i="5"/>
  <c r="C1181" i="5"/>
  <c r="C1180" i="5"/>
  <c r="C1179" i="5"/>
  <c r="C1178" i="5"/>
  <c r="C1177" i="5"/>
  <c r="C1176" i="5"/>
  <c r="C1175" i="5"/>
  <c r="C1174" i="5"/>
  <c r="C1173" i="5"/>
  <c r="C1172" i="5"/>
  <c r="C1171" i="5"/>
  <c r="C1170" i="5"/>
  <c r="C1169" i="5"/>
  <c r="C1168" i="5"/>
  <c r="C1167" i="5"/>
  <c r="C1166" i="5"/>
  <c r="C1165" i="5"/>
  <c r="C1164" i="5"/>
  <c r="C1163" i="5"/>
  <c r="C1162" i="5"/>
  <c r="C1161" i="5"/>
  <c r="C1160" i="5"/>
  <c r="C1159" i="5"/>
  <c r="C1158" i="5"/>
  <c r="C1157" i="5"/>
  <c r="C1156" i="5"/>
  <c r="C1155" i="5"/>
  <c r="C1154" i="5"/>
  <c r="C1153" i="5"/>
  <c r="C1152" i="5"/>
  <c r="C1151" i="5"/>
  <c r="C1150" i="5"/>
  <c r="C1149" i="5"/>
  <c r="C1148" i="5"/>
  <c r="C1147" i="5"/>
  <c r="C1146" i="5"/>
  <c r="C1145" i="5"/>
  <c r="C1144" i="5"/>
  <c r="C1143" i="5"/>
  <c r="C1142" i="5"/>
  <c r="C1141" i="5"/>
  <c r="C1140" i="5"/>
  <c r="C1139" i="5"/>
  <c r="C1138" i="5"/>
  <c r="C1137" i="5"/>
  <c r="C1136" i="5"/>
  <c r="C1135" i="5"/>
  <c r="C1134" i="5"/>
  <c r="C1133" i="5"/>
  <c r="C1132" i="5"/>
  <c r="C1131" i="5"/>
  <c r="C1130" i="5"/>
  <c r="C1129" i="5"/>
  <c r="C1128" i="5"/>
  <c r="C1127" i="5"/>
  <c r="C1126" i="5"/>
  <c r="C1125" i="5"/>
  <c r="C1124" i="5"/>
  <c r="C1123" i="5"/>
  <c r="C1122" i="5"/>
  <c r="C1121" i="5"/>
  <c r="C1120" i="5"/>
  <c r="C1119" i="5"/>
  <c r="C1118" i="5"/>
  <c r="C1117" i="5"/>
  <c r="C1116" i="5"/>
  <c r="C1115" i="5"/>
  <c r="C1114" i="5"/>
  <c r="C1113" i="5"/>
  <c r="C1112" i="5"/>
  <c r="C1111" i="5"/>
  <c r="C1110" i="5"/>
  <c r="C1109" i="5"/>
  <c r="C1108" i="5"/>
  <c r="C1107" i="5"/>
  <c r="C1106" i="5"/>
  <c r="C1105" i="5"/>
  <c r="C1104" i="5"/>
  <c r="C1103" i="5"/>
  <c r="C1102" i="5"/>
  <c r="C1101" i="5"/>
  <c r="C1100" i="5"/>
  <c r="C1099" i="5"/>
  <c r="C1098" i="5"/>
  <c r="C1097" i="5"/>
  <c r="C1096" i="5"/>
  <c r="C1095" i="5"/>
  <c r="C1094" i="5"/>
  <c r="C1093" i="5"/>
  <c r="C1092" i="5"/>
  <c r="C1091" i="5"/>
  <c r="C1090" i="5"/>
  <c r="C1089" i="5"/>
  <c r="C1088" i="5"/>
  <c r="C1087" i="5"/>
  <c r="C1086" i="5"/>
  <c r="C1085" i="5"/>
  <c r="C1084" i="5"/>
  <c r="C1083" i="5"/>
  <c r="C1082" i="5"/>
  <c r="C1081" i="5"/>
  <c r="C1080" i="5"/>
  <c r="C1079" i="5"/>
  <c r="C1078" i="5"/>
  <c r="C1077" i="5"/>
  <c r="C1076" i="5"/>
  <c r="C1075" i="5"/>
  <c r="C1074" i="5"/>
  <c r="C1073" i="5"/>
  <c r="C1072" i="5"/>
  <c r="C1071" i="5"/>
  <c r="C1070" i="5"/>
  <c r="C1069" i="5"/>
  <c r="C1068" i="5"/>
  <c r="C1067" i="5"/>
  <c r="C1066" i="5"/>
  <c r="C1065" i="5"/>
  <c r="C1064" i="5"/>
  <c r="C1063" i="5"/>
  <c r="C1062" i="5"/>
  <c r="C1061" i="5"/>
  <c r="C1060" i="5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N7" i="7"/>
  <c r="O7" i="7"/>
  <c r="O3" i="7"/>
  <c r="O4" i="7"/>
  <c r="O2" i="7"/>
  <c r="N3" i="7"/>
  <c r="N4" i="7"/>
  <c r="N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2" i="7"/>
  <c r="L137" i="5"/>
  <c r="M137" i="5" s="1"/>
  <c r="N137" i="5"/>
  <c r="L138" i="5"/>
  <c r="M138" i="5" s="1"/>
  <c r="N138" i="5"/>
  <c r="L139" i="5"/>
  <c r="M139" i="5" s="1"/>
  <c r="N139" i="5"/>
  <c r="L140" i="5"/>
  <c r="M140" i="5" s="1"/>
  <c r="N140" i="5"/>
  <c r="L141" i="5"/>
  <c r="M141" i="5" s="1"/>
  <c r="N141" i="5"/>
  <c r="L142" i="5"/>
  <c r="M142" i="5" s="1"/>
  <c r="N142" i="5"/>
  <c r="L143" i="5"/>
  <c r="M143" i="5" s="1"/>
  <c r="N143" i="5"/>
  <c r="L144" i="5"/>
  <c r="M144" i="5" s="1"/>
  <c r="N144" i="5"/>
  <c r="L145" i="5"/>
  <c r="M145" i="5" s="1"/>
  <c r="N145" i="5"/>
  <c r="L146" i="5"/>
  <c r="M146" i="5" s="1"/>
  <c r="N146" i="5"/>
  <c r="L147" i="5"/>
  <c r="M147" i="5" s="1"/>
  <c r="N147" i="5"/>
  <c r="L148" i="5"/>
  <c r="M148" i="5" s="1"/>
  <c r="N148" i="5"/>
  <c r="L149" i="5"/>
  <c r="M149" i="5" s="1"/>
  <c r="N149" i="5"/>
  <c r="L150" i="5"/>
  <c r="M150" i="5" s="1"/>
  <c r="N150" i="5"/>
  <c r="L151" i="5"/>
  <c r="M151" i="5" s="1"/>
  <c r="N151" i="5"/>
  <c r="L152" i="5"/>
  <c r="M152" i="5" s="1"/>
  <c r="N152" i="5"/>
  <c r="L153" i="5"/>
  <c r="M153" i="5" s="1"/>
  <c r="N153" i="5"/>
  <c r="L154" i="5"/>
  <c r="M154" i="5" s="1"/>
  <c r="N154" i="5"/>
  <c r="L155" i="5"/>
  <c r="M155" i="5" s="1"/>
  <c r="N155" i="5"/>
  <c r="L156" i="5"/>
  <c r="M156" i="5" s="1"/>
  <c r="N156" i="5"/>
  <c r="L157" i="5"/>
  <c r="M157" i="5" s="1"/>
  <c r="N157" i="5"/>
  <c r="L158" i="5"/>
  <c r="M158" i="5" s="1"/>
  <c r="N158" i="5"/>
  <c r="L159" i="5"/>
  <c r="M159" i="5" s="1"/>
  <c r="N159" i="5"/>
  <c r="L160" i="5"/>
  <c r="M160" i="5" s="1"/>
  <c r="N160" i="5"/>
  <c r="L161" i="5"/>
  <c r="M161" i="5" s="1"/>
  <c r="N161" i="5"/>
  <c r="L162" i="5"/>
  <c r="M162" i="5" s="1"/>
  <c r="N162" i="5"/>
  <c r="L163" i="5"/>
  <c r="M163" i="5" s="1"/>
  <c r="N163" i="5"/>
  <c r="L164" i="5"/>
  <c r="M164" i="5" s="1"/>
  <c r="N164" i="5"/>
  <c r="L165" i="5"/>
  <c r="M165" i="5" s="1"/>
  <c r="N165" i="5"/>
  <c r="L166" i="5"/>
  <c r="M166" i="5" s="1"/>
  <c r="N166" i="5"/>
  <c r="L167" i="5"/>
  <c r="M167" i="5" s="1"/>
  <c r="N167" i="5"/>
  <c r="L168" i="5"/>
  <c r="M168" i="5" s="1"/>
  <c r="N168" i="5"/>
  <c r="L169" i="5"/>
  <c r="M169" i="5" s="1"/>
  <c r="N169" i="5"/>
  <c r="L170" i="5"/>
  <c r="M170" i="5" s="1"/>
  <c r="N170" i="5"/>
  <c r="L171" i="5"/>
  <c r="M171" i="5" s="1"/>
  <c r="N171" i="5"/>
  <c r="L172" i="5"/>
  <c r="M172" i="5" s="1"/>
  <c r="N172" i="5"/>
  <c r="L173" i="5"/>
  <c r="M173" i="5" s="1"/>
  <c r="N173" i="5"/>
  <c r="L174" i="5"/>
  <c r="M174" i="5" s="1"/>
  <c r="N174" i="5"/>
  <c r="L175" i="5"/>
  <c r="M175" i="5" s="1"/>
  <c r="N175" i="5"/>
  <c r="L176" i="5"/>
  <c r="M176" i="5" s="1"/>
  <c r="N176" i="5"/>
  <c r="L177" i="5"/>
  <c r="M177" i="5" s="1"/>
  <c r="N177" i="5"/>
  <c r="L178" i="5"/>
  <c r="M178" i="5" s="1"/>
  <c r="N178" i="5"/>
  <c r="L179" i="5"/>
  <c r="M179" i="5" s="1"/>
  <c r="N179" i="5"/>
  <c r="L180" i="5"/>
  <c r="M180" i="5" s="1"/>
  <c r="N180" i="5"/>
  <c r="L181" i="5"/>
  <c r="M181" i="5" s="1"/>
  <c r="N181" i="5"/>
  <c r="L182" i="5"/>
  <c r="M182" i="5" s="1"/>
  <c r="N182" i="5"/>
  <c r="L183" i="5"/>
  <c r="M183" i="5" s="1"/>
  <c r="N183" i="5"/>
  <c r="L184" i="5"/>
  <c r="M184" i="5" s="1"/>
  <c r="N184" i="5"/>
  <c r="L185" i="5"/>
  <c r="M185" i="5" s="1"/>
  <c r="N185" i="5"/>
  <c r="L186" i="5"/>
  <c r="M186" i="5" s="1"/>
  <c r="N186" i="5"/>
  <c r="L187" i="5"/>
  <c r="M187" i="5" s="1"/>
  <c r="N187" i="5"/>
  <c r="L188" i="5"/>
  <c r="M188" i="5" s="1"/>
  <c r="N188" i="5"/>
  <c r="L189" i="5"/>
  <c r="M189" i="5" s="1"/>
  <c r="N189" i="5"/>
  <c r="L190" i="5"/>
  <c r="M190" i="5" s="1"/>
  <c r="N190" i="5"/>
  <c r="L191" i="5"/>
  <c r="M191" i="5" s="1"/>
  <c r="N191" i="5"/>
  <c r="L192" i="5"/>
  <c r="M192" i="5" s="1"/>
  <c r="N192" i="5"/>
  <c r="L193" i="5"/>
  <c r="M193" i="5" s="1"/>
  <c r="N193" i="5"/>
  <c r="L194" i="5"/>
  <c r="M194" i="5" s="1"/>
  <c r="N194" i="5"/>
  <c r="L195" i="5"/>
  <c r="M195" i="5" s="1"/>
  <c r="N195" i="5"/>
  <c r="L196" i="5"/>
  <c r="M196" i="5" s="1"/>
  <c r="N196" i="5"/>
  <c r="L197" i="5"/>
  <c r="M197" i="5" s="1"/>
  <c r="N197" i="5"/>
  <c r="L198" i="5"/>
  <c r="M198" i="5" s="1"/>
  <c r="N198" i="5"/>
  <c r="L199" i="5"/>
  <c r="M199" i="5" s="1"/>
  <c r="N199" i="5"/>
  <c r="L200" i="5"/>
  <c r="M200" i="5" s="1"/>
  <c r="N200" i="5"/>
  <c r="L201" i="5"/>
  <c r="M201" i="5" s="1"/>
  <c r="N201" i="5"/>
  <c r="L202" i="5"/>
  <c r="M202" i="5" s="1"/>
  <c r="N202" i="5"/>
  <c r="L203" i="5"/>
  <c r="M203" i="5" s="1"/>
  <c r="N203" i="5"/>
  <c r="L204" i="5"/>
  <c r="M204" i="5" s="1"/>
  <c r="N204" i="5"/>
  <c r="L205" i="5"/>
  <c r="M205" i="5" s="1"/>
  <c r="N205" i="5"/>
  <c r="L206" i="5"/>
  <c r="M206" i="5" s="1"/>
  <c r="N206" i="5"/>
  <c r="L207" i="5"/>
  <c r="M207" i="5" s="1"/>
  <c r="N207" i="5"/>
  <c r="L208" i="5"/>
  <c r="M208" i="5" s="1"/>
  <c r="N208" i="5"/>
  <c r="L209" i="5"/>
  <c r="M209" i="5" s="1"/>
  <c r="N209" i="5"/>
  <c r="L210" i="5"/>
  <c r="M210" i="5" s="1"/>
  <c r="N210" i="5"/>
  <c r="L211" i="5"/>
  <c r="M211" i="5" s="1"/>
  <c r="N211" i="5"/>
  <c r="L212" i="5"/>
  <c r="M212" i="5" s="1"/>
  <c r="N212" i="5"/>
  <c r="L213" i="5"/>
  <c r="M213" i="5" s="1"/>
  <c r="N213" i="5"/>
  <c r="L214" i="5"/>
  <c r="M214" i="5" s="1"/>
  <c r="N214" i="5"/>
  <c r="L215" i="5"/>
  <c r="M215" i="5" s="1"/>
  <c r="N215" i="5"/>
  <c r="L216" i="5"/>
  <c r="M216" i="5" s="1"/>
  <c r="N216" i="5"/>
  <c r="L217" i="5"/>
  <c r="M217" i="5" s="1"/>
  <c r="N217" i="5"/>
  <c r="L218" i="5"/>
  <c r="M218" i="5" s="1"/>
  <c r="N218" i="5"/>
  <c r="L219" i="5"/>
  <c r="M219" i="5" s="1"/>
  <c r="N219" i="5"/>
  <c r="L220" i="5"/>
  <c r="M220" i="5" s="1"/>
  <c r="N220" i="5"/>
  <c r="L221" i="5"/>
  <c r="M221" i="5" s="1"/>
  <c r="N221" i="5"/>
  <c r="L222" i="5"/>
  <c r="M222" i="5" s="1"/>
  <c r="N222" i="5"/>
  <c r="L223" i="5"/>
  <c r="M223" i="5" s="1"/>
  <c r="N223" i="5"/>
  <c r="L224" i="5"/>
  <c r="M224" i="5" s="1"/>
  <c r="N224" i="5"/>
  <c r="L225" i="5"/>
  <c r="M225" i="5" s="1"/>
  <c r="N225" i="5"/>
  <c r="L226" i="5"/>
  <c r="M226" i="5" s="1"/>
  <c r="N226" i="5"/>
  <c r="L227" i="5"/>
  <c r="M227" i="5" s="1"/>
  <c r="N227" i="5"/>
  <c r="L228" i="5"/>
  <c r="M228" i="5" s="1"/>
  <c r="N228" i="5"/>
  <c r="L229" i="5"/>
  <c r="M229" i="5" s="1"/>
  <c r="N229" i="5"/>
  <c r="L230" i="5"/>
  <c r="M230" i="5" s="1"/>
  <c r="N230" i="5"/>
  <c r="L231" i="5"/>
  <c r="M231" i="5" s="1"/>
  <c r="N231" i="5"/>
  <c r="L232" i="5"/>
  <c r="M232" i="5" s="1"/>
  <c r="N232" i="5"/>
  <c r="L233" i="5"/>
  <c r="M233" i="5" s="1"/>
  <c r="N233" i="5"/>
  <c r="L234" i="5"/>
  <c r="M234" i="5" s="1"/>
  <c r="N234" i="5"/>
  <c r="L235" i="5"/>
  <c r="M235" i="5" s="1"/>
  <c r="N235" i="5"/>
  <c r="L236" i="5"/>
  <c r="M236" i="5" s="1"/>
  <c r="N236" i="5"/>
  <c r="L237" i="5"/>
  <c r="M237" i="5" s="1"/>
  <c r="N237" i="5"/>
  <c r="L238" i="5"/>
  <c r="M238" i="5" s="1"/>
  <c r="N238" i="5"/>
  <c r="L239" i="5"/>
  <c r="M239" i="5" s="1"/>
  <c r="N239" i="5"/>
  <c r="L240" i="5"/>
  <c r="M240" i="5" s="1"/>
  <c r="N240" i="5"/>
  <c r="L241" i="5"/>
  <c r="M241" i="5" s="1"/>
  <c r="N241" i="5"/>
  <c r="L242" i="5"/>
  <c r="M242" i="5" s="1"/>
  <c r="N242" i="5"/>
  <c r="L243" i="5"/>
  <c r="M243" i="5" s="1"/>
  <c r="N243" i="5"/>
  <c r="L244" i="5"/>
  <c r="M244" i="5" s="1"/>
  <c r="N244" i="5"/>
  <c r="L245" i="5"/>
  <c r="M245" i="5" s="1"/>
  <c r="N245" i="5"/>
  <c r="L246" i="5"/>
  <c r="M246" i="5" s="1"/>
  <c r="N246" i="5"/>
  <c r="L247" i="5"/>
  <c r="M247" i="5" s="1"/>
  <c r="N247" i="5"/>
  <c r="L248" i="5"/>
  <c r="M248" i="5" s="1"/>
  <c r="N248" i="5"/>
  <c r="L249" i="5"/>
  <c r="M249" i="5" s="1"/>
  <c r="N249" i="5"/>
  <c r="L250" i="5"/>
  <c r="M250" i="5" s="1"/>
  <c r="N250" i="5"/>
  <c r="L251" i="5"/>
  <c r="M251" i="5" s="1"/>
  <c r="N251" i="5"/>
  <c r="L252" i="5"/>
  <c r="M252" i="5" s="1"/>
  <c r="N252" i="5"/>
  <c r="L253" i="5"/>
  <c r="M253" i="5" s="1"/>
  <c r="N253" i="5"/>
  <c r="L254" i="5"/>
  <c r="M254" i="5" s="1"/>
  <c r="N254" i="5"/>
  <c r="L255" i="5"/>
  <c r="M255" i="5" s="1"/>
  <c r="N255" i="5"/>
  <c r="L256" i="5"/>
  <c r="M256" i="5" s="1"/>
  <c r="N256" i="5"/>
  <c r="L257" i="5"/>
  <c r="M257" i="5" s="1"/>
  <c r="N257" i="5"/>
  <c r="L258" i="5"/>
  <c r="M258" i="5" s="1"/>
  <c r="N258" i="5"/>
  <c r="L259" i="5"/>
  <c r="M259" i="5" s="1"/>
  <c r="N259" i="5"/>
  <c r="L260" i="5"/>
  <c r="M260" i="5" s="1"/>
  <c r="N260" i="5"/>
  <c r="L261" i="5"/>
  <c r="M261" i="5" s="1"/>
  <c r="N261" i="5"/>
  <c r="L262" i="5"/>
  <c r="M262" i="5" s="1"/>
  <c r="N262" i="5"/>
  <c r="L263" i="5"/>
  <c r="M263" i="5" s="1"/>
  <c r="N263" i="5"/>
  <c r="L264" i="5"/>
  <c r="M264" i="5" s="1"/>
  <c r="N264" i="5"/>
  <c r="L265" i="5"/>
  <c r="M265" i="5" s="1"/>
  <c r="N265" i="5"/>
  <c r="L266" i="5"/>
  <c r="M266" i="5" s="1"/>
  <c r="N266" i="5"/>
  <c r="L267" i="5"/>
  <c r="M267" i="5" s="1"/>
  <c r="N267" i="5"/>
  <c r="L268" i="5"/>
  <c r="M268" i="5" s="1"/>
  <c r="N268" i="5"/>
  <c r="L269" i="5"/>
  <c r="M269" i="5" s="1"/>
  <c r="N269" i="5"/>
  <c r="L270" i="5"/>
  <c r="M270" i="5" s="1"/>
  <c r="N270" i="5"/>
  <c r="L271" i="5"/>
  <c r="M271" i="5" s="1"/>
  <c r="N271" i="5"/>
  <c r="L272" i="5"/>
  <c r="M272" i="5" s="1"/>
  <c r="N272" i="5"/>
  <c r="L273" i="5"/>
  <c r="M273" i="5" s="1"/>
  <c r="N273" i="5"/>
  <c r="L274" i="5"/>
  <c r="M274" i="5" s="1"/>
  <c r="N274" i="5"/>
  <c r="L275" i="5"/>
  <c r="M275" i="5" s="1"/>
  <c r="N275" i="5"/>
  <c r="L276" i="5"/>
  <c r="M276" i="5" s="1"/>
  <c r="N276" i="5"/>
  <c r="L277" i="5"/>
  <c r="M277" i="5" s="1"/>
  <c r="N277" i="5"/>
  <c r="L278" i="5"/>
  <c r="M278" i="5" s="1"/>
  <c r="N278" i="5"/>
  <c r="L279" i="5"/>
  <c r="M279" i="5" s="1"/>
  <c r="N279" i="5"/>
  <c r="L280" i="5"/>
  <c r="M280" i="5" s="1"/>
  <c r="N280" i="5"/>
  <c r="L281" i="5"/>
  <c r="M281" i="5" s="1"/>
  <c r="N281" i="5"/>
  <c r="L282" i="5"/>
  <c r="M282" i="5" s="1"/>
  <c r="N282" i="5"/>
  <c r="L283" i="5"/>
  <c r="M283" i="5" s="1"/>
  <c r="N283" i="5"/>
  <c r="L284" i="5"/>
  <c r="M284" i="5" s="1"/>
  <c r="N284" i="5"/>
  <c r="L285" i="5"/>
  <c r="M285" i="5" s="1"/>
  <c r="N285" i="5"/>
  <c r="L286" i="5"/>
  <c r="M286" i="5" s="1"/>
  <c r="N286" i="5"/>
  <c r="L287" i="5"/>
  <c r="M287" i="5" s="1"/>
  <c r="N287" i="5"/>
  <c r="L288" i="5"/>
  <c r="M288" i="5" s="1"/>
  <c r="N288" i="5"/>
  <c r="L289" i="5"/>
  <c r="M289" i="5" s="1"/>
  <c r="N289" i="5"/>
  <c r="L290" i="5"/>
  <c r="M290" i="5" s="1"/>
  <c r="N290" i="5"/>
  <c r="L291" i="5"/>
  <c r="M291" i="5" s="1"/>
  <c r="N291" i="5"/>
  <c r="L292" i="5"/>
  <c r="M292" i="5" s="1"/>
  <c r="N292" i="5"/>
  <c r="L293" i="5"/>
  <c r="M293" i="5" s="1"/>
  <c r="N293" i="5"/>
  <c r="L294" i="5"/>
  <c r="M294" i="5" s="1"/>
  <c r="N294" i="5"/>
  <c r="L295" i="5"/>
  <c r="M295" i="5" s="1"/>
  <c r="N295" i="5"/>
  <c r="L296" i="5"/>
  <c r="M296" i="5" s="1"/>
  <c r="N296" i="5"/>
  <c r="L297" i="5"/>
  <c r="M297" i="5" s="1"/>
  <c r="N297" i="5"/>
  <c r="L298" i="5"/>
  <c r="M298" i="5" s="1"/>
  <c r="N298" i="5"/>
  <c r="L299" i="5"/>
  <c r="M299" i="5" s="1"/>
  <c r="N299" i="5"/>
  <c r="L300" i="5"/>
  <c r="M300" i="5" s="1"/>
  <c r="N300" i="5"/>
  <c r="L301" i="5"/>
  <c r="M301" i="5" s="1"/>
  <c r="N301" i="5"/>
  <c r="L302" i="5"/>
  <c r="M302" i="5" s="1"/>
  <c r="N302" i="5"/>
  <c r="L303" i="5"/>
  <c r="M303" i="5" s="1"/>
  <c r="N303" i="5"/>
  <c r="L304" i="5"/>
  <c r="M304" i="5" s="1"/>
  <c r="N304" i="5"/>
  <c r="L305" i="5"/>
  <c r="M305" i="5" s="1"/>
  <c r="N305" i="5"/>
  <c r="L306" i="5"/>
  <c r="M306" i="5" s="1"/>
  <c r="N306" i="5"/>
  <c r="L307" i="5"/>
  <c r="M307" i="5" s="1"/>
  <c r="N307" i="5"/>
  <c r="L308" i="5"/>
  <c r="M308" i="5" s="1"/>
  <c r="N308" i="5"/>
  <c r="L309" i="5"/>
  <c r="M309" i="5" s="1"/>
  <c r="N309" i="5"/>
  <c r="L310" i="5"/>
  <c r="M310" i="5" s="1"/>
  <c r="N310" i="5"/>
  <c r="L311" i="5"/>
  <c r="M311" i="5" s="1"/>
  <c r="N311" i="5"/>
  <c r="L312" i="5"/>
  <c r="M312" i="5" s="1"/>
  <c r="N312" i="5"/>
  <c r="L313" i="5"/>
  <c r="M313" i="5" s="1"/>
  <c r="N313" i="5"/>
  <c r="L314" i="5"/>
  <c r="M314" i="5" s="1"/>
  <c r="N314" i="5"/>
  <c r="L315" i="5"/>
  <c r="M315" i="5" s="1"/>
  <c r="N315" i="5"/>
  <c r="L316" i="5"/>
  <c r="M316" i="5" s="1"/>
  <c r="N316" i="5"/>
  <c r="L317" i="5"/>
  <c r="M317" i="5" s="1"/>
  <c r="N317" i="5"/>
  <c r="L318" i="5"/>
  <c r="M318" i="5" s="1"/>
  <c r="N318" i="5"/>
  <c r="L319" i="5"/>
  <c r="M319" i="5" s="1"/>
  <c r="N319" i="5"/>
  <c r="L320" i="5"/>
  <c r="M320" i="5" s="1"/>
  <c r="N320" i="5"/>
  <c r="L321" i="5"/>
  <c r="M321" i="5" s="1"/>
  <c r="N321" i="5"/>
  <c r="L322" i="5"/>
  <c r="M322" i="5" s="1"/>
  <c r="N322" i="5"/>
  <c r="L323" i="5"/>
  <c r="M323" i="5" s="1"/>
  <c r="N323" i="5"/>
  <c r="L324" i="5"/>
  <c r="M324" i="5" s="1"/>
  <c r="N324" i="5"/>
  <c r="L325" i="5"/>
  <c r="M325" i="5" s="1"/>
  <c r="N325" i="5"/>
  <c r="L326" i="5"/>
  <c r="M326" i="5" s="1"/>
  <c r="N326" i="5"/>
  <c r="L327" i="5"/>
  <c r="M327" i="5" s="1"/>
  <c r="N327" i="5"/>
  <c r="L328" i="5"/>
  <c r="M328" i="5" s="1"/>
  <c r="N328" i="5"/>
  <c r="L329" i="5"/>
  <c r="M329" i="5" s="1"/>
  <c r="N329" i="5"/>
  <c r="L330" i="5"/>
  <c r="M330" i="5" s="1"/>
  <c r="N330" i="5"/>
  <c r="L331" i="5"/>
  <c r="M331" i="5" s="1"/>
  <c r="N331" i="5"/>
  <c r="L332" i="5"/>
  <c r="M332" i="5" s="1"/>
  <c r="N332" i="5"/>
  <c r="L333" i="5"/>
  <c r="M333" i="5" s="1"/>
  <c r="N333" i="5"/>
  <c r="L334" i="5"/>
  <c r="M334" i="5" s="1"/>
  <c r="N334" i="5"/>
  <c r="L335" i="5"/>
  <c r="M335" i="5" s="1"/>
  <c r="N335" i="5"/>
  <c r="L336" i="5"/>
  <c r="M336" i="5" s="1"/>
  <c r="N336" i="5"/>
  <c r="L337" i="5"/>
  <c r="M337" i="5" s="1"/>
  <c r="N337" i="5"/>
  <c r="L338" i="5"/>
  <c r="M338" i="5" s="1"/>
  <c r="N338" i="5"/>
  <c r="L339" i="5"/>
  <c r="M339" i="5" s="1"/>
  <c r="N339" i="5"/>
  <c r="L340" i="5"/>
  <c r="M340" i="5" s="1"/>
  <c r="N340" i="5"/>
  <c r="L341" i="5"/>
  <c r="M341" i="5" s="1"/>
  <c r="N341" i="5"/>
  <c r="L342" i="5"/>
  <c r="M342" i="5" s="1"/>
  <c r="N342" i="5"/>
  <c r="L343" i="5"/>
  <c r="M343" i="5" s="1"/>
  <c r="N343" i="5"/>
  <c r="L344" i="5"/>
  <c r="M344" i="5" s="1"/>
  <c r="N344" i="5"/>
  <c r="L345" i="5"/>
  <c r="M345" i="5" s="1"/>
  <c r="N345" i="5"/>
  <c r="L346" i="5"/>
  <c r="M346" i="5" s="1"/>
  <c r="N346" i="5"/>
  <c r="L347" i="5"/>
  <c r="M347" i="5" s="1"/>
  <c r="N347" i="5"/>
  <c r="L348" i="5"/>
  <c r="M348" i="5" s="1"/>
  <c r="N348" i="5"/>
  <c r="L349" i="5"/>
  <c r="M349" i="5" s="1"/>
  <c r="N349" i="5"/>
  <c r="L350" i="5"/>
  <c r="M350" i="5" s="1"/>
  <c r="N350" i="5"/>
  <c r="L351" i="5"/>
  <c r="M351" i="5" s="1"/>
  <c r="N351" i="5"/>
  <c r="L352" i="5"/>
  <c r="M352" i="5" s="1"/>
  <c r="N352" i="5"/>
  <c r="L353" i="5"/>
  <c r="M353" i="5" s="1"/>
  <c r="N353" i="5"/>
  <c r="L354" i="5"/>
  <c r="M354" i="5" s="1"/>
  <c r="N354" i="5"/>
  <c r="L355" i="5"/>
  <c r="M355" i="5" s="1"/>
  <c r="N355" i="5"/>
  <c r="L356" i="5"/>
  <c r="M356" i="5" s="1"/>
  <c r="N356" i="5"/>
  <c r="L357" i="5"/>
  <c r="M357" i="5" s="1"/>
  <c r="N357" i="5"/>
  <c r="L358" i="5"/>
  <c r="M358" i="5" s="1"/>
  <c r="N358" i="5"/>
  <c r="L359" i="5"/>
  <c r="M359" i="5" s="1"/>
  <c r="N359" i="5"/>
  <c r="L360" i="5"/>
  <c r="M360" i="5" s="1"/>
  <c r="N360" i="5"/>
  <c r="L361" i="5"/>
  <c r="M361" i="5" s="1"/>
  <c r="N361" i="5"/>
  <c r="L362" i="5"/>
  <c r="M362" i="5" s="1"/>
  <c r="N362" i="5"/>
  <c r="L363" i="5"/>
  <c r="M363" i="5" s="1"/>
  <c r="N363" i="5"/>
  <c r="L364" i="5"/>
  <c r="M364" i="5" s="1"/>
  <c r="N364" i="5"/>
  <c r="L365" i="5"/>
  <c r="M365" i="5" s="1"/>
  <c r="N365" i="5"/>
  <c r="L366" i="5"/>
  <c r="M366" i="5" s="1"/>
  <c r="N366" i="5"/>
  <c r="L367" i="5"/>
  <c r="M367" i="5" s="1"/>
  <c r="N367" i="5"/>
  <c r="L368" i="5"/>
  <c r="M368" i="5" s="1"/>
  <c r="N368" i="5"/>
  <c r="L369" i="5"/>
  <c r="M369" i="5" s="1"/>
  <c r="N369" i="5"/>
  <c r="L370" i="5"/>
  <c r="M370" i="5" s="1"/>
  <c r="N370" i="5"/>
  <c r="L371" i="5"/>
  <c r="M371" i="5" s="1"/>
  <c r="N371" i="5"/>
  <c r="L372" i="5"/>
  <c r="M372" i="5" s="1"/>
  <c r="N372" i="5"/>
  <c r="L373" i="5"/>
  <c r="M373" i="5" s="1"/>
  <c r="N373" i="5"/>
  <c r="L374" i="5"/>
  <c r="M374" i="5" s="1"/>
  <c r="N374" i="5"/>
  <c r="L375" i="5"/>
  <c r="M375" i="5" s="1"/>
  <c r="N375" i="5"/>
  <c r="L376" i="5"/>
  <c r="M376" i="5" s="1"/>
  <c r="N376" i="5"/>
  <c r="L377" i="5"/>
  <c r="M377" i="5" s="1"/>
  <c r="N377" i="5"/>
  <c r="L378" i="5"/>
  <c r="M378" i="5" s="1"/>
  <c r="N378" i="5"/>
  <c r="L379" i="5"/>
  <c r="M379" i="5" s="1"/>
  <c r="N379" i="5"/>
  <c r="L380" i="5"/>
  <c r="M380" i="5" s="1"/>
  <c r="N380" i="5"/>
  <c r="L381" i="5"/>
  <c r="M381" i="5" s="1"/>
  <c r="N381" i="5"/>
  <c r="L382" i="5"/>
  <c r="M382" i="5" s="1"/>
  <c r="N382" i="5"/>
  <c r="L383" i="5"/>
  <c r="M383" i="5" s="1"/>
  <c r="N383" i="5"/>
  <c r="L384" i="5"/>
  <c r="M384" i="5" s="1"/>
  <c r="N384" i="5"/>
  <c r="L385" i="5"/>
  <c r="M385" i="5" s="1"/>
  <c r="N385" i="5"/>
  <c r="L386" i="5"/>
  <c r="M386" i="5" s="1"/>
  <c r="N386" i="5"/>
  <c r="L387" i="5"/>
  <c r="M387" i="5" s="1"/>
  <c r="N387" i="5"/>
  <c r="L388" i="5"/>
  <c r="M388" i="5" s="1"/>
  <c r="N388" i="5"/>
  <c r="L389" i="5"/>
  <c r="M389" i="5" s="1"/>
  <c r="N389" i="5"/>
  <c r="L390" i="5"/>
  <c r="M390" i="5" s="1"/>
  <c r="N390" i="5"/>
  <c r="L391" i="5"/>
  <c r="M391" i="5" s="1"/>
  <c r="N391" i="5"/>
  <c r="L392" i="5"/>
  <c r="M392" i="5" s="1"/>
  <c r="N392" i="5"/>
  <c r="L393" i="5"/>
  <c r="M393" i="5" s="1"/>
  <c r="N393" i="5"/>
  <c r="L394" i="5"/>
  <c r="M394" i="5" s="1"/>
  <c r="N394" i="5"/>
  <c r="L395" i="5"/>
  <c r="M395" i="5" s="1"/>
  <c r="N395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2" i="5"/>
  <c r="L3" i="5"/>
  <c r="M3" i="5" s="1"/>
  <c r="L4" i="5"/>
  <c r="M4" i="5" s="1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L11" i="5"/>
  <c r="M11" i="5" s="1"/>
  <c r="L12" i="5"/>
  <c r="M12" i="5" s="1"/>
  <c r="L13" i="5"/>
  <c r="M13" i="5" s="1"/>
  <c r="L14" i="5"/>
  <c r="M14" i="5" s="1"/>
  <c r="L15" i="5"/>
  <c r="M15" i="5" s="1"/>
  <c r="L16" i="5"/>
  <c r="M16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25" i="5"/>
  <c r="M25" i="5" s="1"/>
  <c r="L26" i="5"/>
  <c r="M26" i="5" s="1"/>
  <c r="L27" i="5"/>
  <c r="M27" i="5" s="1"/>
  <c r="L28" i="5"/>
  <c r="M28" i="5" s="1"/>
  <c r="L29" i="5"/>
  <c r="M29" i="5" s="1"/>
  <c r="L30" i="5"/>
  <c r="M30" i="5" s="1"/>
  <c r="L31" i="5"/>
  <c r="M31" i="5" s="1"/>
  <c r="L32" i="5"/>
  <c r="M32" i="5" s="1"/>
  <c r="L33" i="5"/>
  <c r="M33" i="5" s="1"/>
  <c r="L34" i="5"/>
  <c r="M34" i="5" s="1"/>
  <c r="L35" i="5"/>
  <c r="M35" i="5" s="1"/>
  <c r="L36" i="5"/>
  <c r="M36" i="5" s="1"/>
  <c r="L37" i="5"/>
  <c r="M37" i="5" s="1"/>
  <c r="L38" i="5"/>
  <c r="M38" i="5" s="1"/>
  <c r="L39" i="5"/>
  <c r="M39" i="5" s="1"/>
  <c r="L40" i="5"/>
  <c r="M40" i="5" s="1"/>
  <c r="L41" i="5"/>
  <c r="M41" i="5" s="1"/>
  <c r="L42" i="5"/>
  <c r="M42" i="5" s="1"/>
  <c r="L43" i="5"/>
  <c r="M43" i="5" s="1"/>
  <c r="L44" i="5"/>
  <c r="M44" i="5" s="1"/>
  <c r="L45" i="5"/>
  <c r="M45" i="5" s="1"/>
  <c r="L46" i="5"/>
  <c r="M46" i="5" s="1"/>
  <c r="L47" i="5"/>
  <c r="M47" i="5" s="1"/>
  <c r="L48" i="5"/>
  <c r="M48" i="5" s="1"/>
  <c r="L49" i="5"/>
  <c r="M49" i="5" s="1"/>
  <c r="L50" i="5"/>
  <c r="M50" i="5" s="1"/>
  <c r="L51" i="5"/>
  <c r="M51" i="5" s="1"/>
  <c r="L52" i="5"/>
  <c r="M52" i="5" s="1"/>
  <c r="L53" i="5"/>
  <c r="M53" i="5" s="1"/>
  <c r="L54" i="5"/>
  <c r="M54" i="5" s="1"/>
  <c r="L55" i="5"/>
  <c r="M55" i="5" s="1"/>
  <c r="L56" i="5"/>
  <c r="M56" i="5" s="1"/>
  <c r="L57" i="5"/>
  <c r="M57" i="5" s="1"/>
  <c r="L58" i="5"/>
  <c r="M58" i="5" s="1"/>
  <c r="L59" i="5"/>
  <c r="M59" i="5" s="1"/>
  <c r="L60" i="5"/>
  <c r="M60" i="5" s="1"/>
  <c r="L61" i="5"/>
  <c r="M61" i="5" s="1"/>
  <c r="L62" i="5"/>
  <c r="M62" i="5" s="1"/>
  <c r="L63" i="5"/>
  <c r="M63" i="5" s="1"/>
  <c r="L64" i="5"/>
  <c r="M64" i="5" s="1"/>
  <c r="L65" i="5"/>
  <c r="M65" i="5" s="1"/>
  <c r="L66" i="5"/>
  <c r="M66" i="5" s="1"/>
  <c r="L67" i="5"/>
  <c r="M67" i="5" s="1"/>
  <c r="L68" i="5"/>
  <c r="M68" i="5" s="1"/>
  <c r="L69" i="5"/>
  <c r="M69" i="5" s="1"/>
  <c r="L70" i="5"/>
  <c r="M70" i="5" s="1"/>
  <c r="L71" i="5"/>
  <c r="M71" i="5" s="1"/>
  <c r="L72" i="5"/>
  <c r="M72" i="5" s="1"/>
  <c r="L73" i="5"/>
  <c r="M73" i="5" s="1"/>
  <c r="L74" i="5"/>
  <c r="M74" i="5" s="1"/>
  <c r="L75" i="5"/>
  <c r="M75" i="5" s="1"/>
  <c r="L76" i="5"/>
  <c r="M76" i="5" s="1"/>
  <c r="L77" i="5"/>
  <c r="M77" i="5" s="1"/>
  <c r="L78" i="5"/>
  <c r="M78" i="5" s="1"/>
  <c r="L79" i="5"/>
  <c r="M79" i="5" s="1"/>
  <c r="L80" i="5"/>
  <c r="M80" i="5" s="1"/>
  <c r="L81" i="5"/>
  <c r="M81" i="5" s="1"/>
  <c r="L82" i="5"/>
  <c r="M82" i="5" s="1"/>
  <c r="L83" i="5"/>
  <c r="M83" i="5" s="1"/>
  <c r="L84" i="5"/>
  <c r="M84" i="5" s="1"/>
  <c r="L85" i="5"/>
  <c r="M85" i="5" s="1"/>
  <c r="L86" i="5"/>
  <c r="M86" i="5" s="1"/>
  <c r="L87" i="5"/>
  <c r="M87" i="5" s="1"/>
  <c r="L88" i="5"/>
  <c r="M88" i="5" s="1"/>
  <c r="L89" i="5"/>
  <c r="M89" i="5" s="1"/>
  <c r="L90" i="5"/>
  <c r="M90" i="5" s="1"/>
  <c r="L91" i="5"/>
  <c r="M91" i="5" s="1"/>
  <c r="L92" i="5"/>
  <c r="M92" i="5" s="1"/>
  <c r="L93" i="5"/>
  <c r="M93" i="5" s="1"/>
  <c r="L94" i="5"/>
  <c r="M94" i="5" s="1"/>
  <c r="L95" i="5"/>
  <c r="M95" i="5" s="1"/>
  <c r="L96" i="5"/>
  <c r="M96" i="5" s="1"/>
  <c r="L97" i="5"/>
  <c r="M97" i="5" s="1"/>
  <c r="L98" i="5"/>
  <c r="M98" i="5" s="1"/>
  <c r="L99" i="5"/>
  <c r="M99" i="5" s="1"/>
  <c r="L100" i="5"/>
  <c r="M100" i="5" s="1"/>
  <c r="L101" i="5"/>
  <c r="M101" i="5" s="1"/>
  <c r="L102" i="5"/>
  <c r="M102" i="5" s="1"/>
  <c r="L103" i="5"/>
  <c r="M103" i="5" s="1"/>
  <c r="L104" i="5"/>
  <c r="M104" i="5" s="1"/>
  <c r="L105" i="5"/>
  <c r="M105" i="5" s="1"/>
  <c r="L106" i="5"/>
  <c r="M106" i="5" s="1"/>
  <c r="L107" i="5"/>
  <c r="M107" i="5" s="1"/>
  <c r="L108" i="5"/>
  <c r="M108" i="5" s="1"/>
  <c r="L109" i="5"/>
  <c r="M109" i="5" s="1"/>
  <c r="L110" i="5"/>
  <c r="M110" i="5" s="1"/>
  <c r="L111" i="5"/>
  <c r="M111" i="5" s="1"/>
  <c r="L112" i="5"/>
  <c r="M112" i="5" s="1"/>
  <c r="L113" i="5"/>
  <c r="M113" i="5" s="1"/>
  <c r="L114" i="5"/>
  <c r="M114" i="5" s="1"/>
  <c r="L115" i="5"/>
  <c r="M115" i="5" s="1"/>
  <c r="L116" i="5"/>
  <c r="M116" i="5" s="1"/>
  <c r="L117" i="5"/>
  <c r="M117" i="5" s="1"/>
  <c r="L118" i="5"/>
  <c r="M118" i="5" s="1"/>
  <c r="L119" i="5"/>
  <c r="M119" i="5" s="1"/>
  <c r="L120" i="5"/>
  <c r="M120" i="5" s="1"/>
  <c r="L121" i="5"/>
  <c r="M121" i="5" s="1"/>
  <c r="L122" i="5"/>
  <c r="M122" i="5" s="1"/>
  <c r="L123" i="5"/>
  <c r="M123" i="5" s="1"/>
  <c r="L124" i="5"/>
  <c r="M124" i="5" s="1"/>
  <c r="L125" i="5"/>
  <c r="M125" i="5" s="1"/>
  <c r="L126" i="5"/>
  <c r="M126" i="5" s="1"/>
  <c r="L127" i="5"/>
  <c r="M127" i="5" s="1"/>
  <c r="L128" i="5"/>
  <c r="M128" i="5" s="1"/>
  <c r="L129" i="5"/>
  <c r="M129" i="5" s="1"/>
  <c r="L130" i="5"/>
  <c r="M130" i="5" s="1"/>
  <c r="L131" i="5"/>
  <c r="M131" i="5" s="1"/>
  <c r="L132" i="5"/>
  <c r="M132" i="5" s="1"/>
  <c r="L133" i="5"/>
  <c r="M133" i="5" s="1"/>
  <c r="L134" i="5"/>
  <c r="M134" i="5" s="1"/>
  <c r="L135" i="5"/>
  <c r="M135" i="5" s="1"/>
  <c r="L136" i="5"/>
  <c r="M136" i="5" s="1"/>
  <c r="L2" i="5"/>
  <c r="M2" i="5" s="1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2" i="5"/>
</calcChain>
</file>

<file path=xl/sharedStrings.xml><?xml version="1.0" encoding="utf-8"?>
<sst xmlns="http://schemas.openxmlformats.org/spreadsheetml/2006/main" count="36997" uniqueCount="4814">
  <si>
    <t>Number</t>
  </si>
  <si>
    <t>Order Date</t>
  </si>
  <si>
    <t>Site</t>
  </si>
  <si>
    <t>Created By</t>
  </si>
  <si>
    <t>Registration Status</t>
  </si>
  <si>
    <t>Customer</t>
  </si>
  <si>
    <t>Email</t>
  </si>
  <si>
    <t>Total</t>
  </si>
  <si>
    <t>Status</t>
  </si>
  <si>
    <t>IN</t>
  </si>
  <si>
    <t>Registered</t>
  </si>
  <si>
    <t>New</t>
  </si>
  <si>
    <t>Unregistered</t>
  </si>
  <si>
    <t>Open</t>
  </si>
  <si>
    <t>Completed</t>
  </si>
  <si>
    <t>Madhu R</t>
  </si>
  <si>
    <t>madhu.r@puma.com</t>
  </si>
  <si>
    <t>Mohd Uvaish</t>
  </si>
  <si>
    <t>uvaishsadv7899899232133@gmail.com</t>
  </si>
  <si>
    <t>Mahesh Singh</t>
  </si>
  <si>
    <t>Sidhant Jain</t>
  </si>
  <si>
    <t>Praveen Kumar</t>
  </si>
  <si>
    <t>patelzalak912@yahoo.com</t>
  </si>
  <si>
    <t>Jay Patel</t>
  </si>
  <si>
    <t>2022-07-07T5:04:23 AM GMT</t>
  </si>
  <si>
    <t>Vipul Dubey</t>
  </si>
  <si>
    <t>vipuldubey0707@gmail.com</t>
  </si>
  <si>
    <t>2022-07-07T5:02:47 AM GMT</t>
  </si>
  <si>
    <t>2022-07-07T5:02:42 AM GMT</t>
  </si>
  <si>
    <t>Avinash Nirankari</t>
  </si>
  <si>
    <t>avinashnirankari600@gmail.com</t>
  </si>
  <si>
    <t>2022-07-07T5:00:24 AM GMT</t>
  </si>
  <si>
    <t>2022-07-07T4:59:23 AM GMT</t>
  </si>
  <si>
    <t>vky danwara</t>
  </si>
  <si>
    <t>vickybishnoi343@gmail.com</t>
  </si>
  <si>
    <t>2022-07-07T4:59:18 AM GMT</t>
  </si>
  <si>
    <t>Ganesh Dontikurthi</t>
  </si>
  <si>
    <t>pandu4518@gmail.com</t>
  </si>
  <si>
    <t>2022-07-07T4:56:59 AM GMT</t>
  </si>
  <si>
    <t>DEVENDRA CHOUDHARY</t>
  </si>
  <si>
    <t>dev.d9762@gmail.com</t>
  </si>
  <si>
    <t>2022-07-07T4:56:12 AM GMT</t>
  </si>
  <si>
    <t>Divyanshu sharma</t>
  </si>
  <si>
    <t>email4divyanshu@gmail.com</t>
  </si>
  <si>
    <t>2022-07-07T4:55:10 AM GMT</t>
  </si>
  <si>
    <t>Vicky  Singh</t>
  </si>
  <si>
    <t>vicky.singh.vs65@gmail.com</t>
  </si>
  <si>
    <t>2022-07-07T4:54:38 AM GMT</t>
  </si>
  <si>
    <t>Manish Kumar</t>
  </si>
  <si>
    <t>manishjikumar2020@gmail.com</t>
  </si>
  <si>
    <t>2022-07-07T4:54:29 AM GMT</t>
  </si>
  <si>
    <t>SANCHIT GARG</t>
  </si>
  <si>
    <t>gsanchit42@gmail.com</t>
  </si>
  <si>
    <t>2022-07-07T4:52:57 AM GMT</t>
  </si>
  <si>
    <t>Mohit Wadhawan</t>
  </si>
  <si>
    <t>mohitwadhawan23@gmail.com</t>
  </si>
  <si>
    <t>2022-07-07T4:50:11 AM GMT</t>
  </si>
  <si>
    <t>Sunny Sajgotra</t>
  </si>
  <si>
    <t>sunny.sajgotra@gmail.com</t>
  </si>
  <si>
    <t>2022-07-07T4:47:39 AM GMT</t>
  </si>
  <si>
    <t>Mehetab Hossain</t>
  </si>
  <si>
    <t>mehetabhossain07@gmail.com</t>
  </si>
  <si>
    <t>2022-07-07T4:46:22 AM GMT</t>
  </si>
  <si>
    <t>ANSHUL Chavda</t>
  </si>
  <si>
    <t>anshul.chavda2510@gmail.com</t>
  </si>
  <si>
    <t>2022-07-07T4:46:15 AM GMT</t>
  </si>
  <si>
    <t>salim Ali</t>
  </si>
  <si>
    <t>salimali2000nagaon@gmail.com</t>
  </si>
  <si>
    <t>2022-07-07T4:45:18 AM GMT</t>
  </si>
  <si>
    <t>UBAID SHIEKH</t>
  </si>
  <si>
    <t>UBIIUBAID540@GMAIL.COM</t>
  </si>
  <si>
    <t>2022-07-07T4:45:10 AM GMT</t>
  </si>
  <si>
    <t>rahul verma</t>
  </si>
  <si>
    <t>rv3248403@gmail.com</t>
  </si>
  <si>
    <t>2022-07-07T4:45:06 AM GMT</t>
  </si>
  <si>
    <t xml:space="preserve">Aisri  Debbarma </t>
  </si>
  <si>
    <t>aisritokhi@gmail.com</t>
  </si>
  <si>
    <t>2022-07-07T4:43:39 AM GMT</t>
  </si>
  <si>
    <t>Olivia Brian</t>
  </si>
  <si>
    <t>oliviabrian1924@gmail.com</t>
  </si>
  <si>
    <t>2022-07-07T4:43:38 AM GMT</t>
  </si>
  <si>
    <t>Gurpreet Singh</t>
  </si>
  <si>
    <t>bansal9872@gmail.com</t>
  </si>
  <si>
    <t>2022-07-07T4:42:20 AM GMT</t>
  </si>
  <si>
    <t xml:space="preserve">Swathi Rohitha </t>
  </si>
  <si>
    <t>blrswathi.rohith@gmail.com</t>
  </si>
  <si>
    <t>2022-07-07T4:40:40 AM GMT</t>
  </si>
  <si>
    <t>Asif Ahmed</t>
  </si>
  <si>
    <t>akashmaxfit@gmail.com</t>
  </si>
  <si>
    <t>2022-07-07T4:38:37 AM GMT</t>
  </si>
  <si>
    <t>Jeet Singh</t>
  </si>
  <si>
    <t>rajatpuri21740@gmail.com</t>
  </si>
  <si>
    <t>2022-07-07T4:38:15 AM GMT</t>
  </si>
  <si>
    <t>Jytesh Raavi</t>
  </si>
  <si>
    <t>raavijytesh@gmail.com</t>
  </si>
  <si>
    <t>2022-07-07T4:38:03 AM GMT</t>
  </si>
  <si>
    <t>Arun Jaligam</t>
  </si>
  <si>
    <t>arunjaligam07@gmail.com</t>
  </si>
  <si>
    <t>2022-07-07T4:37:30 AM GMT</t>
  </si>
  <si>
    <t>Harpreet Singh</t>
  </si>
  <si>
    <t>apreet25@gmail.com</t>
  </si>
  <si>
    <t>2022-07-07T4:36:14 AM GMT</t>
  </si>
  <si>
    <t>2022-07-07T4:36:05 AM GMT</t>
  </si>
  <si>
    <t>Gopi Gurusami</t>
  </si>
  <si>
    <t>gopi_gurusami@yahoo.com</t>
  </si>
  <si>
    <t>2022-07-07T4:31:19 AM GMT</t>
  </si>
  <si>
    <t>SACHIN S</t>
  </si>
  <si>
    <t>sachinroman64@gmail.com</t>
  </si>
  <si>
    <t>2022-07-07T4:30:41 AM GMT</t>
  </si>
  <si>
    <t>Swadhin Lamba</t>
  </si>
  <si>
    <t>swadhinlamba8@gmail.com</t>
  </si>
  <si>
    <t>2022-07-07T4:30:18 AM GMT</t>
  </si>
  <si>
    <t>Akil Khan</t>
  </si>
  <si>
    <t>akilkhan8270@gmail.com</t>
  </si>
  <si>
    <t>2022-07-07T4:29:51 AM GMT</t>
  </si>
  <si>
    <t>Prabha Chauhan</t>
  </si>
  <si>
    <t>Pammahr@gmail.com</t>
  </si>
  <si>
    <t>2022-07-07T4:27:34 AM GMT</t>
  </si>
  <si>
    <t>Khushi Singh</t>
  </si>
  <si>
    <t>Khushis340@gmail.com</t>
  </si>
  <si>
    <t>2022-07-07T4:27:10 AM GMT</t>
  </si>
  <si>
    <t>himanshu Raj</t>
  </si>
  <si>
    <t>himanshuraj8965@gmail.com</t>
  </si>
  <si>
    <t>2022-07-07T4:25:28 AM GMT</t>
  </si>
  <si>
    <t>Sachin Lohchab</t>
  </si>
  <si>
    <t>sachin.lohchab03@gmail.com</t>
  </si>
  <si>
    <t>2022-07-07T4:24:46 AM GMT</t>
  </si>
  <si>
    <t>Vashu  S</t>
  </si>
  <si>
    <t>vs143@gmail.com</t>
  </si>
  <si>
    <t>2022-07-07T4:24:08 AM GMT</t>
  </si>
  <si>
    <t>Ekene Emmanuel</t>
  </si>
  <si>
    <t>Ekeneogene4241@gmail.com</t>
  </si>
  <si>
    <t>2022-07-07T4:23:46 AM GMT</t>
  </si>
  <si>
    <t>Neetika Katoch</t>
  </si>
  <si>
    <t>nitzkatoch.nk@gmail.com</t>
  </si>
  <si>
    <t>2022-07-07T4:22:19 AM GMT</t>
  </si>
  <si>
    <t>Deepa Patare</t>
  </si>
  <si>
    <t>deepm.ch@gmail.com</t>
  </si>
  <si>
    <t>2022-07-07T4:22:07 AM GMT</t>
  </si>
  <si>
    <t>M J</t>
  </si>
  <si>
    <t>mj@gmail.com</t>
  </si>
  <si>
    <t>2022-07-07T4:21:52 AM GMT</t>
  </si>
  <si>
    <t>Yashwanth M Yashwanth M</t>
  </si>
  <si>
    <t>princeyash215@gmail.com</t>
  </si>
  <si>
    <t>2022-07-07T4:20:32 AM GMT</t>
  </si>
  <si>
    <t>Amit Raj</t>
  </si>
  <si>
    <t>amitraj726427@gmail.com</t>
  </si>
  <si>
    <t>2022-07-07T4:20:10 AM GMT</t>
  </si>
  <si>
    <t>Sudarshan Ghangurde</t>
  </si>
  <si>
    <t>sudar281992@gmail.com</t>
  </si>
  <si>
    <t>2022-07-07T4:19:06 AM GMT</t>
  </si>
  <si>
    <t>Maam  Ji</t>
  </si>
  <si>
    <t>manji12@gmail.com</t>
  </si>
  <si>
    <t>2022-07-07T4:18:09 AM GMT</t>
  </si>
  <si>
    <t>Deepshi Singh</t>
  </si>
  <si>
    <t>deepshisingh2016@gmail.com</t>
  </si>
  <si>
    <t>2022-07-07T4:11:09 AM GMT</t>
  </si>
  <si>
    <t>ASHISH KANDPAL</t>
  </si>
  <si>
    <t>nirmaldyechem@gmail.com</t>
  </si>
  <si>
    <t>2022-07-07T4:08:05 AM GMT</t>
  </si>
  <si>
    <t>Nimesh Patel</t>
  </si>
  <si>
    <t>np8050602@gmail.com</t>
  </si>
  <si>
    <t>2022-07-07T4:07:29 AM GMT</t>
  </si>
  <si>
    <t>Vijay Maheshwari</t>
  </si>
  <si>
    <t>vijaymaheshvary16786@gmail.com</t>
  </si>
  <si>
    <t>2022-07-07T4:07:20 AM GMT</t>
  </si>
  <si>
    <t>palaniyappan RAVEENDRAN</t>
  </si>
  <si>
    <t>plr6067@gmail.com</t>
  </si>
  <si>
    <t>2022-07-07T4:06:07 AM GMT</t>
  </si>
  <si>
    <t>Sneha Jojo</t>
  </si>
  <si>
    <t>snehalizaj@gmail.com</t>
  </si>
  <si>
    <t>2022-07-07T4:05:00 AM GMT</t>
  </si>
  <si>
    <t>Dharani Rizal</t>
  </si>
  <si>
    <t>dharnidhar71@gmail.com</t>
  </si>
  <si>
    <t>2022-07-07T4:04:06 AM GMT</t>
  </si>
  <si>
    <t>Rahul Bishnoi</t>
  </si>
  <si>
    <t>rb700710@gmail.com</t>
  </si>
  <si>
    <t>2022-07-07T4:03:47 AM GMT</t>
  </si>
  <si>
    <t>Vivek Hp</t>
  </si>
  <si>
    <t>hp.vivek755@gmail.com</t>
  </si>
  <si>
    <t>2022-07-07T4:03:14 AM GMT</t>
  </si>
  <si>
    <t>Varun Yellamelly</t>
  </si>
  <si>
    <t>varunyellamally123@gmail.com</t>
  </si>
  <si>
    <t>2022-07-07T4:01:43 AM GMT</t>
  </si>
  <si>
    <t>ashish dalmia</t>
  </si>
  <si>
    <t>ashishdalmia1999@gmail.com</t>
  </si>
  <si>
    <t>2022-07-07T4:01:31 AM GMT</t>
  </si>
  <si>
    <t>Lobsang Sherap</t>
  </si>
  <si>
    <t>lobsangparehs64@gmail.com</t>
  </si>
  <si>
    <t>2022-07-07T4:00:20 AM GMT</t>
  </si>
  <si>
    <t>Rohit Yadav</t>
  </si>
  <si>
    <t>1775rohityadav@gmail.com</t>
  </si>
  <si>
    <t>2022-07-07T3:59:47 AM GMT</t>
  </si>
  <si>
    <t>Manas Sahoo</t>
  </si>
  <si>
    <t>jitunsahoo.bbsr@gmail.com</t>
  </si>
  <si>
    <t>2022-07-07T3:59:02 AM GMT</t>
  </si>
  <si>
    <t>Yash Arjariya</t>
  </si>
  <si>
    <t>arjariyayash7@gmail.com</t>
  </si>
  <si>
    <t>2022-07-07T3:58:59 AM GMT</t>
  </si>
  <si>
    <t>JAYDEVSINH GOHIL</t>
  </si>
  <si>
    <t>gohil_jaydevsinh@hotmail.com</t>
  </si>
  <si>
    <t>2022-07-07T3:58:01 AM GMT</t>
  </si>
  <si>
    <t xml:space="preserve">Sharan  Gadge </t>
  </si>
  <si>
    <t>sharanhoogar04106@gmail.com</t>
  </si>
  <si>
    <t>2022-07-07T3:56:01 AM GMT</t>
  </si>
  <si>
    <t>vikrant rangi</t>
  </si>
  <si>
    <t>vikrant.rangi@puma.com</t>
  </si>
  <si>
    <t>2022-07-07T3:55:24 AM GMT</t>
  </si>
  <si>
    <t>Mohammed Darwish</t>
  </si>
  <si>
    <t>drmohammeddarwish@gmail.com</t>
  </si>
  <si>
    <t>2022-07-07T3:55:12 AM GMT</t>
  </si>
  <si>
    <t>Praveen Ahlawat</t>
  </si>
  <si>
    <t>praveenahlawat30@icloud.com</t>
  </si>
  <si>
    <t>2022-07-07T3:52:03 AM GMT</t>
  </si>
  <si>
    <t>2022-07-07T3:51:57 AM GMT</t>
  </si>
  <si>
    <t>Saransh Saxena</t>
  </si>
  <si>
    <t>Saranshs24@gmail.com</t>
  </si>
  <si>
    <t>2022-07-07T3:51:38 AM GMT</t>
  </si>
  <si>
    <t>Ruchi Chandak</t>
  </si>
  <si>
    <t>chandakmruchi@gmail.com</t>
  </si>
  <si>
    <t>2022-07-07T3:50:55 AM GMT</t>
  </si>
  <si>
    <t>Tejas Gowda</t>
  </si>
  <si>
    <t>tejastejas345@gmail.com</t>
  </si>
  <si>
    <t>2022-07-07T3:48:25 AM GMT</t>
  </si>
  <si>
    <t>singhkunal89@gmail.com</t>
  </si>
  <si>
    <t>2022-07-07T3:44:51 AM GMT</t>
  </si>
  <si>
    <t>Manshu Kashyap</t>
  </si>
  <si>
    <t>manshukashyap100@gmail.com</t>
  </si>
  <si>
    <t>2022-07-07T3:43:23 AM GMT</t>
  </si>
  <si>
    <t>Harsh Singh</t>
  </si>
  <si>
    <t>bhaigoldy71@gmail.com</t>
  </si>
  <si>
    <t>2022-07-07T3:42:31 AM GMT</t>
  </si>
  <si>
    <t>VANGAPALLI LAXMAN</t>
  </si>
  <si>
    <t>vangapallilaxman14311@gmail.com</t>
  </si>
  <si>
    <t>2022-07-07T3:41:56 AM GMT</t>
  </si>
  <si>
    <t>Vinay Verma</t>
  </si>
  <si>
    <t>vinayvermadic@gmail.com</t>
  </si>
  <si>
    <t>2022-07-07T3:40:55 AM GMT</t>
  </si>
  <si>
    <t>Sp Patra</t>
  </si>
  <si>
    <t>patrasoumya37@gmail.com</t>
  </si>
  <si>
    <t>2022-07-07T3:40:46 AM GMT</t>
  </si>
  <si>
    <t>Theankit Singh</t>
  </si>
  <si>
    <t>theankit.singh451@gmail.com</t>
  </si>
  <si>
    <t>2022-07-07T3:39:15 AM GMT</t>
  </si>
  <si>
    <t>Saravana V</t>
  </si>
  <si>
    <t>guruglv@gmail.com</t>
  </si>
  <si>
    <t>2022-07-07T3:35:53 AM GMT</t>
  </si>
  <si>
    <t>Baljot Salh</t>
  </si>
  <si>
    <t>baljotsalh4398@gmail.com</t>
  </si>
  <si>
    <t>2022-07-07T3:32:49 AM GMT</t>
  </si>
  <si>
    <t>Shariq Khan</t>
  </si>
  <si>
    <t>khanshariq050@gmail.com</t>
  </si>
  <si>
    <t>2022-07-07T3:31:39 AM GMT</t>
  </si>
  <si>
    <t>Manoj Sharma</t>
  </si>
  <si>
    <t>manojsharma76077@gmail.com</t>
  </si>
  <si>
    <t>2022-07-07T3:28:00 AM GMT</t>
  </si>
  <si>
    <t>Vaibhav sharma</t>
  </si>
  <si>
    <t>sharmavaibhav9988@gmail.com</t>
  </si>
  <si>
    <t>2022-07-07T3:27:04 AM GMT</t>
  </si>
  <si>
    <t>Prashant Kumar</t>
  </si>
  <si>
    <t>golden786prashant@gmail.com</t>
  </si>
  <si>
    <t>2022-07-07T3:27:01 AM GMT</t>
  </si>
  <si>
    <t>bipul rai</t>
  </si>
  <si>
    <t>raibipul88@gmail.com</t>
  </si>
  <si>
    <t>2022-07-07T3:25:51 AM GMT</t>
  </si>
  <si>
    <t>RajKuMaR SinGh</t>
  </si>
  <si>
    <t>rajkr27aug@gmail.com</t>
  </si>
  <si>
    <t>2022-07-07T3:25:30 AM GMT</t>
  </si>
  <si>
    <t>Krishnakant Chaudhary</t>
  </si>
  <si>
    <t>kkchaudhary2428@gmail.com</t>
  </si>
  <si>
    <t>2022-07-07T3:23:58 AM GMT</t>
  </si>
  <si>
    <t>Mrudul Khetan</t>
  </si>
  <si>
    <t>mrudulkhetan30@gmail.com</t>
  </si>
  <si>
    <t>2022-07-07T3:23:47 AM GMT</t>
  </si>
  <si>
    <t>Nithin Yadav</t>
  </si>
  <si>
    <t>nithinappu193095@gmail.com</t>
  </si>
  <si>
    <t>2022-07-07T3:23:19 AM GMT</t>
  </si>
  <si>
    <t>Avyay R</t>
  </si>
  <si>
    <t>avyayramesh572003@gmail.com</t>
  </si>
  <si>
    <t>2022-07-07T3:16:07 AM GMT</t>
  </si>
  <si>
    <t>Amrit Singh</t>
  </si>
  <si>
    <t>amritjotsingh4242@gmail.com</t>
  </si>
  <si>
    <t>2022-07-07T3:15:30 AM GMT</t>
  </si>
  <si>
    <t>bona nongmaithem</t>
  </si>
  <si>
    <t>bonanong234@gmail.com</t>
  </si>
  <si>
    <t>2022-07-07T3:09:52 AM GMT</t>
  </si>
  <si>
    <t>Pratik Pradhan</t>
  </si>
  <si>
    <t>pratikpradhan081@gmail.com</t>
  </si>
  <si>
    <t>2022-07-07T3:09:22 AM GMT</t>
  </si>
  <si>
    <t>Jairam Prajapati</t>
  </si>
  <si>
    <t>prajapatijairam@ymail.com</t>
  </si>
  <si>
    <t>2022-07-07T3:09:17 AM GMT</t>
  </si>
  <si>
    <t>Lakshay Yadav</t>
  </si>
  <si>
    <t>lakshayy32@gmail.com</t>
  </si>
  <si>
    <t>2022-07-07T3:08:26 AM GMT</t>
  </si>
  <si>
    <t>Arjun Moirangthem</t>
  </si>
  <si>
    <t>arjunmoirangthem59@gmail.com</t>
  </si>
  <si>
    <t>2022-07-07T3:06:04 AM GMT</t>
  </si>
  <si>
    <t>Swetaj Kotkar</t>
  </si>
  <si>
    <t>swetajmessi10@gmail.com</t>
  </si>
  <si>
    <t>2022-07-07T3:05:15 AM GMT</t>
  </si>
  <si>
    <t>Aditya Singh</t>
  </si>
  <si>
    <t>adityasingh91191@gmail.com</t>
  </si>
  <si>
    <t>2022-07-07T3:05:03 AM GMT</t>
  </si>
  <si>
    <t>Kumar Nishant</t>
  </si>
  <si>
    <t>amazonshoppernow@gmail.com</t>
  </si>
  <si>
    <t>2022-07-07T3:03:29 AM GMT</t>
  </si>
  <si>
    <t>Prashant Vikram  Singh</t>
  </si>
  <si>
    <t>vikramsinghprashant28@gmail.com</t>
  </si>
  <si>
    <t>2022-07-07T3:02:30 AM GMT</t>
  </si>
  <si>
    <t>Vivaan Tankasala</t>
  </si>
  <si>
    <t>journalistankasala@gmail.com</t>
  </si>
  <si>
    <t>2022-07-07T2:56:47 AM GMT</t>
  </si>
  <si>
    <t>Lukesh Sethi</t>
  </si>
  <si>
    <t>lukeshsethi60@gmail.com</t>
  </si>
  <si>
    <t>2022-07-07T2:56:24 AM GMT</t>
  </si>
  <si>
    <t>Prateek Pathak</t>
  </si>
  <si>
    <t>prateekpathak.800@gmail.com</t>
  </si>
  <si>
    <t>2022-07-07T2:51:51 AM GMT</t>
  </si>
  <si>
    <t>Rishav modi</t>
  </si>
  <si>
    <t>rkmodi49@gmail.com</t>
  </si>
  <si>
    <t>2022-07-07T2:51:06 AM GMT</t>
  </si>
  <si>
    <t>Jaideep Deepu</t>
  </si>
  <si>
    <t>knjaydeep@gmail.com</t>
  </si>
  <si>
    <t>2022-07-07T2:44:22 AM GMT</t>
  </si>
  <si>
    <t>Sai Reddy</t>
  </si>
  <si>
    <t>saidudi966@gmail.com</t>
  </si>
  <si>
    <t>2022-07-07T2:40:37 AM GMT</t>
  </si>
  <si>
    <t>RAJAT negi</t>
  </si>
  <si>
    <t>rajatnegi0608@gmail.com</t>
  </si>
  <si>
    <t>2022-07-07T2:35:49 AM GMT</t>
  </si>
  <si>
    <t>RAVINDRAREDDY BHAVANAM</t>
  </si>
  <si>
    <t>ravindrareddybhavanam@gmail.com</t>
  </si>
  <si>
    <t>2022-07-07T2:31:08 AM GMT</t>
  </si>
  <si>
    <t>GurmaN Maan</t>
  </si>
  <si>
    <t>gurmanm2@gmail.com</t>
  </si>
  <si>
    <t>2022-07-07T2:27:54 AM GMT</t>
  </si>
  <si>
    <t>Dev Dhameliya</t>
  </si>
  <si>
    <t>iladhameliya45@gmail.com</t>
  </si>
  <si>
    <t>2022-07-07T2:26:16 AM GMT</t>
  </si>
  <si>
    <t>KAUSTUBH ATHAWALE</t>
  </si>
  <si>
    <t>imkaustubhh@gmail.com</t>
  </si>
  <si>
    <t>2022-07-07T2:25:00 AM GMT</t>
  </si>
  <si>
    <t>Pankaj Chaudhary</t>
  </si>
  <si>
    <t>pankajkhutail@gmail.com</t>
  </si>
  <si>
    <t>2022-07-07T2:20:08 AM GMT</t>
  </si>
  <si>
    <t>Kumar Gituraj</t>
  </si>
  <si>
    <t>kumargituraj@gmail.com</t>
  </si>
  <si>
    <t>2022-07-07T2:15:05 AM GMT</t>
  </si>
  <si>
    <t>A R</t>
  </si>
  <si>
    <t>anandappu776@gmail.com</t>
  </si>
  <si>
    <t>2022-07-07T2:14:39 AM GMT</t>
  </si>
  <si>
    <t xml:space="preserve">Krishna  Murthy </t>
  </si>
  <si>
    <t>gyaangaurav@gmail.com</t>
  </si>
  <si>
    <t>2022-07-07T2:11:32 AM GMT</t>
  </si>
  <si>
    <t xml:space="preserve">Satyom Kumar </t>
  </si>
  <si>
    <t>satyomshailnand3@gmail.com</t>
  </si>
  <si>
    <t>2022-07-07T2:09:25 AM GMT</t>
  </si>
  <si>
    <t>Mohak Vasishtha</t>
  </si>
  <si>
    <t>vasishthamohak99@gmail.com</t>
  </si>
  <si>
    <t>2022-07-07T2:08:14 AM GMT</t>
  </si>
  <si>
    <t>Sam Thakur</t>
  </si>
  <si>
    <t>nikesingh9559428302@gmail.com</t>
  </si>
  <si>
    <t>2022-07-07T1:59:05 AM GMT</t>
  </si>
  <si>
    <t>Arshad Arsh</t>
  </si>
  <si>
    <t>arshjashu@gmail.com</t>
  </si>
  <si>
    <t>2022-07-07T1:57:23 AM GMT</t>
  </si>
  <si>
    <t>Abhishek Dixit</t>
  </si>
  <si>
    <t>dixit.abhicool@gmail.com</t>
  </si>
  <si>
    <t>2022-07-07T1:53:56 AM GMT</t>
  </si>
  <si>
    <t>Rida Nargis</t>
  </si>
  <si>
    <t>ridanargis245@gmail.com</t>
  </si>
  <si>
    <t>2022-07-07T1:53:24 AM GMT</t>
  </si>
  <si>
    <t>Suhan Kandkur</t>
  </si>
  <si>
    <t>suhankandkur@gmail.com</t>
  </si>
  <si>
    <t>2022-07-07T1:53:18 AM GMT</t>
  </si>
  <si>
    <t>Ranjith Ravindran</t>
  </si>
  <si>
    <t>rnjth@icloud.com</t>
  </si>
  <si>
    <t>2022-07-07T1:31:59 AM GMT</t>
  </si>
  <si>
    <t>BharathKumar Mogili</t>
  </si>
  <si>
    <t>bharathkumar626.m@gmail.com</t>
  </si>
  <si>
    <t>2022-07-07T1:31:35 AM GMT</t>
  </si>
  <si>
    <t>Yadukrishnan Udayakumar</t>
  </si>
  <si>
    <t>yaduday98@gmail.com</t>
  </si>
  <si>
    <t>2022-07-07T1:23:08 AM GMT</t>
  </si>
  <si>
    <t>Patel Hir</t>
  </si>
  <si>
    <t>patelhiral997915@gmail.com</t>
  </si>
  <si>
    <t>2022-07-07T1:18:07 AM GMT</t>
  </si>
  <si>
    <t>Arun Mohan</t>
  </si>
  <si>
    <t>princetourstvm@gmail.com</t>
  </si>
  <si>
    <t>2022-07-07T1:11:51 AM GMT</t>
  </si>
  <si>
    <t>Mahima Sahu</t>
  </si>
  <si>
    <t>sahumahima937@gmail.com</t>
  </si>
  <si>
    <t>2022-07-07T1:08:46 AM GMT</t>
  </si>
  <si>
    <t>Hunny  Shatma</t>
  </si>
  <si>
    <t>hs2839700@gmail.com</t>
  </si>
  <si>
    <t>2022-07-07T1:01:37 AM GMT</t>
  </si>
  <si>
    <t>Sunil  Mahto</t>
  </si>
  <si>
    <t>jaymatadiarti@gmail.com</t>
  </si>
  <si>
    <t>2022-07-07T12:51:35 AM GMT</t>
  </si>
  <si>
    <t>Pankaj Prajapati</t>
  </si>
  <si>
    <t>pankaj.09959@gmail.com</t>
  </si>
  <si>
    <t>2022-07-07T12:50:24 AM GMT</t>
  </si>
  <si>
    <t>Deep sethi</t>
  </si>
  <si>
    <t>deepchanna5514@gmail.com</t>
  </si>
  <si>
    <t>2022-07-07T12:44:47 AM GMT</t>
  </si>
  <si>
    <t>Asu Aier</t>
  </si>
  <si>
    <t>temjensolaaier@gmail.com</t>
  </si>
  <si>
    <t>2022-07-07T12:39:43 AM GMT</t>
  </si>
  <si>
    <t>Priyadarshi Abhishek</t>
  </si>
  <si>
    <t>abhishek.priyadarshi8@gmail.com</t>
  </si>
  <si>
    <t>2022-07-07T12:19:44 AM GMT</t>
  </si>
  <si>
    <t>mayank Jain</t>
  </si>
  <si>
    <t>mayankjain368@gmail.com</t>
  </si>
  <si>
    <t>2022-07-07T12:11:05 AM GMT</t>
  </si>
  <si>
    <t xml:space="preserve">Yogesh Tatavarti </t>
  </si>
  <si>
    <t>yogeshtatavarti@gmail.com</t>
  </si>
  <si>
    <t>2022-07-07T12:09:39 AM GMT</t>
  </si>
  <si>
    <t>Ritik Taneja</t>
  </si>
  <si>
    <t>ritiktaneja2908@gmail.com</t>
  </si>
  <si>
    <t>2022-07-06T11:20:45 PM GMT</t>
  </si>
  <si>
    <t>Venkatesan Y</t>
  </si>
  <si>
    <t>reach.yv@gmail.com</t>
  </si>
  <si>
    <t>2022-07-06T10:54:29 PM GMT</t>
  </si>
  <si>
    <t>Neesad Choudhury</t>
  </si>
  <si>
    <t>neesaddhar@gmail.com</t>
  </si>
  <si>
    <t>2022-07-06T10:53:46 PM GMT</t>
  </si>
  <si>
    <t>RITESH SONKAR</t>
  </si>
  <si>
    <t>riteshsonkar860@gmail.com</t>
  </si>
  <si>
    <t>2022-07-06T10:46:51 PM GMT</t>
  </si>
  <si>
    <t>Abdul Rahman</t>
  </si>
  <si>
    <t>abdulra7861@gmail.com</t>
  </si>
  <si>
    <t>2022-07-06T10:46:37 PM GMT</t>
  </si>
  <si>
    <t>Alefia Kapadia</t>
  </si>
  <si>
    <t>staralefiakapadia@gmail.com</t>
  </si>
  <si>
    <t>2022-07-06T10:36:52 PM GMT</t>
  </si>
  <si>
    <t>Prabha  Prabhu</t>
  </si>
  <si>
    <t>prabhakara87742@gmail.com</t>
  </si>
  <si>
    <t>2022-07-06T10:28:07 PM GMT</t>
  </si>
  <si>
    <t>Sumit Sutar</t>
  </si>
  <si>
    <t>Sumit1899ss@gmail.com</t>
  </si>
  <si>
    <t>2022-07-06T10:15:09 PM GMT</t>
  </si>
  <si>
    <t>Sam Solomon</t>
  </si>
  <si>
    <t>sam.solomon312@gmail.com</t>
  </si>
  <si>
    <t>2022-07-06T10:10:37 PM GMT</t>
  </si>
  <si>
    <t>Soham Gangave</t>
  </si>
  <si>
    <t>soham.gangawe5@gmail.com</t>
  </si>
  <si>
    <t>2022-07-06T9:58:57 PM GMT</t>
  </si>
  <si>
    <t>Akbar Mohd</t>
  </si>
  <si>
    <t>mmohdakbar06@gamil.com</t>
  </si>
  <si>
    <t>2022-07-06T9:58:24 PM GMT</t>
  </si>
  <si>
    <t>Zahed Ali</t>
  </si>
  <si>
    <t>hajeraali779@gmail.com</t>
  </si>
  <si>
    <t>2022-07-06T9:55:11 PM GMT</t>
  </si>
  <si>
    <t>Chiraag Chengappa</t>
  </si>
  <si>
    <t>chiraagchengappa@gmail.com</t>
  </si>
  <si>
    <t>2022-07-06T9:54:59 PM GMT</t>
  </si>
  <si>
    <t>Aswin Shaji</t>
  </si>
  <si>
    <t>aswinshaji1121@gmail.com</t>
  </si>
  <si>
    <t>2022-07-06T9:52:59 PM GMT</t>
  </si>
  <si>
    <t>Bhavya Bhavya</t>
  </si>
  <si>
    <t>bhavyavangalapudi@gmail.com</t>
  </si>
  <si>
    <t>2022-07-06T9:52:38 PM GMT</t>
  </si>
  <si>
    <t>Kishore Rusen</t>
  </si>
  <si>
    <t>kishorerusendaniel@gmail.com</t>
  </si>
  <si>
    <t>2022-07-06T9:47:39 PM GMT</t>
  </si>
  <si>
    <t>Abhishek Sharm</t>
  </si>
  <si>
    <t>sharma.dashingabhu@gmail.com</t>
  </si>
  <si>
    <t>2022-07-06T9:46:52 PM GMT</t>
  </si>
  <si>
    <t>2022-07-06T9:37:33 PM GMT</t>
  </si>
  <si>
    <t>Bhavin Ahir</t>
  </si>
  <si>
    <t>bhavinahir20@gmail.com</t>
  </si>
  <si>
    <t>2022-07-06T9:24:13 PM GMT</t>
  </si>
  <si>
    <t>Amrita Sahu</t>
  </si>
  <si>
    <t>amritabinodini1998@gmail.com</t>
  </si>
  <si>
    <t>2022-07-06T9:21:14 PM GMT</t>
  </si>
  <si>
    <t>Sandipan Biswas</t>
  </si>
  <si>
    <t>sandipanbiswas257@gmail.com</t>
  </si>
  <si>
    <t>2022-07-06T9:11:58 PM GMT</t>
  </si>
  <si>
    <t>Shubham Kemnai</t>
  </si>
  <si>
    <t>shubham.k.bharadwaj@gmail.com</t>
  </si>
  <si>
    <t>2022-07-06T9:10:02 PM GMT</t>
  </si>
  <si>
    <t>Zaid  Shaikh</t>
  </si>
  <si>
    <t>zaids6317@gmail.com</t>
  </si>
  <si>
    <t>2022-07-06T9:09:57 PM GMT</t>
  </si>
  <si>
    <t>Santhosh G</t>
  </si>
  <si>
    <t>santhoshdancedon@gmail.com</t>
  </si>
  <si>
    <t>2022-07-06T9:08:13 PM GMT</t>
  </si>
  <si>
    <t>Santosh Giri</t>
  </si>
  <si>
    <t>santoshgiri159@gmail.com</t>
  </si>
  <si>
    <t>2022-07-06T9:06:04 PM GMT</t>
  </si>
  <si>
    <t>2022-07-06T9:04:57 PM GMT</t>
  </si>
  <si>
    <t>Alex Antony</t>
  </si>
  <si>
    <t>vargheselinson@gmail.com</t>
  </si>
  <si>
    <t>2022-07-06T9:03:35 PM GMT</t>
  </si>
  <si>
    <t>Aarti Gaba</t>
  </si>
  <si>
    <t>aarti711711@gmail.com</t>
  </si>
  <si>
    <t>2022-07-06T8:59:55 PM GMT</t>
  </si>
  <si>
    <t>Amal Ashok</t>
  </si>
  <si>
    <t>amalashok@icloud.com</t>
  </si>
  <si>
    <t>2022-07-06T8:59:38 PM GMT</t>
  </si>
  <si>
    <t xml:space="preserve">Wasim Pinjari </t>
  </si>
  <si>
    <t>wk293325@gmail.com</t>
  </si>
  <si>
    <t>2022-07-06T8:58:42 PM GMT</t>
  </si>
  <si>
    <t>Ajay Raghunathan</t>
  </si>
  <si>
    <t>ajay.raghunathan@puma.com</t>
  </si>
  <si>
    <t>2022-07-06T8:57:38 PM GMT</t>
  </si>
  <si>
    <t>JABIR MUHAMMED</t>
  </si>
  <si>
    <t>jabish369@gmail.com</t>
  </si>
  <si>
    <t>2022-07-06T8:56:23 PM GMT</t>
  </si>
  <si>
    <t>Wahid Badami</t>
  </si>
  <si>
    <t>wahid@marvansmobile.com</t>
  </si>
  <si>
    <t>2022-07-06T8:55:59 PM GMT</t>
  </si>
  <si>
    <t>John Xavier</t>
  </si>
  <si>
    <t>johnxavier1996@gmail.com</t>
  </si>
  <si>
    <t>2022-07-06T8:48:56 PM GMT</t>
  </si>
  <si>
    <t>Srishti  Sachdeva</t>
  </si>
  <si>
    <t>sachdevasrishti67@gmail.com</t>
  </si>
  <si>
    <t>2022-07-06T8:46:25 PM GMT</t>
  </si>
  <si>
    <t>Salimah Dossani</t>
  </si>
  <si>
    <t>salimahdossani@hotmail.com</t>
  </si>
  <si>
    <t>2022-07-06T8:46:01 PM GMT</t>
  </si>
  <si>
    <t>Simran Tekchandani</t>
  </si>
  <si>
    <t>sim.23t@gmail.com</t>
  </si>
  <si>
    <t>2022-07-06T8:42:43 PM GMT</t>
  </si>
  <si>
    <t>Vikash Pathak</t>
  </si>
  <si>
    <t>vpathak_be16@thapar.edu</t>
  </si>
  <si>
    <t>2022-07-06T8:41:59 PM GMT</t>
  </si>
  <si>
    <t>Mufees Basa</t>
  </si>
  <si>
    <t>www.mufeesbasa786@gmail.com</t>
  </si>
  <si>
    <t>2022-07-06T8:41:20 PM GMT</t>
  </si>
  <si>
    <t>Aala Sayed</t>
  </si>
  <si>
    <t>aala.sayed@gmail.com</t>
  </si>
  <si>
    <t>2022-07-06T8:39:36 PM GMT</t>
  </si>
  <si>
    <t>Inder Katra</t>
  </si>
  <si>
    <t>g_sherpa@rediffmail.in</t>
  </si>
  <si>
    <t>2022-07-06T8:38:47 PM GMT</t>
  </si>
  <si>
    <t>Aarush Tuteja</t>
  </si>
  <si>
    <t>aarushtuteja@gmail.com</t>
  </si>
  <si>
    <t>2022-07-06T8:37:12 PM GMT</t>
  </si>
  <si>
    <t>Nandita Rai</t>
  </si>
  <si>
    <t>rainandita21@gmail.com</t>
  </si>
  <si>
    <t>2022-07-06T8:30:54 PM GMT</t>
  </si>
  <si>
    <t>Anmol Channa</t>
  </si>
  <si>
    <t>anmol.channa14@gmail.com</t>
  </si>
  <si>
    <t>2022-07-06T8:30:18 PM GMT</t>
  </si>
  <si>
    <t>Rohit Dhingra</t>
  </si>
  <si>
    <t>dhingra50b@gmail.com</t>
  </si>
  <si>
    <t>2022-07-06T8:28:29 PM GMT</t>
  </si>
  <si>
    <t>Sumit Pandey</t>
  </si>
  <si>
    <t>sumitpndy9898@gmail.com</t>
  </si>
  <si>
    <t>2022-07-06T8:26:18 PM GMT</t>
  </si>
  <si>
    <t>2022-07-06T8:23:00 PM GMT</t>
  </si>
  <si>
    <t>Akash Duhoon</t>
  </si>
  <si>
    <t>akash.duhoon.ad@gmail.com</t>
  </si>
  <si>
    <t>2022-07-06T8:22:10 PM GMT</t>
  </si>
  <si>
    <t>SHAOLI Gope</t>
  </si>
  <si>
    <t>shaoligope@gmail.com</t>
  </si>
  <si>
    <t>2022-07-06T8:18:25 PM GMT</t>
  </si>
  <si>
    <t>Navya Pinto</t>
  </si>
  <si>
    <t>navyapinto08@gmail.com</t>
  </si>
  <si>
    <t>2022-07-06T8:18:04 PM GMT</t>
  </si>
  <si>
    <t>Mohd Anas</t>
  </si>
  <si>
    <t>imailsecrets@gmail.com</t>
  </si>
  <si>
    <t>2022-07-06T8:17:11 PM GMT</t>
  </si>
  <si>
    <t>Amit Punjabi</t>
  </si>
  <si>
    <t>veekayplayingcards@gmail.com</t>
  </si>
  <si>
    <t>2022-07-06T8:15:37 PM GMT</t>
  </si>
  <si>
    <t>J Renish</t>
  </si>
  <si>
    <t>renishfly09@gmail.com</t>
  </si>
  <si>
    <t>2022-07-06T8:13:16 PM GMT</t>
  </si>
  <si>
    <t>Sahil Bhosale</t>
  </si>
  <si>
    <t>sahilbhosale98290@gmail.com</t>
  </si>
  <si>
    <t>2022-07-06T8:12:41 PM GMT</t>
  </si>
  <si>
    <t>Dheeraj Reddy</t>
  </si>
  <si>
    <t>dheerajdheeru660@gmail.com</t>
  </si>
  <si>
    <t>2022-07-06T8:12:36 PM GMT</t>
  </si>
  <si>
    <t>Kapil Yadav</t>
  </si>
  <si>
    <t>kapilrao0098@gmail.com</t>
  </si>
  <si>
    <t>2022-07-06T8:07:36 PM GMT</t>
  </si>
  <si>
    <t>Prabha Chaand</t>
  </si>
  <si>
    <t>padalaprabhachaand@gmail.com</t>
  </si>
  <si>
    <t>2022-07-06T8:07:23 PM GMT</t>
  </si>
  <si>
    <t>Mohit Pal</t>
  </si>
  <si>
    <t>mohitpal081@gmail.com</t>
  </si>
  <si>
    <t>2022-07-06T8:02:51 PM GMT</t>
  </si>
  <si>
    <t>Rajashekar  Raj</t>
  </si>
  <si>
    <t>jasmineraj199415@gmail.com</t>
  </si>
  <si>
    <t>2022-07-06T7:57:50 PM GMT</t>
  </si>
  <si>
    <t>Sumedh Deshpande</t>
  </si>
  <si>
    <t>sumedhdeshpande07@gmail.com</t>
  </si>
  <si>
    <t>2022-07-06T7:56:29 PM GMT</t>
  </si>
  <si>
    <t>YASH JOSHI</t>
  </si>
  <si>
    <t>jyash7304@gmail.com</t>
  </si>
  <si>
    <t>2022-07-06T7:56:20 PM GMT</t>
  </si>
  <si>
    <t>Prasansh Pyaraka</t>
  </si>
  <si>
    <t>pyarakasai@gmail.com</t>
  </si>
  <si>
    <t>2022-07-06T7:55:11 PM GMT</t>
  </si>
  <si>
    <t>Vipashyana Zalte</t>
  </si>
  <si>
    <t>zaltevipashana@gmail.com</t>
  </si>
  <si>
    <t>2022-07-06T7:53:25 PM GMT</t>
  </si>
  <si>
    <t>Ketan Bhoir</t>
  </si>
  <si>
    <t>ketan.bhoir3741@gmail.com</t>
  </si>
  <si>
    <t>2022-07-06T7:50:16 PM GMT</t>
  </si>
  <si>
    <t>Mubi Mubi</t>
  </si>
  <si>
    <t>rabinmohammed66@gmail.com</t>
  </si>
  <si>
    <t>2022-07-06T7:48:47 PM GMT</t>
  </si>
  <si>
    <t>Raj K</t>
  </si>
  <si>
    <t>rb6357363@gmail.com</t>
  </si>
  <si>
    <t>2022-07-06T7:45:37 PM GMT</t>
  </si>
  <si>
    <t>Lovekesh Kamboj</t>
  </si>
  <si>
    <t>lovekeshronaldo@gmail.com</t>
  </si>
  <si>
    <t>2022-07-06T7:41:47 PM GMT</t>
  </si>
  <si>
    <t>Sangita Halder</t>
  </si>
  <si>
    <t>haldersangita27@gmail.com</t>
  </si>
  <si>
    <t>2022-07-06T7:40:53 PM GMT</t>
  </si>
  <si>
    <t>Richa RPawar</t>
  </si>
  <si>
    <t>richuanokhes@gmail.com</t>
  </si>
  <si>
    <t>2022-07-06T7:38:41 PM GMT</t>
  </si>
  <si>
    <t>Sudip Garai</t>
  </si>
  <si>
    <t>sgarai749@gmail.com</t>
  </si>
  <si>
    <t>2022-07-06T7:37:19 PM GMT</t>
  </si>
  <si>
    <t>Vamsi Mandali</t>
  </si>
  <si>
    <t>vamsidharmandali@gmail.com</t>
  </si>
  <si>
    <t>2022-07-06T7:37:15 PM GMT</t>
  </si>
  <si>
    <t>Bilal Ansari</t>
  </si>
  <si>
    <t>bilal.ansari07@gmail.com</t>
  </si>
  <si>
    <t>2022-07-06T7:24:31 PM GMT</t>
  </si>
  <si>
    <t>Mohammed Waleed</t>
  </si>
  <si>
    <t>mwph7788@gmail.com</t>
  </si>
  <si>
    <t>2022-07-06T7:23:00 PM GMT</t>
  </si>
  <si>
    <t>M Pushparaj</t>
  </si>
  <si>
    <t>pushparajdir1496@gmail.com</t>
  </si>
  <si>
    <t>2022-07-06T7:22:58 PM GMT</t>
  </si>
  <si>
    <t>Avinash Rai</t>
  </si>
  <si>
    <t>sangyancuwa1990@gmail.com</t>
  </si>
  <si>
    <t>2022-07-06T7:22:56 PM GMT</t>
  </si>
  <si>
    <t>Mihir Vikmani</t>
  </si>
  <si>
    <t>vikmanimihir@gmail.com</t>
  </si>
  <si>
    <t>2022-07-06T7:22:17 PM GMT</t>
  </si>
  <si>
    <t>Siddarth Asrani</t>
  </si>
  <si>
    <t>siddarth.asrani@puma.com</t>
  </si>
  <si>
    <t>2022-07-06T7:22:01 PM GMT</t>
  </si>
  <si>
    <t>Jagmeet Singh</t>
  </si>
  <si>
    <t>jagmeetsingh959@gmail.com</t>
  </si>
  <si>
    <t>2022-07-06T7:21:32 PM GMT</t>
  </si>
  <si>
    <t>Vignesh Kannan</t>
  </si>
  <si>
    <t>vigneshkannanpvt@gmail.com</t>
  </si>
  <si>
    <t>2022-07-06T7:20:23 PM GMT</t>
  </si>
  <si>
    <t>Gitesh Khaitan</t>
  </si>
  <si>
    <t>rohitkhaitan5@gmail.com</t>
  </si>
  <si>
    <t>2022-07-06T7:19:26 PM GMT</t>
  </si>
  <si>
    <t>martincooper Rymbai</t>
  </si>
  <si>
    <t>martinrymbai116@gmail.com</t>
  </si>
  <si>
    <t>2022-07-06T7:18:29 PM GMT</t>
  </si>
  <si>
    <t>Warish Ansari</t>
  </si>
  <si>
    <t>1mdwarish786@gmail.com</t>
  </si>
  <si>
    <t>2022-07-06T7:18:14 PM GMT</t>
  </si>
  <si>
    <t>POONAM Luthra</t>
  </si>
  <si>
    <t>poonamluthra32@gmail.com</t>
  </si>
  <si>
    <t>2022-07-06T7:18:05 PM GMT</t>
  </si>
  <si>
    <t>Ullas Ullas</t>
  </si>
  <si>
    <t>ullasgowdamy1996@gmail.com</t>
  </si>
  <si>
    <t>2022-07-06T7:17:54 PM GMT</t>
  </si>
  <si>
    <t>Ayub Khan</t>
  </si>
  <si>
    <t>ayub.khan015@gmail.com</t>
  </si>
  <si>
    <t>2022-07-06T7:17:49 PM GMT</t>
  </si>
  <si>
    <t>Kasi Prakash</t>
  </si>
  <si>
    <t>kasiprakash211@gmail.com</t>
  </si>
  <si>
    <t>2022-07-06T7:17:11 PM GMT</t>
  </si>
  <si>
    <t>Fuzail Ahmed</t>
  </si>
  <si>
    <t>fuzailahmed2001@gmail.com</t>
  </si>
  <si>
    <t>2022-07-06T7:15:54 PM GMT</t>
  </si>
  <si>
    <t>Yash Raj</t>
  </si>
  <si>
    <t>yuvrajyash2004@gmail.com</t>
  </si>
  <si>
    <t>2022-07-06T7:14:58 PM GMT</t>
  </si>
  <si>
    <t>Lody Fanai</t>
  </si>
  <si>
    <t>fanaimaliani@gmail.com</t>
  </si>
  <si>
    <t>2022-07-06T7:12:25 PM GMT</t>
  </si>
  <si>
    <t>Perere Machine</t>
  </si>
  <si>
    <t>pereremachine99@gmail.com</t>
  </si>
  <si>
    <t>2022-07-06T7:12:15 PM GMT</t>
  </si>
  <si>
    <t>Naveen kumar</t>
  </si>
  <si>
    <t>niwal.ashu926@gmail.com</t>
  </si>
  <si>
    <t>2022-07-06T7:12:05 PM GMT</t>
  </si>
  <si>
    <t>Nahid Aman</t>
  </si>
  <si>
    <t>andulnahid@icloud.com</t>
  </si>
  <si>
    <t>2022-07-06T7:09:56 PM GMT</t>
  </si>
  <si>
    <t>Sachin Kumar</t>
  </si>
  <si>
    <t>sachin.ojhs29@gmail.com</t>
  </si>
  <si>
    <t>2022-07-06T7:09:47 PM GMT</t>
  </si>
  <si>
    <t>Dapmiki Suchiang</t>
  </si>
  <si>
    <t>dppsuchiang@gmail.com</t>
  </si>
  <si>
    <t>2022-07-06T7:09:39 PM GMT</t>
  </si>
  <si>
    <t>Shubham Singh</t>
  </si>
  <si>
    <t>sumansinghrb70@gmail.com</t>
  </si>
  <si>
    <t>2022-07-06T7:09:36 PM GMT</t>
  </si>
  <si>
    <t>CHHAYA Agrawal</t>
  </si>
  <si>
    <t>chayyaagrawal2222@gmail.com</t>
  </si>
  <si>
    <t>2022-07-06T7:09:09 PM GMT</t>
  </si>
  <si>
    <t>Aayush Sujan</t>
  </si>
  <si>
    <t>aayushxaayush@gmail.com</t>
  </si>
  <si>
    <t>2022-07-06T7:04:08 PM GMT</t>
  </si>
  <si>
    <t>Navil Fernandes</t>
  </si>
  <si>
    <t>navil.fernandes@gmail.com</t>
  </si>
  <si>
    <t>2022-07-06T7:03:53 PM GMT</t>
  </si>
  <si>
    <t>Mayank Jindal</t>
  </si>
  <si>
    <t>mayank.mj682@gmail.com</t>
  </si>
  <si>
    <t>2022-07-06T7:02:14 PM GMT</t>
  </si>
  <si>
    <t>VISHAKHA PARDESHI</t>
  </si>
  <si>
    <t>vish.par145@gmail.com</t>
  </si>
  <si>
    <t>2022-07-06T7:01:58 PM GMT</t>
  </si>
  <si>
    <t>Arvind   Gaikwad</t>
  </si>
  <si>
    <t>arvindgaikwad131@gmail.com</t>
  </si>
  <si>
    <t>2022-07-06T7:01:34 PM GMT</t>
  </si>
  <si>
    <t>Arundhati Banerjee</t>
  </si>
  <si>
    <t>arundhatibanerjee4@gamil.com</t>
  </si>
  <si>
    <t>2022-07-06T7:01:21 PM GMT</t>
  </si>
  <si>
    <t>Aishwarya Gaikwad</t>
  </si>
  <si>
    <t>ga.aishwarya@gmail.com</t>
  </si>
  <si>
    <t>2022-07-06T6:59:14 PM GMT</t>
  </si>
  <si>
    <t>Gagandeep Singh</t>
  </si>
  <si>
    <t>gs320593@gmail.com</t>
  </si>
  <si>
    <t>2022-07-06T6:58:54 PM GMT</t>
  </si>
  <si>
    <t>Prayas Mandoth</t>
  </si>
  <si>
    <t>prayasmandoth24@gmail.com</t>
  </si>
  <si>
    <t>2022-07-06T6:58:38 PM GMT</t>
  </si>
  <si>
    <t>HRISHav Paul</t>
  </si>
  <si>
    <t>ranjitpaul351@gmail.com</t>
  </si>
  <si>
    <t>2022-07-06T6:58:03 PM GMT</t>
  </si>
  <si>
    <t>Sakshi Sharma</t>
  </si>
  <si>
    <t>sharmasak546@gmail.com</t>
  </si>
  <si>
    <t>2022-07-06T6:58:02 PM GMT</t>
  </si>
  <si>
    <t>Abhinav Sharma</t>
  </si>
  <si>
    <t>abhinav.sharma0034@gmail.com</t>
  </si>
  <si>
    <t>2022-07-06T6:55:45 PM GMT</t>
  </si>
  <si>
    <t>DURLOV KONWAR</t>
  </si>
  <si>
    <t>durlovkonwar456@gmail.com</t>
  </si>
  <si>
    <t>2022-07-06T6:54:19 PM GMT</t>
  </si>
  <si>
    <t>Vaka Avinash reddy</t>
  </si>
  <si>
    <t>avinashreddy7799@gmail.com</t>
  </si>
  <si>
    <t>2022-07-06T6:52:53 PM GMT</t>
  </si>
  <si>
    <t>Asif Khan</t>
  </si>
  <si>
    <t>asifkhan98850@gmail.com</t>
  </si>
  <si>
    <t>2022-07-06T6:51:50 PM GMT</t>
  </si>
  <si>
    <t>VATSAL CHAUHAN</t>
  </si>
  <si>
    <t>vatsalchauhan107@icloud.com</t>
  </si>
  <si>
    <t>2022-07-06T6:50:35 PM GMT</t>
  </si>
  <si>
    <t>Kishor Haloi</t>
  </si>
  <si>
    <t>hkishor0@gmail.com</t>
  </si>
  <si>
    <t>2022-07-06T6:46:59 PM GMT</t>
  </si>
  <si>
    <t>Abeer Khattar</t>
  </si>
  <si>
    <t>abeerkhattar@gmail.com</t>
  </si>
  <si>
    <t>2022-07-06T6:44:12 PM GMT</t>
  </si>
  <si>
    <t>Raju M</t>
  </si>
  <si>
    <t>rockerraju1@gmail.com</t>
  </si>
  <si>
    <t>2022-07-06T6:43:42 PM GMT</t>
  </si>
  <si>
    <t>Techi Palo</t>
  </si>
  <si>
    <t>techipalo99@gmail.com</t>
  </si>
  <si>
    <t>2022-07-06T6:43:28 PM GMT</t>
  </si>
  <si>
    <t>Rohan  Raparti</t>
  </si>
  <si>
    <t>rohanrp8868@gmail.com</t>
  </si>
  <si>
    <t>2022-07-06T6:43:23 PM GMT</t>
  </si>
  <si>
    <t>Srushti Dhamech</t>
  </si>
  <si>
    <t>dhamechasrushti6@gmail.com</t>
  </si>
  <si>
    <t>2022-07-06T6:41:49 PM GMT</t>
  </si>
  <si>
    <t>Akkshay Lawrence</t>
  </si>
  <si>
    <t>cruzer6ryc4@gmail.com</t>
  </si>
  <si>
    <t>2022-07-06T6:41:36 PM GMT</t>
  </si>
  <si>
    <t>MANOJ BHOSALE</t>
  </si>
  <si>
    <t>manojbhosale69@gmail.com</t>
  </si>
  <si>
    <t>2022-07-06T6:41:30 PM GMT</t>
  </si>
  <si>
    <t>Pavan Bharani</t>
  </si>
  <si>
    <t>bharanipavan8@gmail.com</t>
  </si>
  <si>
    <t>2022-07-06T6:41:25 PM GMT</t>
  </si>
  <si>
    <t>Anish R</t>
  </si>
  <si>
    <t>anish0308@gmail.com</t>
  </si>
  <si>
    <t>2022-07-06T6:40:46 PM GMT</t>
  </si>
  <si>
    <t>Nikita Gahlot</t>
  </si>
  <si>
    <t>gahlotniki98@gmail.com</t>
  </si>
  <si>
    <t>2022-07-06T6:40:35 PM GMT</t>
  </si>
  <si>
    <t>Khushi Bhojwan</t>
  </si>
  <si>
    <t>khushibhojwani09@gmail.com</t>
  </si>
  <si>
    <t>2022-07-06T6:38:48 PM GMT</t>
  </si>
  <si>
    <t>SUNIL LAWRENCE</t>
  </si>
  <si>
    <t>ksunillawrence@gmail.com</t>
  </si>
  <si>
    <t>2022-07-06T6:38:45 PM GMT</t>
  </si>
  <si>
    <t>Roshan Pamula</t>
  </si>
  <si>
    <t>roshan.pamula3@gmail.com</t>
  </si>
  <si>
    <t>2022-07-06T6:38:36 PM GMT</t>
  </si>
  <si>
    <t>Manish Rajput</t>
  </si>
  <si>
    <t>5353monu786@gmail.com</t>
  </si>
  <si>
    <t>2022-07-06T6:38:06 PM GMT</t>
  </si>
  <si>
    <t>Shylesh MR</t>
  </si>
  <si>
    <t>shyshylesh519@gmail.com</t>
  </si>
  <si>
    <t>2022-07-06T6:37:04 PM GMT</t>
  </si>
  <si>
    <t>Anubhav Chandraul</t>
  </si>
  <si>
    <t>vinichandraul@gmail.com</t>
  </si>
  <si>
    <t>2022-07-06T6:36:47 PM GMT</t>
  </si>
  <si>
    <t>Nivesh Tawadkar</t>
  </si>
  <si>
    <t>niveshtawadkar@gmail.com</t>
  </si>
  <si>
    <t>2022-07-06T6:35:27 PM GMT</t>
  </si>
  <si>
    <t xml:space="preserve">Damanpreet  Singh </t>
  </si>
  <si>
    <t>damanjatts@gmail.com</t>
  </si>
  <si>
    <t>2022-07-06T6:34:40 PM GMT</t>
  </si>
  <si>
    <t>2022-07-06T6:34:25 PM GMT</t>
  </si>
  <si>
    <t>Yogesh Kashyap</t>
  </si>
  <si>
    <t>yogikashyap009@gmail.com</t>
  </si>
  <si>
    <t>2022-07-06T6:30:35 PM GMT</t>
  </si>
  <si>
    <t>Abhrant Dhyani</t>
  </si>
  <si>
    <t>abhrant.dhyani@gmail.com</t>
  </si>
  <si>
    <t>2022-07-06T6:30:10 PM GMT</t>
  </si>
  <si>
    <t>Yash Agrawal</t>
  </si>
  <si>
    <t>yash@anupaminfo.com</t>
  </si>
  <si>
    <t>2022-07-06T6:29:36 PM GMT</t>
  </si>
  <si>
    <t>Ashish Kapoor</t>
  </si>
  <si>
    <t>ashish.0883@gmail.com</t>
  </si>
  <si>
    <t>2022-07-06T6:28:11 PM GMT</t>
  </si>
  <si>
    <t>Moin Pathan</t>
  </si>
  <si>
    <t>moinpathan123@gmail.com</t>
  </si>
  <si>
    <t>2022-07-06T6:27:43 PM GMT</t>
  </si>
  <si>
    <t>MOHAMMED SAMIUDDIN</t>
  </si>
  <si>
    <t>samiuddin@gmail.com</t>
  </si>
  <si>
    <t>2022-07-06T6:25:24 PM GMT</t>
  </si>
  <si>
    <t>Dhruv Amith</t>
  </si>
  <si>
    <t>dhruvamith16@gmail.com</t>
  </si>
  <si>
    <t>2022-07-06T6:25:05 PM GMT</t>
  </si>
  <si>
    <t>Shubh Sharma</t>
  </si>
  <si>
    <t>shubhs929@gmail.com</t>
  </si>
  <si>
    <t>2022-07-06T6:24:56 PM GMT</t>
  </si>
  <si>
    <t>Rahul Dutta</t>
  </si>
  <si>
    <t>noddysingh2712@gmail.com</t>
  </si>
  <si>
    <t>2022-07-06T6:24:15 PM GMT</t>
  </si>
  <si>
    <t>Ashish Jain</t>
  </si>
  <si>
    <t>ashishingame773@gmail.com</t>
  </si>
  <si>
    <t>2022-07-06T6:23:46 PM GMT</t>
  </si>
  <si>
    <t>Sathwik Reddy</t>
  </si>
  <si>
    <t>sathwickreddy2@gmail.com</t>
  </si>
  <si>
    <t>2022-07-06T6:23:18 PM GMT</t>
  </si>
  <si>
    <t>Shubham Rawat</t>
  </si>
  <si>
    <t>rawat2047@gmail.com</t>
  </si>
  <si>
    <t>2022-07-06T6:21:28 PM GMT</t>
  </si>
  <si>
    <t>Rohitha Sripathi</t>
  </si>
  <si>
    <t>rohitharohee57@gmail.com</t>
  </si>
  <si>
    <t>2022-07-06T6:18:52 PM GMT</t>
  </si>
  <si>
    <t>Vivek Manas</t>
  </si>
  <si>
    <t>vivekmanas1358@gmail.com</t>
  </si>
  <si>
    <t>2022-07-06T6:16:49 PM GMT</t>
  </si>
  <si>
    <t>Vikram Dahiya</t>
  </si>
  <si>
    <t>vikdahiya1998@gmail.com</t>
  </si>
  <si>
    <t>2022-07-06T6:16:26 PM GMT</t>
  </si>
  <si>
    <t>Nikhil Khathuriya</t>
  </si>
  <si>
    <t>nikhilkhathuriya09@gmail.com</t>
  </si>
  <si>
    <t>2022-07-06T6:15:18 PM GMT</t>
  </si>
  <si>
    <t>Kushal Ks</t>
  </si>
  <si>
    <t>kskushal432@gmail.com</t>
  </si>
  <si>
    <t>2022-07-06T6:14:57 PM GMT</t>
  </si>
  <si>
    <t>2022-07-06T6:14:43 PM GMT</t>
  </si>
  <si>
    <t>Aman Ingle</t>
  </si>
  <si>
    <t>ingleaman22@gmail.com</t>
  </si>
  <si>
    <t>2022-07-06T6:14:39 PM GMT</t>
  </si>
  <si>
    <t>Monu Ruhela</t>
  </si>
  <si>
    <t>ruhelam45@gmail.com</t>
  </si>
  <si>
    <t>2022-07-06T6:13:23 PM GMT</t>
  </si>
  <si>
    <t>Syed yasin</t>
  </si>
  <si>
    <t>syedyaseenmohammad97@gmail.com</t>
  </si>
  <si>
    <t>2022-07-06T6:12:44 PM GMT</t>
  </si>
  <si>
    <t>Ajinkya Ahire</t>
  </si>
  <si>
    <t>ajinkyaahire2006@gmail.com</t>
  </si>
  <si>
    <t>2022-07-06T6:12:14 PM GMT</t>
  </si>
  <si>
    <t>Bhavesh Acharya</t>
  </si>
  <si>
    <t>bhavish009@gmail.com</t>
  </si>
  <si>
    <t>2022-07-06T6:12:02 PM GMT</t>
  </si>
  <si>
    <t>Akshay Bhaskar</t>
  </si>
  <si>
    <t>akshay749@hotmail.com</t>
  </si>
  <si>
    <t>2022-07-06T6:10:36 PM GMT</t>
  </si>
  <si>
    <t>Rajbir Singh</t>
  </si>
  <si>
    <t>rajbirgulati14@gmail.com</t>
  </si>
  <si>
    <t>2022-07-06T6:09:02 PM GMT</t>
  </si>
  <si>
    <t>Kaushal Gaurav</t>
  </si>
  <si>
    <t>kaushalgaurav819@gmail.com</t>
  </si>
  <si>
    <t>Umesh Roundhal</t>
  </si>
  <si>
    <t>umeshroundhal1448@gmail.com</t>
  </si>
  <si>
    <t>2022-07-06T6:08:27 PM GMT</t>
  </si>
  <si>
    <t>Ram Viradiya</t>
  </si>
  <si>
    <t>ramviradiya019@gmail.com</t>
  </si>
  <si>
    <t>2022-07-06T6:08:06 PM GMT</t>
  </si>
  <si>
    <t>Saddam Ahmed</t>
  </si>
  <si>
    <t>maddy.ahmed98@gmail.com</t>
  </si>
  <si>
    <t>2022-07-06T6:07:26 PM GMT</t>
  </si>
  <si>
    <t>Kapol Lathiya</t>
  </si>
  <si>
    <t>kapillathiya777@gmail.com</t>
  </si>
  <si>
    <t>2022-07-06T6:06:54 PM GMT</t>
  </si>
  <si>
    <t>Vikas Devrani</t>
  </si>
  <si>
    <t>vikasdevrani105@gmail.com</t>
  </si>
  <si>
    <t>2022-07-06T6:05:29 PM GMT</t>
  </si>
  <si>
    <t>Manav Kalavadia</t>
  </si>
  <si>
    <t>manavkalavadia@gmail.com</t>
  </si>
  <si>
    <t>2022-07-06T6:04:35 PM GMT</t>
  </si>
  <si>
    <t>Metta Sailendra</t>
  </si>
  <si>
    <t>mettasailendra@gmail.com</t>
  </si>
  <si>
    <t>2022-07-06T6:04:12 PM GMT</t>
  </si>
  <si>
    <t>Chirag Harjai</t>
  </si>
  <si>
    <t>harjai.chirag.03@gmail.com</t>
  </si>
  <si>
    <t>2022-07-06T6:03:22 PM GMT</t>
  </si>
  <si>
    <t>Rushab Tanji</t>
  </si>
  <si>
    <t>rushabtanji@gmail.com</t>
  </si>
  <si>
    <t>2022-07-06T6:02:58 PM GMT</t>
  </si>
  <si>
    <t>Ishita Guchhait</t>
  </si>
  <si>
    <t>Suchitrajun@gmail.com</t>
  </si>
  <si>
    <t>2022-07-06T6:02:15 PM GMT</t>
  </si>
  <si>
    <t>Isha Sahney</t>
  </si>
  <si>
    <t>kohlii95.ik@gmail.com</t>
  </si>
  <si>
    <t>2022-07-06T6:02:03 PM GMT</t>
  </si>
  <si>
    <t>TAWSEEF BASHIR</t>
  </si>
  <si>
    <t>tawseefbashir2@gmail.com</t>
  </si>
  <si>
    <t>2022-07-06T6:01:51 PM GMT</t>
  </si>
  <si>
    <t>DINU MAMACHAN</t>
  </si>
  <si>
    <t>dinumamachen007@gmail.com</t>
  </si>
  <si>
    <t>2022-07-06T6:00:39 PM GMT</t>
  </si>
  <si>
    <t>Vineet MALHOTRA</t>
  </si>
  <si>
    <t>vineet1139@gmail.com</t>
  </si>
  <si>
    <t>2022-07-06T6:00:21 PM GMT</t>
  </si>
  <si>
    <t>Maajid Kaleem</t>
  </si>
  <si>
    <t>maajidkaleem786@gmail.com</t>
  </si>
  <si>
    <t>2022-07-06T6:00:18 PM GMT</t>
  </si>
  <si>
    <t>Samarth Jain</t>
  </si>
  <si>
    <t>samarthjain066@gmail.com</t>
  </si>
  <si>
    <t>2022-07-06T5:58:51 PM GMT</t>
  </si>
  <si>
    <t>Hardik Parmar</t>
  </si>
  <si>
    <t>hardik.parmar@hotmail.com</t>
  </si>
  <si>
    <t>2022-07-06T5:58:17 PM GMT</t>
  </si>
  <si>
    <t>kanchan Singh</t>
  </si>
  <si>
    <t>kanchansinghthakur@gmail.com</t>
  </si>
  <si>
    <t>2022-07-06T5:58:03 PM GMT</t>
  </si>
  <si>
    <t>Pranav Tetey</t>
  </si>
  <si>
    <t>pranav.tetey@gmail.com</t>
  </si>
  <si>
    <t>2022-07-06T5:56:42 PM GMT</t>
  </si>
  <si>
    <t>Anju Gurnani</t>
  </si>
  <si>
    <t>gurnanianju13@gmail.com</t>
  </si>
  <si>
    <t>2022-07-06T5:56:36 PM GMT</t>
  </si>
  <si>
    <t>Diksha Dua</t>
  </si>
  <si>
    <t>duadiksha98@gmail.com</t>
  </si>
  <si>
    <t>2022-07-06T5:56:20 PM GMT</t>
  </si>
  <si>
    <t>Shubham Sood</t>
  </si>
  <si>
    <t>shubhsood@live.com</t>
  </si>
  <si>
    <t>2022-07-06T5:56:07 PM GMT</t>
  </si>
  <si>
    <t>KashishKhotani KashishKhotani</t>
  </si>
  <si>
    <t>kashishkhotani17@gmail.com</t>
  </si>
  <si>
    <t>2022-07-06T5:55:16 PM GMT</t>
  </si>
  <si>
    <t>vishu chaudhari</t>
  </si>
  <si>
    <t>vishu2403chaudhari@gmail.com</t>
  </si>
  <si>
    <t>2022-07-06T5:54:49 PM GMT</t>
  </si>
  <si>
    <t>Pri ya</t>
  </si>
  <si>
    <t>pk068220@gmail.com</t>
  </si>
  <si>
    <t>2022-07-06T5:54:37 PM GMT</t>
  </si>
  <si>
    <t>Divya Arora</t>
  </si>
  <si>
    <t>div893arora@gmail.com</t>
  </si>
  <si>
    <t>2022-07-06T5:54:01 PM GMT</t>
  </si>
  <si>
    <t>Ankit Kakar</t>
  </si>
  <si>
    <t>ankitkakar.ak@gmail.com</t>
  </si>
  <si>
    <t>2022-07-06T5:53:04 PM GMT</t>
  </si>
  <si>
    <t>Yash Gaunkar</t>
  </si>
  <si>
    <t>yashgaunkar77@gmail.com</t>
  </si>
  <si>
    <t>2022-07-06T5:51:27 PM GMT</t>
  </si>
  <si>
    <t>RUTHWIK Mr</t>
  </si>
  <si>
    <t>ruthwik2@gmail.com</t>
  </si>
  <si>
    <t>2022-07-06T5:51:08 PM GMT</t>
  </si>
  <si>
    <t>Aliya Sayyed</t>
  </si>
  <si>
    <t>anis7sayyed@gmail.com</t>
  </si>
  <si>
    <t>2022-07-06T5:51:00 PM GMT</t>
  </si>
  <si>
    <t>Praveen Bajaj</t>
  </si>
  <si>
    <t>ppraveenbajaj@gmail.com</t>
  </si>
  <si>
    <t>2022-07-06T5:50:37 PM GMT</t>
  </si>
  <si>
    <t>Kailash Raina</t>
  </si>
  <si>
    <t>visitraina@gmail.com</t>
  </si>
  <si>
    <t>2022-07-06T5:49:32 PM GMT</t>
  </si>
  <si>
    <t>Raja Saha</t>
  </si>
  <si>
    <t>rajasahaa96332@gmail.com</t>
  </si>
  <si>
    <t>2022-07-06T5:48:59 PM GMT</t>
  </si>
  <si>
    <t>Arjun M</t>
  </si>
  <si>
    <t>mail.arjunm1@gmail.com</t>
  </si>
  <si>
    <t>2022-07-06T5:48:10 PM GMT</t>
  </si>
  <si>
    <t>Amit Khari</t>
  </si>
  <si>
    <t>satgurubmsuppliers@gmail.com</t>
  </si>
  <si>
    <t>2022-07-06T5:47:22 PM GMT</t>
  </si>
  <si>
    <t>Akhib Waqhar</t>
  </si>
  <si>
    <t>akhibwaqhar0101@gmail.com</t>
  </si>
  <si>
    <t>2022-07-06T5:46:33 PM GMT</t>
  </si>
  <si>
    <t>Shaik Afreed</t>
  </si>
  <si>
    <t>afreedkhaja1998@gmail.com</t>
  </si>
  <si>
    <t>2022-07-06T5:46:00 PM GMT</t>
  </si>
  <si>
    <t xml:space="preserve">Ajay Johnson </t>
  </si>
  <si>
    <t>ajayjohnsonsa191@gmail.com</t>
  </si>
  <si>
    <t>2022-07-06T5:45:26 PM GMT</t>
  </si>
  <si>
    <t>Shraddha Bhoir</t>
  </si>
  <si>
    <t>shraddhabhoir56@gmail.com</t>
  </si>
  <si>
    <t>2022-07-06T5:44:39 PM GMT</t>
  </si>
  <si>
    <t>Prince Punmiyaa</t>
  </si>
  <si>
    <t>princepunmia25@gmail.com</t>
  </si>
  <si>
    <t>2022-07-06T5:44:34 PM GMT</t>
  </si>
  <si>
    <t>Rishabh Mahanta</t>
  </si>
  <si>
    <t>rishabhmahanta@gmail.com</t>
  </si>
  <si>
    <t>2022-07-06T5:43:35 PM GMT</t>
  </si>
  <si>
    <t>ritik arya</t>
  </si>
  <si>
    <t>ritikarya01012000@gmail.com</t>
  </si>
  <si>
    <t>2022-07-06T5:42:44 PM GMT</t>
  </si>
  <si>
    <t>Chandan Chandu</t>
  </si>
  <si>
    <t>chandanchandu199911@gmail.com</t>
  </si>
  <si>
    <t>2022-07-06T5:42:42 PM GMT</t>
  </si>
  <si>
    <t>Rishi Singh</t>
  </si>
  <si>
    <t>rs6069906@gmail.com</t>
  </si>
  <si>
    <t>2022-07-06T5:42:12 PM GMT</t>
  </si>
  <si>
    <t>Prashant Tokshiya</t>
  </si>
  <si>
    <t>prashant.tokshiya2@gmail.com</t>
  </si>
  <si>
    <t>2022-07-06T5:41:23 PM GMT</t>
  </si>
  <si>
    <t>Reshma Chowdary</t>
  </si>
  <si>
    <t>reshmachowdary30@gmail.com</t>
  </si>
  <si>
    <t>2022-07-06T5:40:40 PM GMT</t>
  </si>
  <si>
    <t>Abdul Hoque</t>
  </si>
  <si>
    <t>jeeshaanr@gmail.com</t>
  </si>
  <si>
    <t>2022-07-06T5:39:15 PM GMT</t>
  </si>
  <si>
    <t xml:space="preserve">Bhavik Thakkkar </t>
  </si>
  <si>
    <t>bhavikvirvani5@gmail.com</t>
  </si>
  <si>
    <t>2022-07-06T5:37:27 PM GMT</t>
  </si>
  <si>
    <t>Jatin Behal</t>
  </si>
  <si>
    <t>jatinbehal2002@gmail.com</t>
  </si>
  <si>
    <t>2022-07-06T5:37:08 PM GMT</t>
  </si>
  <si>
    <t>Aryan Mohapatra</t>
  </si>
  <si>
    <t>aryan.mohapatra1234@gmail.com</t>
  </si>
  <si>
    <t>2022-07-06T5:36:52 PM GMT</t>
  </si>
  <si>
    <t>Mohd Yameen</t>
  </si>
  <si>
    <t>ymohd0202@gmail.com</t>
  </si>
  <si>
    <t>2022-07-06T5:36:14 PM GMT</t>
  </si>
  <si>
    <t>Pooja Madkaikar</t>
  </si>
  <si>
    <t>poojamadkaikar9@gmail.com</t>
  </si>
  <si>
    <t>2022-07-06T5:36:11 PM GMT</t>
  </si>
  <si>
    <t>ABDUL Ajeez</t>
  </si>
  <si>
    <t>ajeez92@gmail.com</t>
  </si>
  <si>
    <t>2022-07-06T5:35:13 PM GMT</t>
  </si>
  <si>
    <t>Kektash Bage</t>
  </si>
  <si>
    <t>kektashbage@gmail.com</t>
  </si>
  <si>
    <t>2022-07-06T5:34:04 PM GMT</t>
  </si>
  <si>
    <t>Anudeep Soni</t>
  </si>
  <si>
    <t>karansoni8335@gmail.com</t>
  </si>
  <si>
    <t>2022-07-06T5:33:21 PM GMT</t>
  </si>
  <si>
    <t>AKASH R</t>
  </si>
  <si>
    <t>akashgowdaking1104@gmail.com</t>
  </si>
  <si>
    <t>2022-07-06T5:33:10 PM GMT</t>
  </si>
  <si>
    <t>Sachin Bodhe</t>
  </si>
  <si>
    <t>sachinbodhe10@gmail.com</t>
  </si>
  <si>
    <t>2022-07-06T5:33:02 PM GMT</t>
  </si>
  <si>
    <t>Vikas Goud</t>
  </si>
  <si>
    <t>lsgvikasgoud@gmail.com</t>
  </si>
  <si>
    <t>2022-07-06T5:32:03 PM GMT</t>
  </si>
  <si>
    <t>AZHAGARASAN Anbalagan</t>
  </si>
  <si>
    <t>alagan91@gmail.com</t>
  </si>
  <si>
    <t>2022-07-06T5:31:47 PM GMT</t>
  </si>
  <si>
    <t>Saran Saran</t>
  </si>
  <si>
    <t>poonkodypdy@gmail.com</t>
  </si>
  <si>
    <t>2022-07-06T5:31:23 PM GMT</t>
  </si>
  <si>
    <t>Jashan Hundal</t>
  </si>
  <si>
    <t>jashanhundal7000@gmail.com</t>
  </si>
  <si>
    <t>2022-07-06T5:31:13 PM GMT</t>
  </si>
  <si>
    <t>Piyush Kumar</t>
  </si>
  <si>
    <t>piyushkmr2005@gmail.com</t>
  </si>
  <si>
    <t>2022-07-06T5:28:53 PM GMT</t>
  </si>
  <si>
    <t>Rajat Chouhan</t>
  </si>
  <si>
    <t>rajatchnn06@gmail.com</t>
  </si>
  <si>
    <t>2022-07-06T5:27:40 PM GMT</t>
  </si>
  <si>
    <t>Aman Goswami</t>
  </si>
  <si>
    <t>amangoswamicool@gmail.com</t>
  </si>
  <si>
    <t>2022-07-06T5:27:29 PM GMT</t>
  </si>
  <si>
    <t>Farhan Faris</t>
  </si>
  <si>
    <t>farhanfarisvp@gmail.com</t>
  </si>
  <si>
    <t>2022-07-06T5:26:57 PM GMT</t>
  </si>
  <si>
    <t>SADAK PARIHAR</t>
  </si>
  <si>
    <t>sadakparihar@gmail.com</t>
  </si>
  <si>
    <t>2022-07-06T5:26:12 PM GMT</t>
  </si>
  <si>
    <t>ZAHID ali</t>
  </si>
  <si>
    <t>zahid288342@gmail.com</t>
  </si>
  <si>
    <t>2022-07-06T5:26:06 PM GMT</t>
  </si>
  <si>
    <t>Orish Benyani</t>
  </si>
  <si>
    <t>orishbenyani05@gmail.com</t>
  </si>
  <si>
    <t>2022-07-06T5:25:20 PM GMT</t>
  </si>
  <si>
    <t>Shailja Joshi</t>
  </si>
  <si>
    <t>Shailjajoshi92@gmail.com</t>
  </si>
  <si>
    <t>2022-07-06T5:24:07 PM GMT</t>
  </si>
  <si>
    <t>Aashish Arya</t>
  </si>
  <si>
    <t>aashisharya995@gmail.com</t>
  </si>
  <si>
    <t>2022-07-06T5:23:53 PM GMT</t>
  </si>
  <si>
    <t>Nikunj  Abrol</t>
  </si>
  <si>
    <t>nikunjabrol@gmail.com</t>
  </si>
  <si>
    <t>2022-07-06T5:23:46 PM GMT</t>
  </si>
  <si>
    <t>Harsh Madhavi</t>
  </si>
  <si>
    <t>madhaviharshu234@gmail.com</t>
  </si>
  <si>
    <t>2022-07-06T5:23:12 PM GMT</t>
  </si>
  <si>
    <t>Sparsh Jain</t>
  </si>
  <si>
    <t>puppysparsh2005@gmail.com</t>
  </si>
  <si>
    <t>2022-07-06T5:23:06 PM GMT</t>
  </si>
  <si>
    <t>Prabhakar Anbarasu</t>
  </si>
  <si>
    <t>prabhamech35@gmail.com</t>
  </si>
  <si>
    <t>2022-07-06T5:22:55 PM GMT</t>
  </si>
  <si>
    <t>Tanooj Toni</t>
  </si>
  <si>
    <t>tanooj0803@gmail.com</t>
  </si>
  <si>
    <t>2022-07-06T5:22:18 PM GMT</t>
  </si>
  <si>
    <t>Pratyush Mishra</t>
  </si>
  <si>
    <t>technicalpratyush2222@gmail.com</t>
  </si>
  <si>
    <t>2022-07-06T5:21:59 PM GMT</t>
  </si>
  <si>
    <t>Siddhant Srivastava</t>
  </si>
  <si>
    <t>srivastavasiddhant1777@gmail.com</t>
  </si>
  <si>
    <t>Sarvadnya Renge</t>
  </si>
  <si>
    <t>sarvadnyarenge07@gmail.com</t>
  </si>
  <si>
    <t>2022-07-06T5:21:30 PM GMT</t>
  </si>
  <si>
    <t>Divjot Singh</t>
  </si>
  <si>
    <t>kaur06399@gmail.com</t>
  </si>
  <si>
    <t>2022-07-06T5:20:53 PM GMT</t>
  </si>
  <si>
    <t>Santhosh Muniyan</t>
  </si>
  <si>
    <t>santhoshmuniyan74@gmail.com</t>
  </si>
  <si>
    <t>2022-07-06T5:19:38 PM GMT</t>
  </si>
  <si>
    <t>2022-07-06T5:19:03 PM GMT</t>
  </si>
  <si>
    <t>Atharva Talpade</t>
  </si>
  <si>
    <t>atharva627.t@gmail.com</t>
  </si>
  <si>
    <t>2022-07-06T5:16:20 PM GMT</t>
  </si>
  <si>
    <t>Harshit Ola</t>
  </si>
  <si>
    <t>Harshitola3@gmail.com</t>
  </si>
  <si>
    <t>2022-07-06T5:15:02 PM GMT</t>
  </si>
  <si>
    <t>Navneet Kaur</t>
  </si>
  <si>
    <t>gillnavneet709@gmail.com</t>
  </si>
  <si>
    <t>2022-07-06T5:14:52 PM GMT</t>
  </si>
  <si>
    <t xml:space="preserve">Neha  Bhati </t>
  </si>
  <si>
    <t>nb92810@gmail.com</t>
  </si>
  <si>
    <t>2022-07-06T5:14:29 PM GMT</t>
  </si>
  <si>
    <t>Emad Naqvi</t>
  </si>
  <si>
    <t>naqviemad175@gmail.com</t>
  </si>
  <si>
    <t>2022-07-06T5:12:49 PM GMT</t>
  </si>
  <si>
    <t>SUPRIYAM DAS</t>
  </si>
  <si>
    <t>dassupriyam27@gmail.com</t>
  </si>
  <si>
    <t>2022-07-06T5:12:44 PM GMT</t>
  </si>
  <si>
    <t>Mizanmahboob sarker</t>
  </si>
  <si>
    <t>mizanmahboobsarker@gmail.com</t>
  </si>
  <si>
    <t>2022-07-06T5:12:19 PM GMT</t>
  </si>
  <si>
    <t>Pankaj Anigolkar</t>
  </si>
  <si>
    <t>pankajanigolkar@gmail.com</t>
  </si>
  <si>
    <t>2022-07-06T5:11:55 PM GMT</t>
  </si>
  <si>
    <t>Jessica Sachdeva</t>
  </si>
  <si>
    <t>jessicasachdeva06@icloud.com</t>
  </si>
  <si>
    <t>2022-07-06T5:10:59 PM GMT</t>
  </si>
  <si>
    <t xml:space="preserve">Arsheed Ahmad </t>
  </si>
  <si>
    <t>arshid031@gmail.com</t>
  </si>
  <si>
    <t>2022-07-06T5:10:04 PM GMT</t>
  </si>
  <si>
    <t>Ashutosh K</t>
  </si>
  <si>
    <t>kalogeashutosh.12@gmail.com</t>
  </si>
  <si>
    <t>2022-07-06T5:09:26 PM GMT</t>
  </si>
  <si>
    <t>Sameer Rehman</t>
  </si>
  <si>
    <t>Mrcool880@gmail.com</t>
  </si>
  <si>
    <t>2022-07-06T5:09:10 PM GMT</t>
  </si>
  <si>
    <t>Mahesh Kore</t>
  </si>
  <si>
    <t>Akore67890@gmail.com</t>
  </si>
  <si>
    <t>2022-07-06T5:08:27 PM GMT</t>
  </si>
  <si>
    <t>Shashank bahuguna</t>
  </si>
  <si>
    <t>bahuguna_shashank@yahoo.com</t>
  </si>
  <si>
    <t>2022-07-06T5:08:24 PM GMT</t>
  </si>
  <si>
    <t>Peter Sixen</t>
  </si>
  <si>
    <t>sixonantony23@gmail.com</t>
  </si>
  <si>
    <t>2022-07-06T5:08:22 PM GMT</t>
  </si>
  <si>
    <t>NISHAN Singh</t>
  </si>
  <si>
    <t>nishansinghnishansingh949@gmail.com</t>
  </si>
  <si>
    <t>2022-07-06T5:07:19 PM GMT</t>
  </si>
  <si>
    <t>Riya Bhanushali</t>
  </si>
  <si>
    <t>riyaabhanushali@gmail.com</t>
  </si>
  <si>
    <t>2022-07-06T5:06:29 PM GMT</t>
  </si>
  <si>
    <t>Ankur Gupta</t>
  </si>
  <si>
    <t>gupta.ankur84@gmail.com</t>
  </si>
  <si>
    <t>2022-07-06T5:06:17 PM GMT</t>
  </si>
  <si>
    <t>Ritesh Patel</t>
  </si>
  <si>
    <t>riteshpatel6869@gmail.com</t>
  </si>
  <si>
    <t>2022-07-06T5:06:14 PM GMT</t>
  </si>
  <si>
    <t>James Castelino</t>
  </si>
  <si>
    <t>jfcastelino@gmail.com</t>
  </si>
  <si>
    <t>2022-07-06T5:06:12 PM GMT</t>
  </si>
  <si>
    <t>DIVYANSHU KUMAR</t>
  </si>
  <si>
    <t>shubhanshu12358@gmail.com</t>
  </si>
  <si>
    <t>2022-07-06T5:05:48 PM GMT</t>
  </si>
  <si>
    <t>Sangeetha Reddy</t>
  </si>
  <si>
    <t>sangeethabommareddy46@gmail.com</t>
  </si>
  <si>
    <t>2022-07-06T5:05:27 PM GMT</t>
  </si>
  <si>
    <t xml:space="preserve">Nazia Parveen </t>
  </si>
  <si>
    <t>nazia.khan7@gmail.com</t>
  </si>
  <si>
    <t>2022-07-06T5:04:47 PM GMT</t>
  </si>
  <si>
    <t>Menal Lana</t>
  </si>
  <si>
    <t>sangyemenla2006@gmail.com</t>
  </si>
  <si>
    <t>2022-07-06T5:04:19 PM GMT</t>
  </si>
  <si>
    <t>Riya Raya</t>
  </si>
  <si>
    <t>rayariya492@gamil.com</t>
  </si>
  <si>
    <t>Sanju Bachhal</t>
  </si>
  <si>
    <t>bachhalsanju2@gmail.com</t>
  </si>
  <si>
    <t>2022-07-06T5:04:12 PM GMT</t>
  </si>
  <si>
    <t>Ishit Gupta</t>
  </si>
  <si>
    <t>ishit5551@gmail.com</t>
  </si>
  <si>
    <t>2022-07-06T5:03:21 PM GMT</t>
  </si>
  <si>
    <t>Gudivada Dhyanasai</t>
  </si>
  <si>
    <t>dhyanasaigudivada@gmail.com</t>
  </si>
  <si>
    <t>2022-07-06T5:03:19 PM GMT</t>
  </si>
  <si>
    <t>Varun Balakrishnan</t>
  </si>
  <si>
    <t>varun.kbk@gmail.com</t>
  </si>
  <si>
    <t>2022-07-06T5:02:55 PM GMT</t>
  </si>
  <si>
    <t>Shivam Kashyap</t>
  </si>
  <si>
    <t>shivamkashyap08@gmail.com</t>
  </si>
  <si>
    <t>2022-07-06T5:02:32 PM GMT</t>
  </si>
  <si>
    <t>Awadhesh Kumar</t>
  </si>
  <si>
    <t>awadhesh.kumar123@gmail.com</t>
  </si>
  <si>
    <t>2022-07-06T5:01:52 PM GMT</t>
  </si>
  <si>
    <t>Deepika Yadav</t>
  </si>
  <si>
    <t>deepikayadav0312@gmail.com</t>
  </si>
  <si>
    <t>2022-07-06T5:00:57 PM GMT</t>
  </si>
  <si>
    <t>Vineeth Reddy</t>
  </si>
  <si>
    <t>vineeth5217@gmail.com</t>
  </si>
  <si>
    <t>2022-07-06T5:00:38 PM GMT</t>
  </si>
  <si>
    <t>Vinaykumar Dumala</t>
  </si>
  <si>
    <t>vinaykumar.dumala@gmail.com</t>
  </si>
  <si>
    <t>2022-07-06T5:00:11 PM GMT</t>
  </si>
  <si>
    <t>saurabh singh</t>
  </si>
  <si>
    <t>saurabh6691@gmail.com</t>
  </si>
  <si>
    <t>2022-07-06T4:59:54 PM GMT</t>
  </si>
  <si>
    <t>Sangita Patil</t>
  </si>
  <si>
    <t>Shrutipatil2006@icloud.com</t>
  </si>
  <si>
    <t>2022-07-06T4:59:48 PM GMT</t>
  </si>
  <si>
    <t>Nitesh Burman</t>
  </si>
  <si>
    <t>nitishburman@yahoo.in</t>
  </si>
  <si>
    <t>2022-07-06T4:59:44 PM GMT</t>
  </si>
  <si>
    <t>Ganesh Y</t>
  </si>
  <si>
    <t>ganiy54599@gmail.com</t>
  </si>
  <si>
    <t>2022-07-06T4:59:16 PM GMT</t>
  </si>
  <si>
    <t>SUYASH GURULE</t>
  </si>
  <si>
    <t>suyash201812@gmail.com</t>
  </si>
  <si>
    <t>2022-07-06T4:59:11 PM GMT</t>
  </si>
  <si>
    <t>Deepak Bhutada</t>
  </si>
  <si>
    <t>dbhutada15@gmail.com</t>
  </si>
  <si>
    <t>2022-07-06T4:58:47 PM GMT</t>
  </si>
  <si>
    <t>BHASKARAGS BHASKARAGS</t>
  </si>
  <si>
    <t>br78188323@gmail.com</t>
  </si>
  <si>
    <t>2022-07-06T4:57:13 PM GMT</t>
  </si>
  <si>
    <t>Sandesh Patil</t>
  </si>
  <si>
    <t>sandeshp313@gmail.com</t>
  </si>
  <si>
    <t>2022-07-06T4:57:11 PM GMT</t>
  </si>
  <si>
    <t>Neeraj Mishra</t>
  </si>
  <si>
    <t>nrjmishra95@gmail.com</t>
  </si>
  <si>
    <t>2022-07-06T4:56:52 PM GMT</t>
  </si>
  <si>
    <t>Smriti Chettri</t>
  </si>
  <si>
    <t>smritichettri20@yahoo.com</t>
  </si>
  <si>
    <t>2022-07-06T4:55:53 PM GMT</t>
  </si>
  <si>
    <t>Kashish Manchanda</t>
  </si>
  <si>
    <t>manchanda.kashish2003@gmail.com</t>
  </si>
  <si>
    <t>2022-07-06T4:55:41 PM GMT</t>
  </si>
  <si>
    <t>Prasanna kumar Mandalapu</t>
  </si>
  <si>
    <t>prasannak9669@gmail.com</t>
  </si>
  <si>
    <t>2022-07-06T4:54:52 PM GMT</t>
  </si>
  <si>
    <t>Ashok Reddy</t>
  </si>
  <si>
    <t>ashokreddy57675@gmail.com</t>
  </si>
  <si>
    <t>2022-07-06T4:54:38 PM GMT</t>
  </si>
  <si>
    <t>mahesh valwani</t>
  </si>
  <si>
    <t>valwani398@gmail.com</t>
  </si>
  <si>
    <t>2022-07-06T4:54:33 PM GMT</t>
  </si>
  <si>
    <t>Mallu Reddy</t>
  </si>
  <si>
    <t>thimmareddymallu@gmail.com</t>
  </si>
  <si>
    <t>2022-07-06T4:54:32 PM GMT</t>
  </si>
  <si>
    <t>Rafi Sultan</t>
  </si>
  <si>
    <t>rafiahmed308@gmail.com</t>
  </si>
  <si>
    <t>2022-07-06T4:54:17 PM GMT</t>
  </si>
  <si>
    <t>Subham Kumar</t>
  </si>
  <si>
    <t>subhamkumar062@gmail.com</t>
  </si>
  <si>
    <t>2022-07-06T4:54:13 PM GMT</t>
  </si>
  <si>
    <t>GANESH RAUT</t>
  </si>
  <si>
    <t>ganesh.rautom@gmail.com</t>
  </si>
  <si>
    <t>2022-07-06T4:51:41 PM GMT</t>
  </si>
  <si>
    <t>Jheel Salecha</t>
  </si>
  <si>
    <t>jheeljain910@gmail.com</t>
  </si>
  <si>
    <t>2022-07-06T4:50:23 PM GMT</t>
  </si>
  <si>
    <t>Ripa  Sultan</t>
  </si>
  <si>
    <t>rifabegom63@gmail.com</t>
  </si>
  <si>
    <t>Bantei M</t>
  </si>
  <si>
    <t>wmynso@gmail.com</t>
  </si>
  <si>
    <t>2022-07-06T4:49:51 PM GMT</t>
  </si>
  <si>
    <t>Kritika Sharma</t>
  </si>
  <si>
    <t>kritikash05@gmail.com</t>
  </si>
  <si>
    <t>2022-07-06T4:49:28 PM GMT</t>
  </si>
  <si>
    <t>2022-07-06T4:49:25 PM GMT</t>
  </si>
  <si>
    <t>Tarvinder Singh</t>
  </si>
  <si>
    <t>apreen25@yahoo.co.in</t>
  </si>
  <si>
    <t>2022-07-06T4:49:20 PM GMT</t>
  </si>
  <si>
    <t>Gopi sureddy</t>
  </si>
  <si>
    <t>gopinathaleela@gmail.com</t>
  </si>
  <si>
    <t>2022-07-06T4:46:39 PM GMT</t>
  </si>
  <si>
    <t>Bhagwat Prasad</t>
  </si>
  <si>
    <t>aabhaabha2005@gmail.com</t>
  </si>
  <si>
    <t>2022-07-06T4:44:25 PM GMT</t>
  </si>
  <si>
    <t>MARTIN  Mathew</t>
  </si>
  <si>
    <t>nayanamartin23@gmail.com</t>
  </si>
  <si>
    <t>2022-07-06T4:43:53 PM GMT</t>
  </si>
  <si>
    <t>Harish Digari</t>
  </si>
  <si>
    <t>digari003871@gmail.com</t>
  </si>
  <si>
    <t>2022-07-06T4:42:55 PM GMT</t>
  </si>
  <si>
    <t>Himesh Gajwani</t>
  </si>
  <si>
    <t>gajwanih@gmail.com</t>
  </si>
  <si>
    <t>2022-07-06T4:42:43 PM GMT</t>
  </si>
  <si>
    <t>Rama Deshpande</t>
  </si>
  <si>
    <t>kanan.gajare@icloud.com</t>
  </si>
  <si>
    <t>2022-07-06T4:41:58 PM GMT</t>
  </si>
  <si>
    <t>Aman Kumar</t>
  </si>
  <si>
    <t>aman8298351841@gmail.com</t>
  </si>
  <si>
    <t>2022-07-06T4:41:47 PM GMT</t>
  </si>
  <si>
    <t>amrit singh</t>
  </si>
  <si>
    <t>amritbajaj51@gmail.com</t>
  </si>
  <si>
    <t>2022-07-06T4:41:31 PM GMT</t>
  </si>
  <si>
    <t>SIDDHANT SINGH</t>
  </si>
  <si>
    <t>siddhantsingh.1606@gmail.com</t>
  </si>
  <si>
    <t>2022-07-06T4:41:12 PM GMT</t>
  </si>
  <si>
    <t>DIPANKAR MALO</t>
  </si>
  <si>
    <t>dmalo701@gmail.com</t>
  </si>
  <si>
    <t>2022-07-06T4:40:52 PM GMT</t>
  </si>
  <si>
    <t>2022-07-06T4:40:41 PM GMT</t>
  </si>
  <si>
    <t>Rahul Chhabriya</t>
  </si>
  <si>
    <t>rahul.chhabriya14@gmail.com</t>
  </si>
  <si>
    <t>2022-07-06T4:40:36 PM GMT</t>
  </si>
  <si>
    <t>Naresh GK</t>
  </si>
  <si>
    <t>gk.naresh@gmail.com</t>
  </si>
  <si>
    <t>2022-07-06T4:40:33 PM GMT</t>
  </si>
  <si>
    <t>Megha Sood</t>
  </si>
  <si>
    <t>soodmegha09@gmail.com</t>
  </si>
  <si>
    <t>2022-07-06T4:40:04 PM GMT</t>
  </si>
  <si>
    <t>Harsh Parmar</t>
  </si>
  <si>
    <t>honeyparmar02@yahoo.com</t>
  </si>
  <si>
    <t>2022-07-06T4:40:02 PM GMT</t>
  </si>
  <si>
    <t>Nikhil Jajoria</t>
  </si>
  <si>
    <t>nikhiljajoria74@gmail.com</t>
  </si>
  <si>
    <t>2022-07-06T4:39:07 PM GMT</t>
  </si>
  <si>
    <t>Hemanth Pidugu</t>
  </si>
  <si>
    <t>hemanthbaleno@gmail.com</t>
  </si>
  <si>
    <t>2022-07-06T4:38:00 PM GMT</t>
  </si>
  <si>
    <t>Nawab Shahid</t>
  </si>
  <si>
    <t>nawabshahid0101@gmail.com</t>
  </si>
  <si>
    <t>2022-07-06T4:37:48 PM GMT</t>
  </si>
  <si>
    <t>Vimal Reece</t>
  </si>
  <si>
    <t>vimalezhumalai05@gmail.com</t>
  </si>
  <si>
    <t>2022-07-06T4:37:05 PM GMT</t>
  </si>
  <si>
    <t>Kahkashan Khan</t>
  </si>
  <si>
    <t>kahkashanaslam2012@gmail.com</t>
  </si>
  <si>
    <t>2022-07-06T4:36:54 PM GMT</t>
  </si>
  <si>
    <t>Ravi Kapoor</t>
  </si>
  <si>
    <t>kapooroptics@gmail.com</t>
  </si>
  <si>
    <t>2022-07-06T4:35:57 PM GMT</t>
  </si>
  <si>
    <t>Krishna Dangra</t>
  </si>
  <si>
    <t>krishnadangra04@gmail.com</t>
  </si>
  <si>
    <t>2022-07-06T4:35:09 PM GMT</t>
  </si>
  <si>
    <t>nikhil sharma</t>
  </si>
  <si>
    <t>nikhil.sharma556@yahoo.com</t>
  </si>
  <si>
    <t>2022-07-06T4:34:44 PM GMT</t>
  </si>
  <si>
    <t>Kunj Bsingh</t>
  </si>
  <si>
    <t>kunj2k123@gmail.com</t>
  </si>
  <si>
    <t>2022-07-06T4:34:33 PM GMT</t>
  </si>
  <si>
    <t>vignesh harikrishnan</t>
  </si>
  <si>
    <t>vigneshcv2004@gmail.com</t>
  </si>
  <si>
    <t>2022-07-06T4:32:32 PM GMT</t>
  </si>
  <si>
    <t>Dalton Jamatia</t>
  </si>
  <si>
    <t>daltonjamatia1@gmail.com</t>
  </si>
  <si>
    <t>2022-07-06T4:31:49 PM GMT</t>
  </si>
  <si>
    <t>Mr. Lohan</t>
  </si>
  <si>
    <t>tanishqlohan09@gmail.com</t>
  </si>
  <si>
    <t>2022-07-06T4:31:23 PM GMT</t>
  </si>
  <si>
    <t>Kiran Chormale</t>
  </si>
  <si>
    <t>kiranchormale774@gmail.com</t>
  </si>
  <si>
    <t>2022-07-06T4:30:03 PM GMT</t>
  </si>
  <si>
    <t>Raj Gupta</t>
  </si>
  <si>
    <t>graj0345@gmail.com</t>
  </si>
  <si>
    <t>Ss8290657767@gmail.com</t>
  </si>
  <si>
    <t>2022-07-06T4:29:44 PM GMT</t>
  </si>
  <si>
    <t>Amita Chand</t>
  </si>
  <si>
    <t>amitachand208@gmail.com</t>
  </si>
  <si>
    <t>2022-07-06T4:29:34 PM GMT</t>
  </si>
  <si>
    <t>Bharat Matwani</t>
  </si>
  <si>
    <t>Matwanibharat922@gmail.com</t>
  </si>
  <si>
    <t>2022-07-06T4:27:11 PM GMT</t>
  </si>
  <si>
    <t>Neeraj Kumar</t>
  </si>
  <si>
    <t>neerajbhagat468@gmail.com</t>
  </si>
  <si>
    <t>2022-07-06T4:26:32 PM GMT</t>
  </si>
  <si>
    <t>rahul kapoor</t>
  </si>
  <si>
    <t>rahul.kapoor@puma.com</t>
  </si>
  <si>
    <t>2022-07-06T4:26:30 PM GMT</t>
  </si>
  <si>
    <t>2022-07-06T4:25:52 PM GMT</t>
  </si>
  <si>
    <t>Bharath Kumar</t>
  </si>
  <si>
    <t>bharathkkumar43@gmail.com</t>
  </si>
  <si>
    <t>2022-07-06T4:25:37 PM GMT</t>
  </si>
  <si>
    <t>Zayn Owary</t>
  </si>
  <si>
    <t>liuprogamer555@gmail.com</t>
  </si>
  <si>
    <t>2022-07-06T4:25:34 PM GMT</t>
  </si>
  <si>
    <t>Neeraj Chopra</t>
  </si>
  <si>
    <t>neeraj_chopra_1982@yahoo.co.in</t>
  </si>
  <si>
    <t>2022-07-06T4:25:32 PM GMT</t>
  </si>
  <si>
    <t>Rajat Pali</t>
  </si>
  <si>
    <t>rajatpali786@gmail.com</t>
  </si>
  <si>
    <t>2022-07-06T4:25:07 PM GMT</t>
  </si>
  <si>
    <t>Komal Datta</t>
  </si>
  <si>
    <t>komaldatta5@gmail.com</t>
  </si>
  <si>
    <t>2022-07-06T4:24:51 PM GMT</t>
  </si>
  <si>
    <t>VAITIK Patel</t>
  </si>
  <si>
    <t>vaitik9960@gmail.com</t>
  </si>
  <si>
    <t>2022-07-06T4:23:48 PM GMT</t>
  </si>
  <si>
    <t>2022-07-06T4:23:34 PM GMT</t>
  </si>
  <si>
    <t>2022-07-06T4:23:00 PM GMT</t>
  </si>
  <si>
    <t>Ankur Thakur</t>
  </si>
  <si>
    <t>tankut548@gmail.com</t>
  </si>
  <si>
    <t>2022-07-06T4:22:48 PM GMT</t>
  </si>
  <si>
    <t>Tharani Tharan</t>
  </si>
  <si>
    <t>tharanrockz@gmail.com</t>
  </si>
  <si>
    <t>2022-07-06T4:22:45 PM GMT</t>
  </si>
  <si>
    <t>Soumyadeep Dey</t>
  </si>
  <si>
    <t>soumyadeepdey220@gmail.com</t>
  </si>
  <si>
    <t>2022-07-06T4:22:10 PM GMT</t>
  </si>
  <si>
    <t>Dharshan B R</t>
  </si>
  <si>
    <t>dharshan.bravikumar@gmail.com</t>
  </si>
  <si>
    <t>2022-07-06T4:21:25 PM GMT</t>
  </si>
  <si>
    <t>Nandini Rathore</t>
  </si>
  <si>
    <t>rathorenandini971@gmail.com</t>
  </si>
  <si>
    <t>2022-07-06T4:20:48 PM GMT</t>
  </si>
  <si>
    <t>Jaspreet Singh</t>
  </si>
  <si>
    <t>jaspreetdidden03@gmail.com</t>
  </si>
  <si>
    <t>2022-07-06T4:20:44 PM GMT</t>
  </si>
  <si>
    <t>Rohan PR</t>
  </si>
  <si>
    <t>rohanpr77@gmail.com</t>
  </si>
  <si>
    <t>2022-07-06T4:20:06 PM GMT</t>
  </si>
  <si>
    <t>Ketan Dabas</t>
  </si>
  <si>
    <t>ketandabas@gmail.com</t>
  </si>
  <si>
    <t>2022-07-06T4:19:33 PM GMT</t>
  </si>
  <si>
    <t>Reema Sutnga Reema Sutnga</t>
  </si>
  <si>
    <t>reemasutnga72@gmail.com</t>
  </si>
  <si>
    <t>2022-07-06T4:19:29 PM GMT</t>
  </si>
  <si>
    <t>Abhijit Kumar</t>
  </si>
  <si>
    <t>4uiamabhijit@gmail.com</t>
  </si>
  <si>
    <t>2022-07-06T4:19:24 PM GMT</t>
  </si>
  <si>
    <t>Pulkit Malik</t>
  </si>
  <si>
    <t>Pulkitmalik@ymail.com</t>
  </si>
  <si>
    <t>2022-07-06T4:19:08 PM GMT</t>
  </si>
  <si>
    <t>Mohamed Ayman</t>
  </si>
  <si>
    <t>mohamedaymanprvt@gmail.com</t>
  </si>
  <si>
    <t>2022-07-06T4:18:18 PM GMT</t>
  </si>
  <si>
    <t>Akshit Sharma</t>
  </si>
  <si>
    <t>akshit454@gmail.com</t>
  </si>
  <si>
    <t>2022-07-06T4:18:10 PM GMT</t>
  </si>
  <si>
    <t>Prodip Singha</t>
  </si>
  <si>
    <t>prodip20sinha@gmail.com</t>
  </si>
  <si>
    <t>2022-07-06T4:16:50 PM GMT</t>
  </si>
  <si>
    <t>2022-07-06T4:16:48 PM GMT</t>
  </si>
  <si>
    <t>2022-07-06T4:16:16 PM GMT</t>
  </si>
  <si>
    <t>Anmol Alreja</t>
  </si>
  <si>
    <t>alrejaanmol14@gmail.com</t>
  </si>
  <si>
    <t>2022-07-06T4:16:04 PM GMT</t>
  </si>
  <si>
    <t>Kaushik RAMGUDE</t>
  </si>
  <si>
    <t>kdrclashes@gmail.com</t>
  </si>
  <si>
    <t>2022-07-06T4:15:26 PM GMT</t>
  </si>
  <si>
    <t>Samrth M</t>
  </si>
  <si>
    <t>samarthmarya@gmail.com</t>
  </si>
  <si>
    <t>2022-07-06T4:15:24 PM GMT</t>
  </si>
  <si>
    <t>Shantanu Bedagkar</t>
  </si>
  <si>
    <t>bedagkars@gmail.com</t>
  </si>
  <si>
    <t>2022-07-06T4:14:59 PM GMT</t>
  </si>
  <si>
    <t>Deepak chaudhary</t>
  </si>
  <si>
    <t>dchaudhary409@gmail.com</t>
  </si>
  <si>
    <t>2022-07-06T4:14:26 PM GMT</t>
  </si>
  <si>
    <t>Parvesh Sharma</t>
  </si>
  <si>
    <t>parveshmodgil@gmail.com</t>
  </si>
  <si>
    <t>2022-07-06T4:12:30 PM GMT</t>
  </si>
  <si>
    <t>Shravan Devaraj</t>
  </si>
  <si>
    <t>shravan2507dev@gmail.com</t>
  </si>
  <si>
    <t>2022-07-06T4:12:12 PM GMT</t>
  </si>
  <si>
    <t>Murali Shankar</t>
  </si>
  <si>
    <t>muralishankar95@yahoo.com</t>
  </si>
  <si>
    <t>2022-07-06T4:10:37 PM GMT</t>
  </si>
  <si>
    <t>manish medepalli</t>
  </si>
  <si>
    <t>manish.medepalli@gmail.com</t>
  </si>
  <si>
    <t>2022-07-06T4:08:52 PM GMT</t>
  </si>
  <si>
    <t>Patlolla Veeresham</t>
  </si>
  <si>
    <t>veereshampatlolla11@gmail.com</t>
  </si>
  <si>
    <t>2022-07-06T4:08:44 PM GMT</t>
  </si>
  <si>
    <t>Sunny Subba</t>
  </si>
  <si>
    <t>itssunnyhangsubba@gmail.com</t>
  </si>
  <si>
    <t>2022-07-06T4:08:38 PM GMT</t>
  </si>
  <si>
    <t>Javeed KMK</t>
  </si>
  <si>
    <t>javeed.perex@gmail.com</t>
  </si>
  <si>
    <t>2022-07-06T4:07:06 PM GMT</t>
  </si>
  <si>
    <t>Anurag Sarmah</t>
  </si>
  <si>
    <t>nocopyrightassamesesongbyanura@gmail.com</t>
  </si>
  <si>
    <t>2022-07-06T4:07:05 PM GMT</t>
  </si>
  <si>
    <t>Parthan Pradeep</t>
  </si>
  <si>
    <t>parthpradeep999@gmail.com</t>
  </si>
  <si>
    <t>2022-07-06T4:06:03 PM GMT</t>
  </si>
  <si>
    <t>Santanu Dey</t>
  </si>
  <si>
    <t>santanu.shoham@gmail.com</t>
  </si>
  <si>
    <t>2022-07-06T4:05:26 PM GMT</t>
  </si>
  <si>
    <t>Glen Mascarenhas</t>
  </si>
  <si>
    <t>mascarenhasglen505@gmail.com</t>
  </si>
  <si>
    <t>2022-07-06T4:04:45 PM GMT</t>
  </si>
  <si>
    <t>Shreyash Gaikwad</t>
  </si>
  <si>
    <t>gaikwadshreyash1410@gmail.com</t>
  </si>
  <si>
    <t>2022-07-06T4:04:20 PM GMT</t>
  </si>
  <si>
    <t>Joannes Frank</t>
  </si>
  <si>
    <t>joannesfrank14@gmail.com</t>
  </si>
  <si>
    <t>2022-07-06T4:03:31 PM GMT</t>
  </si>
  <si>
    <t>Rajib Ghosh</t>
  </si>
  <si>
    <t>rojydebnath124@gmail.com</t>
  </si>
  <si>
    <t>2022-07-06T4:02:47 PM GMT</t>
  </si>
  <si>
    <t>Rajarm  Venky</t>
  </si>
  <si>
    <t>Rajaramvenky@gmail.com</t>
  </si>
  <si>
    <t>2022-07-06T4:02:36 PM GMT</t>
  </si>
  <si>
    <t>Aakash Yadav</t>
  </si>
  <si>
    <t>aakashyd1047@gmail.com</t>
  </si>
  <si>
    <t>2022-07-06T4:02:33 PM GMT</t>
  </si>
  <si>
    <t>Deeptanshu Paul</t>
  </si>
  <si>
    <t>deeptanshupaul@gmail.com</t>
  </si>
  <si>
    <t>2022-07-06T4:02:14 PM GMT</t>
  </si>
  <si>
    <t>Mohammed Bilal</t>
  </si>
  <si>
    <t>bilal93786@gmail.com</t>
  </si>
  <si>
    <t>2022-07-06T4:02:00 PM GMT</t>
  </si>
  <si>
    <t>Ayush Srivastav</t>
  </si>
  <si>
    <t>ayushgrandneo@gmail.com</t>
  </si>
  <si>
    <t>2022-07-06T4:01:51 PM GMT</t>
  </si>
  <si>
    <t>ambreesh David</t>
  </si>
  <si>
    <t>ambreeshdavid@gmail.com</t>
  </si>
  <si>
    <t>2022-07-06T4:01:24 PM GMT</t>
  </si>
  <si>
    <t>Souveek Roy</t>
  </si>
  <si>
    <t>Souveekroy100@gmail.com</t>
  </si>
  <si>
    <t>2022-07-06T4:00:55 PM GMT</t>
  </si>
  <si>
    <t>PRADUMN SONI</t>
  </si>
  <si>
    <t>pradumnsoni11@gmail.com</t>
  </si>
  <si>
    <t>2022-07-06T4:00:51 PM GMT</t>
  </si>
  <si>
    <t>Amar Rao</t>
  </si>
  <si>
    <t>amarkumar2@rediffmail.com</t>
  </si>
  <si>
    <t>2022-07-06T4:00:10 PM GMT</t>
  </si>
  <si>
    <t>Ankit Jaat</t>
  </si>
  <si>
    <t>jaatprit2004@gmail.com</t>
  </si>
  <si>
    <t>2022-07-06T3:59:19 PM GMT</t>
  </si>
  <si>
    <t>Rehaan Amin</t>
  </si>
  <si>
    <t>rehaanamin07@gmail.com</t>
  </si>
  <si>
    <t>2022-07-06T3:59:08 PM GMT</t>
  </si>
  <si>
    <t>Anandita Handa</t>
  </si>
  <si>
    <t>annaditahanda03@gmail.com</t>
  </si>
  <si>
    <t>2022-07-06T3:57:10 PM GMT</t>
  </si>
  <si>
    <t>Sabita Dhir</t>
  </si>
  <si>
    <t>dhirsabita@gmail.com</t>
  </si>
  <si>
    <t>2022-07-06T3:57:04 PM GMT</t>
  </si>
  <si>
    <t>Ravi Thimmegowda</t>
  </si>
  <si>
    <t>revravi.t@gmail.com</t>
  </si>
  <si>
    <t>chethana Kumari</t>
  </si>
  <si>
    <t>chethanakumari5@gmail.com</t>
  </si>
  <si>
    <t>2022-07-06T3:57:03 PM GMT</t>
  </si>
  <si>
    <t>Neetu Jain</t>
  </si>
  <si>
    <t>neetumahaveer04@gmail.com</t>
  </si>
  <si>
    <t>2022-07-06T3:56:34 PM GMT</t>
  </si>
  <si>
    <t>Harsha Vardhan</t>
  </si>
  <si>
    <t>harsha8500811168@gmail.com</t>
  </si>
  <si>
    <t>2022-07-06T3:56:07 PM GMT</t>
  </si>
  <si>
    <t>Abiram Reddy</t>
  </si>
  <si>
    <t>abhiramreddyar4@gmail.com</t>
  </si>
  <si>
    <t>2022-07-06T3:55:44 PM GMT</t>
  </si>
  <si>
    <t>2022-07-06T3:55:26 PM GMT</t>
  </si>
  <si>
    <t>GAVIRAYAPPA Lecture</t>
  </si>
  <si>
    <t>grdashavara@gmail.com</t>
  </si>
  <si>
    <t>2022-07-06T3:55:07 PM GMT</t>
  </si>
  <si>
    <t>Neeraj Manu</t>
  </si>
  <si>
    <t>neerajmanu02@gmail.com</t>
  </si>
  <si>
    <t>2022-07-06T3:55:01 PM GMT</t>
  </si>
  <si>
    <t>Mir Hasan</t>
  </si>
  <si>
    <t>mirhasansarwar313@gmail.com</t>
  </si>
  <si>
    <t>2022-07-06T3:54:27 PM GMT</t>
  </si>
  <si>
    <t>Yash Dhameliya</t>
  </si>
  <si>
    <t>yashdhameliya8896@gmail.com</t>
  </si>
  <si>
    <t>2022-07-06T3:54:23 PM GMT</t>
  </si>
  <si>
    <t>Naveen Mr</t>
  </si>
  <si>
    <t>naveenpooja1991@gmail.com</t>
  </si>
  <si>
    <t>2022-07-06T3:54:17 PM GMT</t>
  </si>
  <si>
    <t>Sonu Singh</t>
  </si>
  <si>
    <t>sonuthakar010@gmail.com</t>
  </si>
  <si>
    <t>2022-07-06T3:53:40 PM GMT</t>
  </si>
  <si>
    <t>sirpreet Pandher</t>
  </si>
  <si>
    <t>pandher38@yahoo.ca</t>
  </si>
  <si>
    <t>2022-07-06T3:52:03 PM GMT</t>
  </si>
  <si>
    <t xml:space="preserve">Jimi  Patel </t>
  </si>
  <si>
    <t>jimi14179@emali.com</t>
  </si>
  <si>
    <t>2022-07-06T3:50:24 PM GMT</t>
  </si>
  <si>
    <t>RAJASHREE PRIYADARSANI</t>
  </si>
  <si>
    <t>rajashree.muni04@gmail.com</t>
  </si>
  <si>
    <t>2022-07-06T3:48:54 PM GMT</t>
  </si>
  <si>
    <t>Nilesh Jagtap</t>
  </si>
  <si>
    <t>nileshjagtap425@gmail.com</t>
  </si>
  <si>
    <t>2022-07-06T3:47:07 PM GMT</t>
  </si>
  <si>
    <t>Anand Chamaria</t>
  </si>
  <si>
    <t>anandchamaria33@gmail.com</t>
  </si>
  <si>
    <t>2022-07-06T3:46:36 PM GMT</t>
  </si>
  <si>
    <t>Rohit Chhabra</t>
  </si>
  <si>
    <t>Rohitchhabra204@gmail.com</t>
  </si>
  <si>
    <t>2022-07-06T3:46:30 PM GMT</t>
  </si>
  <si>
    <t>Pulkit Holani</t>
  </si>
  <si>
    <t>pulkitholani1908@gmail.com</t>
  </si>
  <si>
    <t>2022-07-06T3:46:27 PM GMT</t>
  </si>
  <si>
    <t>SARATH C</t>
  </si>
  <si>
    <t>sarathc1702@gmail.com</t>
  </si>
  <si>
    <t>2022-07-06T3:46:10 PM GMT</t>
  </si>
  <si>
    <t>Sawai Singh</t>
  </si>
  <si>
    <t>sawai.9483131414@gmail.com</t>
  </si>
  <si>
    <t>2022-07-06T3:45:36 PM GMT</t>
  </si>
  <si>
    <t>Parishi Rao</t>
  </si>
  <si>
    <t>raoparishi@gmail.com</t>
  </si>
  <si>
    <t>2022-07-06T3:44:30 PM GMT</t>
  </si>
  <si>
    <t>Sathya Sivakumar</t>
  </si>
  <si>
    <t>sathyasivakumar0@gmail.com</t>
  </si>
  <si>
    <t>2022-07-06T3:43:09 PM GMT</t>
  </si>
  <si>
    <t>Aniket Kokate</t>
  </si>
  <si>
    <t>ak.aniketkokate@gmail.com</t>
  </si>
  <si>
    <t>2022-07-06T3:40:43 PM GMT</t>
  </si>
  <si>
    <t>Ankit Srivastav</t>
  </si>
  <si>
    <t>ankitsrivastavnrhn@gmail.com</t>
  </si>
  <si>
    <t>2022-07-06T3:40:11 PM GMT</t>
  </si>
  <si>
    <t>Romeo Ningthoujam</t>
  </si>
  <si>
    <t>Meipak12345@gmail.com</t>
  </si>
  <si>
    <t>2022-07-06T3:40:10 PM GMT</t>
  </si>
  <si>
    <t>Sanjay Kumar</t>
  </si>
  <si>
    <t>sanjaykbansal09@gmail.com</t>
  </si>
  <si>
    <t>2022-07-06T3:39:52 PM GMT</t>
  </si>
  <si>
    <t>Jay Matere</t>
  </si>
  <si>
    <t>jayhmatere@gmail.com</t>
  </si>
  <si>
    <t>2022-07-06T3:38:01 PM GMT</t>
  </si>
  <si>
    <t>Vishal PRAJAPATI</t>
  </si>
  <si>
    <t>vishalvishal3799.com@gmail.com</t>
  </si>
  <si>
    <t>2022-07-06T3:37:40 PM GMT</t>
  </si>
  <si>
    <t>Prabhmeet Kandhari</t>
  </si>
  <si>
    <t>prabhmeet1212@icloud.com</t>
  </si>
  <si>
    <t>2022-07-06T3:37:38 PM GMT</t>
  </si>
  <si>
    <t>Priyojith T</t>
  </si>
  <si>
    <t>priyolinu@gmail.com</t>
  </si>
  <si>
    <t>2022-07-06T3:36:41 PM GMT</t>
  </si>
  <si>
    <t>Jayaprakash J</t>
  </si>
  <si>
    <t>jprakashmeenu@gmail.com</t>
  </si>
  <si>
    <t>2022-07-06T3:36:07 PM GMT</t>
  </si>
  <si>
    <t>Nipun Garg</t>
  </si>
  <si>
    <t>nipun.gargg3@gmail.com</t>
  </si>
  <si>
    <t>2022-07-06T3:34:05 PM GMT</t>
  </si>
  <si>
    <t>chaitanya dongre</t>
  </si>
  <si>
    <t>chaitanyad319@gmail.com</t>
  </si>
  <si>
    <t>2022-07-06T3:33:31 PM GMT</t>
  </si>
  <si>
    <t>Nihar Rk</t>
  </si>
  <si>
    <t>niharrk2244@gmail.com</t>
  </si>
  <si>
    <t>2022-07-06T3:33:29 PM GMT</t>
  </si>
  <si>
    <t>Rushi Maddi</t>
  </si>
  <si>
    <t>mrushireddy2232@gmail.com</t>
  </si>
  <si>
    <t>2022-07-06T3:32:59 PM GMT</t>
  </si>
  <si>
    <t>Benlin A S</t>
  </si>
  <si>
    <t>benlinas2001@gmail.com</t>
  </si>
  <si>
    <t>2022-07-06T3:31:47 PM GMT</t>
  </si>
  <si>
    <t>Shri Hari</t>
  </si>
  <si>
    <t>shriharih94@gmail.com</t>
  </si>
  <si>
    <t>2022-07-06T3:30:37 PM GMT</t>
  </si>
  <si>
    <t>2022-07-06T3:29:49 PM GMT</t>
  </si>
  <si>
    <t>2022-07-06T3:27:24 PM GMT</t>
  </si>
  <si>
    <t>Rithivk Ps</t>
  </si>
  <si>
    <t>rithivikrock@gmail.com</t>
  </si>
  <si>
    <t>2022-07-06T3:26:08 PM GMT</t>
  </si>
  <si>
    <t>Hemanth Gowda</t>
  </si>
  <si>
    <t>llavanya176@gmail.com</t>
  </si>
  <si>
    <t>2022-07-06T3:25:36 PM GMT</t>
  </si>
  <si>
    <t>Yamini Reddy</t>
  </si>
  <si>
    <t>yaminivakamalla@gmail.com</t>
  </si>
  <si>
    <t>2022-07-06T3:25:22 PM GMT</t>
  </si>
  <si>
    <t>Kaushal Sharma</t>
  </si>
  <si>
    <t>kaushalkash@gmail.com</t>
  </si>
  <si>
    <t>2022-07-06T3:24:39 PM GMT</t>
  </si>
  <si>
    <t>Saif Subair</t>
  </si>
  <si>
    <t>saifsubair10@gmail.com</t>
  </si>
  <si>
    <t>2022-07-06T3:24:15 PM GMT</t>
  </si>
  <si>
    <t>Umesh Pothugunta</t>
  </si>
  <si>
    <t>pothuguntaumesh@gmail.com</t>
  </si>
  <si>
    <t>2022-07-06T3:24:04 PM GMT</t>
  </si>
  <si>
    <t>Neha Jha</t>
  </si>
  <si>
    <t>sjhas169@gmail.com</t>
  </si>
  <si>
    <t>2022-07-06T3:23:49 PM GMT</t>
  </si>
  <si>
    <t>Kamesh Dewangan</t>
  </si>
  <si>
    <t>adewangan142.kd@gmail.com</t>
  </si>
  <si>
    <t>2022-07-06T3:23:46 PM GMT</t>
  </si>
  <si>
    <t>Vinit Mahale</t>
  </si>
  <si>
    <t>vinit.mahale1994@gmail.com</t>
  </si>
  <si>
    <t>2022-07-06T3:23:45 PM GMT</t>
  </si>
  <si>
    <t>Yuvaraj Rio</t>
  </si>
  <si>
    <t>yuvarajrio2829@gmail.com</t>
  </si>
  <si>
    <t>2022-07-06T3:23:40 PM GMT</t>
  </si>
  <si>
    <t>tharun gokul</t>
  </si>
  <si>
    <t>jokerstoner411@gmail.com</t>
  </si>
  <si>
    <t>2022-07-06T3:22:18 PM GMT</t>
  </si>
  <si>
    <t>Rohit Pradhan</t>
  </si>
  <si>
    <t>roithpradhan928@gmail.com</t>
  </si>
  <si>
    <t>2022-07-06T3:21:31 PM GMT</t>
  </si>
  <si>
    <t>Naman Agrawal</t>
  </si>
  <si>
    <t>namanagrawal922@gmail.com</t>
  </si>
  <si>
    <t>2022-07-06T3:20:49 PM GMT</t>
  </si>
  <si>
    <t>DHIRAJ YADAV</t>
  </si>
  <si>
    <t>dhirajy1274@gmail.com</t>
  </si>
  <si>
    <t>2022-07-06T3:19:20 PM GMT</t>
  </si>
  <si>
    <t>Dorothy Dahal</t>
  </si>
  <si>
    <t>louisedahal9@gmail.com</t>
  </si>
  <si>
    <t>2022-07-06T3:19:01 PM GMT</t>
  </si>
  <si>
    <t>Muhammad Armash</t>
  </si>
  <si>
    <t>muhammadarmash17@gmail.com</t>
  </si>
  <si>
    <t>2022-07-06T3:18:57 PM GMT</t>
  </si>
  <si>
    <t>Ishita Patel</t>
  </si>
  <si>
    <t>patelishita227@gmail.com</t>
  </si>
  <si>
    <t>2022-07-06T3:17:41 PM GMT</t>
  </si>
  <si>
    <t>rishab.jain690@gmail.com</t>
  </si>
  <si>
    <t>2022-07-06T3:16:58 PM GMT</t>
  </si>
  <si>
    <t>Babbu Thakur</t>
  </si>
  <si>
    <t>up93thakur@gmail.com</t>
  </si>
  <si>
    <t>2022-07-06T3:16:11 PM GMT</t>
  </si>
  <si>
    <t>Rohit Taware</t>
  </si>
  <si>
    <t>rohittaware1997@gmail.com</t>
  </si>
  <si>
    <t>2022-07-06T3:14:16 PM GMT</t>
  </si>
  <si>
    <t>Kazim Agha</t>
  </si>
  <si>
    <t>kazimagha9@gmail.com</t>
  </si>
  <si>
    <t>2022-07-06T3:14:02 PM GMT</t>
  </si>
  <si>
    <t>Shreya Srivastava</t>
  </si>
  <si>
    <t>shreyasri0899@gmail.com</t>
  </si>
  <si>
    <t>2022-07-06T3:13:30 PM GMT</t>
  </si>
  <si>
    <t>Shahal Shalu</t>
  </si>
  <si>
    <t>shahalshalu666@gmail.com</t>
  </si>
  <si>
    <t>2022-07-06T3:13:00 PM GMT</t>
  </si>
  <si>
    <t>Niraj Bhobe</t>
  </si>
  <si>
    <t>bhobeniraj@gmail.com</t>
  </si>
  <si>
    <t>2022-07-06T3:12:54 PM GMT</t>
  </si>
  <si>
    <t>KIRTAN Sharma</t>
  </si>
  <si>
    <t>sharmaswarna869@gmail.com</t>
  </si>
  <si>
    <t>2022-07-06T3:11:10 PM GMT</t>
  </si>
  <si>
    <t>satish sonawane</t>
  </si>
  <si>
    <t>satulya1984@gmail.com</t>
  </si>
  <si>
    <t>2022-07-06T3:10:39 PM GMT</t>
  </si>
  <si>
    <t>Adnan Akhoon</t>
  </si>
  <si>
    <t>adnanakhoon36@gmail.com</t>
  </si>
  <si>
    <t>2022-07-06T3:09:49 PM GMT</t>
  </si>
  <si>
    <t>Ashish Agrawal</t>
  </si>
  <si>
    <t>ashisha7301@gmail.com</t>
  </si>
  <si>
    <t>2022-07-06T3:09:45 PM GMT</t>
  </si>
  <si>
    <t>Chandana Kommineni</t>
  </si>
  <si>
    <t>komminenibuddi@gmail.com</t>
  </si>
  <si>
    <t>2022-07-06T3:07:56 PM GMT</t>
  </si>
  <si>
    <t>Kanu DESAI</t>
  </si>
  <si>
    <t>desaikanu1331@gmail.com</t>
  </si>
  <si>
    <t>2022-07-06T3:07:53 PM GMT</t>
  </si>
  <si>
    <t>Abhi Chandhra</t>
  </si>
  <si>
    <t>abhichandra8055@gmail.com</t>
  </si>
  <si>
    <t>2022-07-06T3:05:33 PM GMT</t>
  </si>
  <si>
    <t>Ojaswi Sharma</t>
  </si>
  <si>
    <t>ojaswi0724@gmail.com</t>
  </si>
  <si>
    <t>2022-07-06T3:05:24 PM GMT</t>
  </si>
  <si>
    <t>Loeksh Waran</t>
  </si>
  <si>
    <t>lokeshwaranpr@gmail.com</t>
  </si>
  <si>
    <t>2022-07-06T3:04:44 PM GMT</t>
  </si>
  <si>
    <t>Abhay Patel</t>
  </si>
  <si>
    <t>ap7382218@gmail.com</t>
  </si>
  <si>
    <t>2022-07-06T3:03:01 PM GMT</t>
  </si>
  <si>
    <t>Cungzz Laichhak</t>
  </si>
  <si>
    <t>achhungi@gmail.com</t>
  </si>
  <si>
    <t>2022-07-06T3:01:36 PM GMT</t>
  </si>
  <si>
    <t>Shaik Khajanayabrasool Shaik Khajanayabrasool</t>
  </si>
  <si>
    <t>shaikkhajanayabrasool290@gmail.com</t>
  </si>
  <si>
    <t>2022-07-06T3:00:53 PM GMT</t>
  </si>
  <si>
    <t>2022-07-06T3:00:23 PM GMT</t>
  </si>
  <si>
    <t>akhilesh waran</t>
  </si>
  <si>
    <t>akhilesh4333@gmail.com</t>
  </si>
  <si>
    <t>2022-07-06T2:59:35 PM GMT</t>
  </si>
  <si>
    <t>Aftab Alam Aftab Alam</t>
  </si>
  <si>
    <t>alama0809@gmail.com</t>
  </si>
  <si>
    <t>2022-07-06T2:59:22 PM GMT</t>
  </si>
  <si>
    <t>satyavrat Tripathi</t>
  </si>
  <si>
    <t>satyavrattripathi58@gmail.com</t>
  </si>
  <si>
    <t>2022-07-06T2:58:59 PM GMT</t>
  </si>
  <si>
    <t>2022-07-06T2:58:51 PM GMT</t>
  </si>
  <si>
    <t>Rahul Pal</t>
  </si>
  <si>
    <t>rahul07216@gmail.com</t>
  </si>
  <si>
    <t>2022-07-06T2:58:30 PM GMT</t>
  </si>
  <si>
    <t>2022-07-06T2:57:41 PM GMT</t>
  </si>
  <si>
    <t>Nawar Ashfaq</t>
  </si>
  <si>
    <t>nash.klash90@gmail.com</t>
  </si>
  <si>
    <t>2022-07-06T2:57:29 PM GMT</t>
  </si>
  <si>
    <t>Veratalu Vese</t>
  </si>
  <si>
    <t>wearingjeanslost35@gmail.com</t>
  </si>
  <si>
    <t>2022-07-06T2:53:52 PM GMT</t>
  </si>
  <si>
    <t>Himanshu Jain</t>
  </si>
  <si>
    <t>jhimanshu475@gmail.com</t>
  </si>
  <si>
    <t>2022-07-06T2:50:59 PM GMT</t>
  </si>
  <si>
    <t>Marina Molier</t>
  </si>
  <si>
    <t>marinaarenlong@gmail.com</t>
  </si>
  <si>
    <t>2022-07-06T2:50:36 PM GMT</t>
  </si>
  <si>
    <t>Ankit Verma</t>
  </si>
  <si>
    <t>ankit.verma.263094@gmail.com</t>
  </si>
  <si>
    <t>2022-07-06T2:49:41 PM GMT</t>
  </si>
  <si>
    <t>Basamma Jiroli</t>
  </si>
  <si>
    <t>jirolibasamma@gmail.com</t>
  </si>
  <si>
    <t>2022-07-06T2:48:55 PM GMT</t>
  </si>
  <si>
    <t>jennifer rodrigues</t>
  </si>
  <si>
    <t>jenrodrigues02@gmail.com</t>
  </si>
  <si>
    <t>2022-07-06T2:48:09 PM GMT</t>
  </si>
  <si>
    <t>Tarun Teja</t>
  </si>
  <si>
    <t>tarunteja750@gmail.com</t>
  </si>
  <si>
    <t>BALCHAND MEENA</t>
  </si>
  <si>
    <t>bcmeena2050@gmail.com</t>
  </si>
  <si>
    <t>2022-07-06T2:47:54 PM GMT</t>
  </si>
  <si>
    <t>Yash Topare</t>
  </si>
  <si>
    <t>yashtopare4041@gmail.com</t>
  </si>
  <si>
    <t>2022-07-06T2:45:16 PM GMT</t>
  </si>
  <si>
    <t>ravi jangra</t>
  </si>
  <si>
    <t>jangraravi296@gmail.com</t>
  </si>
  <si>
    <t>2022-07-06T2:44:38 PM GMT</t>
  </si>
  <si>
    <t>Pranathi Shetty</t>
  </si>
  <si>
    <t>pranathishetty.3@gmail.com</t>
  </si>
  <si>
    <t>2022-07-06T2:43:43 PM GMT</t>
  </si>
  <si>
    <t>Shubham Manere</t>
  </si>
  <si>
    <t>shubhammanere@gmail.com</t>
  </si>
  <si>
    <t>2022-07-06T2:43:32 PM GMT</t>
  </si>
  <si>
    <t>Veer Kakadiya</t>
  </si>
  <si>
    <t>kakadiyaveer88@gmail.com</t>
  </si>
  <si>
    <t>2022-07-06T2:43:11 PM GMT</t>
  </si>
  <si>
    <t>Manoj Reddy</t>
  </si>
  <si>
    <t>pakkirumanoj529@gmail.com</t>
  </si>
  <si>
    <t>2022-07-06T2:42:44 PM GMT</t>
  </si>
  <si>
    <t>SARATH kumar</t>
  </si>
  <si>
    <t>sarathsin2724@gmail.com</t>
  </si>
  <si>
    <t>2022-07-06T2:41:52 PM GMT</t>
  </si>
  <si>
    <t>Bina Chettri</t>
  </si>
  <si>
    <t>bintachetrri1984@gmail.com</t>
  </si>
  <si>
    <t>2022-07-06T2:40:50 PM GMT</t>
  </si>
  <si>
    <t>Ajju Jani</t>
  </si>
  <si>
    <t>ajjujani760@gmail.com</t>
  </si>
  <si>
    <t>2022-07-06T2:38:22 PM GMT</t>
  </si>
  <si>
    <t>Khibason Yumnan</t>
  </si>
  <si>
    <t>khibasonyumsss@gmail.com</t>
  </si>
  <si>
    <t>2022-07-06T2:37:50 PM GMT</t>
  </si>
  <si>
    <t>Deepak Chowdary</t>
  </si>
  <si>
    <t>bobbydeepu4733@gmail.com</t>
  </si>
  <si>
    <t>2022-07-06T2:37:08 PM GMT</t>
  </si>
  <si>
    <t xml:space="preserve">Santhosh  Kumar </t>
  </si>
  <si>
    <t>santhoshsanthu2k@gmail.com</t>
  </si>
  <si>
    <t>2022-07-06T2:37:02 PM GMT</t>
  </si>
  <si>
    <t>Monty Yadav</t>
  </si>
  <si>
    <t>Montyyadav7211@gmail.com</t>
  </si>
  <si>
    <t>2022-07-06T2:36:47 PM GMT</t>
  </si>
  <si>
    <t>Rizwan Ahmad</t>
  </si>
  <si>
    <t>rizwanraaz5@gmail.com</t>
  </si>
  <si>
    <t>2022-07-06T2:34:56 PM GMT</t>
  </si>
  <si>
    <t>Azarudeen Ifthikar</t>
  </si>
  <si>
    <t>azarudeen.h@gmail.com</t>
  </si>
  <si>
    <t>2022-07-06T2:33:11 PM GMT</t>
  </si>
  <si>
    <t>Anil Londhe</t>
  </si>
  <si>
    <t>anilblondhe@gmail.com</t>
  </si>
  <si>
    <t>2022-07-06T2:32:43 PM GMT</t>
  </si>
  <si>
    <t>Ashok Ashok</t>
  </si>
  <si>
    <t>ashokt035.aa@gmail.com</t>
  </si>
  <si>
    <t>2022-07-06T2:32:38 PM GMT</t>
  </si>
  <si>
    <t>Umang Ahir</t>
  </si>
  <si>
    <t>umangahir1513@gmail.com</t>
  </si>
  <si>
    <t>2022-07-06T2:31:50 PM GMT</t>
  </si>
  <si>
    <t>Hatim Umrali</t>
  </si>
  <si>
    <t>hatimumrali65@gmail.com</t>
  </si>
  <si>
    <t>2022-07-06T2:31:14 PM GMT</t>
  </si>
  <si>
    <t>Aishwarya Ashok</t>
  </si>
  <si>
    <t>Aish.ashok4@gmail.com</t>
  </si>
  <si>
    <t>2022-07-06T2:31:00 PM GMT</t>
  </si>
  <si>
    <t>Ram Swaroop</t>
  </si>
  <si>
    <t>swaroop.king17@gmail.com</t>
  </si>
  <si>
    <t>2022-07-06T2:30:35 PM GMT</t>
  </si>
  <si>
    <t xml:space="preserve">Karthik  Chennaiah </t>
  </si>
  <si>
    <t>kencha.m747@gmail.com</t>
  </si>
  <si>
    <t>2022-07-06T2:30:33 PM GMT</t>
  </si>
  <si>
    <t>Rahul Vujhini</t>
  </si>
  <si>
    <t>rahulvarma1001@gmail.com</t>
  </si>
  <si>
    <t>2022-07-06T2:30:22 PM GMT</t>
  </si>
  <si>
    <t>HEMANT PATIL</t>
  </si>
  <si>
    <t>hemntnyn@gmail.com</t>
  </si>
  <si>
    <t>2022-07-06T2:29:58 PM GMT</t>
  </si>
  <si>
    <t>Rajesh  Kumar</t>
  </si>
  <si>
    <t>maharlucky05@gmail.com</t>
  </si>
  <si>
    <t>2022-07-06T2:29:39 PM GMT</t>
  </si>
  <si>
    <t>Shivendra Singh</t>
  </si>
  <si>
    <t>shiv2561998@gmail.com</t>
  </si>
  <si>
    <t>2022-07-06T2:28:19 PM GMT</t>
  </si>
  <si>
    <t>Lucksom Mayel</t>
  </si>
  <si>
    <t>mayellucksom@gmail.com</t>
  </si>
  <si>
    <t>2022-07-06T2:28:18 PM GMT</t>
  </si>
  <si>
    <t>Ankit Rambhia</t>
  </si>
  <si>
    <t>ankitbrambhia@gmail.com</t>
  </si>
  <si>
    <t>2022-07-06T2:27:11 PM GMT</t>
  </si>
  <si>
    <t>Sahil Sharma</t>
  </si>
  <si>
    <t>sahil.sharma@puma.com</t>
  </si>
  <si>
    <t>2022-07-06T2:26:52 PM GMT</t>
  </si>
  <si>
    <t>Vineet Jain</t>
  </si>
  <si>
    <t>vineetj97@gmail.com</t>
  </si>
  <si>
    <t>2022-07-06T2:26:18 PM GMT</t>
  </si>
  <si>
    <t>Amal Azees</t>
  </si>
  <si>
    <t>amalazeesa@gmail.com</t>
  </si>
  <si>
    <t>2022-07-06T2:24:45 PM GMT</t>
  </si>
  <si>
    <t>Yuvraj Pathak</t>
  </si>
  <si>
    <t>007yuvrajpathak@gmail.com</t>
  </si>
  <si>
    <t>2022-07-06T2:24:10 PM GMT</t>
  </si>
  <si>
    <t>Rishabh Sharma</t>
  </si>
  <si>
    <t>rishabhsharma.rs883@gmail.com</t>
  </si>
  <si>
    <t>2022-07-06T2:23:15 PM GMT</t>
  </si>
  <si>
    <t>Sumit Gupta Sumit Gupta</t>
  </si>
  <si>
    <t>sg0488158@gmail.com</t>
  </si>
  <si>
    <t>2022-07-06T2:20:35 PM GMT</t>
  </si>
  <si>
    <t>Margi Patel</t>
  </si>
  <si>
    <t>margipatel324@gmail.com</t>
  </si>
  <si>
    <t>2022-07-06T2:20:03 PM GMT</t>
  </si>
  <si>
    <t>Sanket Sawant</t>
  </si>
  <si>
    <t>sanky2panky@gmail.com</t>
  </si>
  <si>
    <t>2022-07-06T2:19:38 PM GMT</t>
  </si>
  <si>
    <t>Tushar Patil</t>
  </si>
  <si>
    <t>tushardp22@gmail.com</t>
  </si>
  <si>
    <t>2022-07-06T2:19:36 PM GMT</t>
  </si>
  <si>
    <t>DrNikhil Jamwal</t>
  </si>
  <si>
    <t>nikhiljamwal95@gmail.com</t>
  </si>
  <si>
    <t>2022-07-06T2:19:18 PM GMT</t>
  </si>
  <si>
    <t>Salprash Thokchom</t>
  </si>
  <si>
    <t>salprashCR7th@gmail.com</t>
  </si>
  <si>
    <t>2022-07-06T2:19:11 PM GMT</t>
  </si>
  <si>
    <t>Prince Turna</t>
  </si>
  <si>
    <t>princeturna2005@gmail.com</t>
  </si>
  <si>
    <t>2022-07-06T2:17:23 PM GMT</t>
  </si>
  <si>
    <t>Daniel Devson</t>
  </si>
  <si>
    <t>danielmangang115@gmail.com</t>
  </si>
  <si>
    <t>2022-07-06T2:17:01 PM GMT</t>
  </si>
  <si>
    <t>Bhupen Sherpa</t>
  </si>
  <si>
    <t>bhupentmg9@gmail.com</t>
  </si>
  <si>
    <t>2022-07-06T2:16:32 PM GMT</t>
  </si>
  <si>
    <t>Adithya Aithal</t>
  </si>
  <si>
    <t>adithya.aithal@gmail.com</t>
  </si>
  <si>
    <t>2022-07-06T2:16:30 PM GMT</t>
  </si>
  <si>
    <t>Barun Pradhan</t>
  </si>
  <si>
    <t>castro_virgil@yahoo.com</t>
  </si>
  <si>
    <t>2022-07-06T2:15:27 PM GMT</t>
  </si>
  <si>
    <t>BABINA NONGMEIKAPAM</t>
  </si>
  <si>
    <t>anciadevellis@gmail.com</t>
  </si>
  <si>
    <t>2022-07-06T2:13:18 PM GMT</t>
  </si>
  <si>
    <t>Sarvdnya Gaikwad</t>
  </si>
  <si>
    <t>sarvdnyagaiwkad04@gmail.com</t>
  </si>
  <si>
    <t>2022-07-06T2:12:57 PM GMT</t>
  </si>
  <si>
    <t>2022-07-06T2:12:06 PM GMT</t>
  </si>
  <si>
    <t>BHAI Jaan</t>
  </si>
  <si>
    <t>maharaslam70@gmail.com</t>
  </si>
  <si>
    <t>2022-07-06T2:10:43 PM GMT</t>
  </si>
  <si>
    <t>Thejus prasannan</t>
  </si>
  <si>
    <t>thejusprasannan22@gmail.com</t>
  </si>
  <si>
    <t>2022-07-06T2:09:25 PM GMT</t>
  </si>
  <si>
    <t>Samiran Roy</t>
  </si>
  <si>
    <t>samiranroy133@gmail.com</t>
  </si>
  <si>
    <t>2022-07-06T2:09:07 PM GMT</t>
  </si>
  <si>
    <t>Shubham Boob</t>
  </si>
  <si>
    <t>shubhamboob123@gmail.com</t>
  </si>
  <si>
    <t>2022-07-06T2:08:50 PM GMT</t>
  </si>
  <si>
    <t>Sam Nas</t>
  </si>
  <si>
    <t>nasirsama1993@gmail.com</t>
  </si>
  <si>
    <t>2022-07-06T2:08:25 PM GMT</t>
  </si>
  <si>
    <t>K Sai Charan K Sai Charan</t>
  </si>
  <si>
    <t>ksaisuresh189@gmail.com</t>
  </si>
  <si>
    <t>2022-07-06T2:08:04 PM GMT</t>
  </si>
  <si>
    <t>Aryan Keshri</t>
  </si>
  <si>
    <t>aryan.keshri288@gmail.com</t>
  </si>
  <si>
    <t>2022-07-06T2:07:53 PM GMT</t>
  </si>
  <si>
    <t>Chiranth S Bhat</t>
  </si>
  <si>
    <t>Prabhashripadbhat@gmail.com</t>
  </si>
  <si>
    <t>Sumit Parikh</t>
  </si>
  <si>
    <t>sumitparikh45@gmail.com</t>
  </si>
  <si>
    <t>2022-07-06T2:07:44 PM GMT</t>
  </si>
  <si>
    <t>Errol Pereira</t>
  </si>
  <si>
    <t>errol.pereira@gmail.com</t>
  </si>
  <si>
    <t>2022-07-06T2:07:22 PM GMT</t>
  </si>
  <si>
    <t>GAMIT VIPUL</t>
  </si>
  <si>
    <t>vipulgamit99996666@gmail.com</t>
  </si>
  <si>
    <t>2022-07-06T2:07:12 PM GMT</t>
  </si>
  <si>
    <t>Arav Chandel</t>
  </si>
  <si>
    <t>meghwalsonam04@gmail.com</t>
  </si>
  <si>
    <t>2022-07-06T2:05:10 PM GMT</t>
  </si>
  <si>
    <t>Toto DeSouza</t>
  </si>
  <si>
    <t>calyto1990@gmail.com</t>
  </si>
  <si>
    <t>2022-07-06T2:03:50 PM GMT</t>
  </si>
  <si>
    <t>Suresh Kumar</t>
  </si>
  <si>
    <t>rockyhunter0098@gmail.com</t>
  </si>
  <si>
    <t>2022-07-06T2:01:19 PM GMT</t>
  </si>
  <si>
    <t>2022-07-06T2:00:54 PM GMT</t>
  </si>
  <si>
    <t>Jasmeet Bhatia</t>
  </si>
  <si>
    <t>jasmeetbhatia123@gmail.com</t>
  </si>
  <si>
    <t>2022-07-06T2:00:33 PM GMT</t>
  </si>
  <si>
    <t>Kalai Yarasan</t>
  </si>
  <si>
    <t>kalaiyarasan.vaio@gamil.com</t>
  </si>
  <si>
    <t>2022-07-06T1:59:43 PM GMT</t>
  </si>
  <si>
    <t>SHIV CHOPRA</t>
  </si>
  <si>
    <t>arsauto999@hotmail.com</t>
  </si>
  <si>
    <t>2022-07-06T1:58:59 PM GMT</t>
  </si>
  <si>
    <t>K D</t>
  </si>
  <si>
    <t>kaustub306@gmail.com</t>
  </si>
  <si>
    <t>2022-07-06T1:55:36 PM GMT</t>
  </si>
  <si>
    <t>2022-07-06T1:52:00 PM GMT</t>
  </si>
  <si>
    <t>Krishna Chaithanya</t>
  </si>
  <si>
    <t>chaithudreddy12@gmail.com</t>
  </si>
  <si>
    <t>2022-07-06T1:50:42 PM GMT</t>
  </si>
  <si>
    <t>Manoj Goyal</t>
  </si>
  <si>
    <t>goyaltex@yahoo.com</t>
  </si>
  <si>
    <t>2022-07-06T1:50:02 PM GMT</t>
  </si>
  <si>
    <t>Paritosh Chakma</t>
  </si>
  <si>
    <t>paritoshchakma98@gmail.com</t>
  </si>
  <si>
    <t>Krishi Garg</t>
  </si>
  <si>
    <t>gargkrishi786@gmail.com</t>
  </si>
  <si>
    <t>2022-07-06T1:48:56 PM GMT</t>
  </si>
  <si>
    <t>Ankit Saikia</t>
  </si>
  <si>
    <t>ankitsaikia127@gmail.com</t>
  </si>
  <si>
    <t>2022-07-06T1:45:01 PM GMT</t>
  </si>
  <si>
    <t>Dishant Sunani</t>
  </si>
  <si>
    <t>Dishantsunani@gmail.com</t>
  </si>
  <si>
    <t>2022-07-06T1:42:58 PM GMT</t>
  </si>
  <si>
    <t xml:space="preserve">Raja Divyanshu </t>
  </si>
  <si>
    <t>rajadivyanshu56@gmail.com</t>
  </si>
  <si>
    <t>2022-07-06T1:39:23 PM GMT</t>
  </si>
  <si>
    <t>Deepali Sehrawat</t>
  </si>
  <si>
    <t>deepali1115@icloud.com</t>
  </si>
  <si>
    <t>2022-07-06T1:38:43 PM GMT</t>
  </si>
  <si>
    <t>Mohammed Jeelani</t>
  </si>
  <si>
    <t>mjeelani2241@gmail.com</t>
  </si>
  <si>
    <t>2022-07-06T1:38:18 PM GMT</t>
  </si>
  <si>
    <t>Adarsh Singh</t>
  </si>
  <si>
    <t>jutfrfunfun@gmail.com</t>
  </si>
  <si>
    <t>2022-07-06T1:37:40 PM GMT</t>
  </si>
  <si>
    <t>Akhil Attri</t>
  </si>
  <si>
    <t>tirupatisales502@gmail.com</t>
  </si>
  <si>
    <t>2022-07-06T1:37:06 PM GMT</t>
  </si>
  <si>
    <t>Master Darshan</t>
  </si>
  <si>
    <t>masterdarshan13@gmail.com</t>
  </si>
  <si>
    <t>2022-07-06T1:36:56 PM GMT</t>
  </si>
  <si>
    <t>Sibam Das</t>
  </si>
  <si>
    <t>sibamdas452@gmail.com</t>
  </si>
  <si>
    <t>2022-07-06T1:36:00 PM GMT</t>
  </si>
  <si>
    <t>Rajankur Dutta</t>
  </si>
  <si>
    <t>rjankurdutta@gmail.com</t>
  </si>
  <si>
    <t>2022-07-06T1:35:18 PM GMT</t>
  </si>
  <si>
    <t>Kalyan Bethi</t>
  </si>
  <si>
    <t>bethikalyan@gmail.com</t>
  </si>
  <si>
    <t>2022-07-06T1:34:58 PM GMT</t>
  </si>
  <si>
    <t>Harsh Sharma</t>
  </si>
  <si>
    <t>vishakhasharma5678@gmail.com</t>
  </si>
  <si>
    <t>2022-07-06T1:33:20 PM GMT</t>
  </si>
  <si>
    <t>Manjunatha ReddyN</t>
  </si>
  <si>
    <t>gn.gk.manju@gmail.com</t>
  </si>
  <si>
    <t>2022-07-06T1:31:47 PM GMT</t>
  </si>
  <si>
    <t>BHUDHAN BARMAN</t>
  </si>
  <si>
    <t>bhudhanbarman91@gmail.com</t>
  </si>
  <si>
    <t>2022-07-06T1:30:46 PM GMT</t>
  </si>
  <si>
    <t>Pratiksha Gharge</t>
  </si>
  <si>
    <t>pgharge007@gmail.com</t>
  </si>
  <si>
    <t>2022-07-06T1:30:31 PM GMT</t>
  </si>
  <si>
    <t>2022-07-06T1:30:23 PM GMT</t>
  </si>
  <si>
    <t>Gaangar Rajput</t>
  </si>
  <si>
    <t>gangarrajput94@gmail.com</t>
  </si>
  <si>
    <t>2022-07-06T1:30:03 PM GMT</t>
  </si>
  <si>
    <t>Rahul  Singh</t>
  </si>
  <si>
    <t>sunosingh666@gmail.com</t>
  </si>
  <si>
    <t>2022-07-06T1:29:33 PM GMT</t>
  </si>
  <si>
    <t>Somya Rawat</t>
  </si>
  <si>
    <t>somyarawat366@gmail.com</t>
  </si>
  <si>
    <t>2022-07-06T1:29:07 PM GMT</t>
  </si>
  <si>
    <t>RADHAMOHAN SINGH</t>
  </si>
  <si>
    <t>radhamohan1686@gmail.com</t>
  </si>
  <si>
    <t>2022-07-06T1:28:39 PM GMT</t>
  </si>
  <si>
    <t>2022-07-06T1:28:34 PM GMT</t>
  </si>
  <si>
    <t>Vaibhav Ghadage</t>
  </si>
  <si>
    <t>Cmavaibhav5424@gmail.com</t>
  </si>
  <si>
    <t>2022-07-06T1:28:07 PM GMT</t>
  </si>
  <si>
    <t>KAIF BAGWAN</t>
  </si>
  <si>
    <t>kaifbagwan20@gmail.com</t>
  </si>
  <si>
    <t>2022-07-06T1:27:12 PM GMT</t>
  </si>
  <si>
    <t>Rohit Samuel</t>
  </si>
  <si>
    <t>rohit.bsamuel@gmail.com</t>
  </si>
  <si>
    <t>2022-07-06T1:26:55 PM GMT</t>
  </si>
  <si>
    <t>Bharath Naik</t>
  </si>
  <si>
    <t>bharathbharathkumar810@gmail.com</t>
  </si>
  <si>
    <t>2022-07-06T1:25:45 PM GMT</t>
  </si>
  <si>
    <t>2022-07-06T1:25:31 PM GMT</t>
  </si>
  <si>
    <t>Sarthak Raut</t>
  </si>
  <si>
    <t>sarthakraut575@gmail.com</t>
  </si>
  <si>
    <t>2022-07-06T1:25:01 PM GMT</t>
  </si>
  <si>
    <t>Atharva Kate</t>
  </si>
  <si>
    <t>sonukate14@gmail.com</t>
  </si>
  <si>
    <t>2022-07-06T1:23:26 PM GMT</t>
  </si>
  <si>
    <t>Tanna Dhaval</t>
  </si>
  <si>
    <t>imailtannadhaval@gmail.com</t>
  </si>
  <si>
    <t>2022-07-06T1:20:54 PM GMT</t>
  </si>
  <si>
    <t>Rashid Rashi</t>
  </si>
  <si>
    <t>ashiquenk853@gmail.com</t>
  </si>
  <si>
    <t>2022-07-06T1:20:33 PM GMT</t>
  </si>
  <si>
    <t>prabal Dhot</t>
  </si>
  <si>
    <t>prabaldhot107@gmail.com</t>
  </si>
  <si>
    <t>2022-07-06T1:19:17 PM GMT</t>
  </si>
  <si>
    <t>SAKSHI DUGGAL</t>
  </si>
  <si>
    <t>sakshiduggal110901@gmail.com</t>
  </si>
  <si>
    <t>2022-07-06T1:18:12 PM GMT</t>
  </si>
  <si>
    <t>RAJAT PANICKAR</t>
  </si>
  <si>
    <t>RAJATPANICKAR95@GMAIL.COM</t>
  </si>
  <si>
    <t>2022-07-06T1:17:32 PM GMT</t>
  </si>
  <si>
    <t>Lloyd Richard</t>
  </si>
  <si>
    <t>lloyd01805@gmail.com</t>
  </si>
  <si>
    <t>2022-07-06T1:15:43 PM GMT</t>
  </si>
  <si>
    <t>Rakesh Pradhan</t>
  </si>
  <si>
    <t>rakeshpradhanrk211@gmail.com</t>
  </si>
  <si>
    <t>2022-07-06T1:15:42 PM GMT</t>
  </si>
  <si>
    <t>anamika kumari</t>
  </si>
  <si>
    <t>anamikaanni002@gmail.com</t>
  </si>
  <si>
    <t>2022-07-06T1:15:15 PM GMT</t>
  </si>
  <si>
    <t>Suraj Gupta</t>
  </si>
  <si>
    <t>surajg1201@gmail.com</t>
  </si>
  <si>
    <t>2022-07-06T1:15:06 PM GMT</t>
  </si>
  <si>
    <t>Izaaz Ahamed</t>
  </si>
  <si>
    <t>wahidenzeer@gmail.com</t>
  </si>
  <si>
    <t>2022-07-06T1:14:59 PM GMT</t>
  </si>
  <si>
    <t>Gaurav Mahajan</t>
  </si>
  <si>
    <t>gauraventerprises04@gmail.com</t>
  </si>
  <si>
    <t>2022-07-06T1:08:17 PM GMT</t>
  </si>
  <si>
    <t>JethiN BuntyY</t>
  </si>
  <si>
    <t>vikasbhanu29@gmail.com</t>
  </si>
  <si>
    <t>2022-07-06T1:06:30 PM GMT</t>
  </si>
  <si>
    <t>Rajesh Kumawat</t>
  </si>
  <si>
    <t>kailashikumawat978@gmail.com</t>
  </si>
  <si>
    <t>2022-07-06T1:06:22 PM GMT</t>
  </si>
  <si>
    <t>Ankush Suri</t>
  </si>
  <si>
    <t>ankushsuri9900@gmail.com</t>
  </si>
  <si>
    <t>2022-07-06T1:04:05 PM GMT</t>
  </si>
  <si>
    <t>rushikesh shelar</t>
  </si>
  <si>
    <t>shelarrushikesh85@gmail.com</t>
  </si>
  <si>
    <t>2022-07-06T1:03:17 PM GMT</t>
  </si>
  <si>
    <t>Nehil Chaudhary</t>
  </si>
  <si>
    <t>nehilchaudhary@gmail.com</t>
  </si>
  <si>
    <t>2022-07-06T1:02:22 PM GMT</t>
  </si>
  <si>
    <t>Alex  Eldo</t>
  </si>
  <si>
    <t>alexeldosimon@gmail.com</t>
  </si>
  <si>
    <t>2022-07-06T1:01:46 PM GMT</t>
  </si>
  <si>
    <t>Lovepreet Sharma</t>
  </si>
  <si>
    <t>Harwinder20@gmail.com</t>
  </si>
  <si>
    <t>2022-07-06T1:01:15 PM GMT</t>
  </si>
  <si>
    <t>Pratik Gaikwad</t>
  </si>
  <si>
    <t>pratikgaikwad54321@gmail.com</t>
  </si>
  <si>
    <t>2022-07-06T1:00:34 PM GMT</t>
  </si>
  <si>
    <t>Naveen Dixit</t>
  </si>
  <si>
    <t>naveendxt10@gmail.com</t>
  </si>
  <si>
    <t>2022-07-06T12:56:50 PM GMT</t>
  </si>
  <si>
    <t>Suraj Rai</t>
  </si>
  <si>
    <t>rai89064@gmail.com</t>
  </si>
  <si>
    <t>2022-07-06T12:56:23 PM GMT</t>
  </si>
  <si>
    <t>Malik Rehan</t>
  </si>
  <si>
    <t>malikrehansh9@gmail.com</t>
  </si>
  <si>
    <t>2022-07-06T12:54:14 PM GMT</t>
  </si>
  <si>
    <t xml:space="preserve">Mukesh  Dahiya </t>
  </si>
  <si>
    <t>dahiy.mukesh1980@gmil.com</t>
  </si>
  <si>
    <t>2022-07-06T12:53:32 PM GMT</t>
  </si>
  <si>
    <t>KOLLATTI VISHNUPRIYA</t>
  </si>
  <si>
    <t>kollatipriya06@gmail.com</t>
  </si>
  <si>
    <t>2022-07-06T12:53:01 PM GMT</t>
  </si>
  <si>
    <t>Aquib Ansar</t>
  </si>
  <si>
    <t>aquibansar70@gmail.com</t>
  </si>
  <si>
    <t>2022-07-06T12:49:55 PM GMT</t>
  </si>
  <si>
    <t>Priyanshu Patel</t>
  </si>
  <si>
    <t>patelpriyanshu200200@gmail.com</t>
  </si>
  <si>
    <t>2022-07-06T12:47:07 PM GMT</t>
  </si>
  <si>
    <t>KSHITIZ GUPTA</t>
  </si>
  <si>
    <t>sparkcore@outlook.com</t>
  </si>
  <si>
    <t>2022-07-06T12:46:59 PM GMT</t>
  </si>
  <si>
    <t>Siddhu Raina</t>
  </si>
  <si>
    <t>siddhuraina08@gmail.com</t>
  </si>
  <si>
    <t>2022-07-06T12:46:54 PM GMT</t>
  </si>
  <si>
    <t>Dr Rahilla Tabassum</t>
  </si>
  <si>
    <t>drrahilla10@gmail.com</t>
  </si>
  <si>
    <t>2022-07-06T12:44:46 PM GMT</t>
  </si>
  <si>
    <t>Purvika Jain</t>
  </si>
  <si>
    <t>purvikajain2@gmail.com</t>
  </si>
  <si>
    <t>2022-07-06T12:43:36 PM GMT</t>
  </si>
  <si>
    <t>R Chandu</t>
  </si>
  <si>
    <t>masssantosh50@gmail.com</t>
  </si>
  <si>
    <t>2022-07-06T12:41:13 PM GMT</t>
  </si>
  <si>
    <t>Arun V</t>
  </si>
  <si>
    <t>arunvnura@gmail.com</t>
  </si>
  <si>
    <t>2022-07-06T12:36:42 PM GMT</t>
  </si>
  <si>
    <t>Yogesh Sharma</t>
  </si>
  <si>
    <t>yogeshsharmaonnet@gmail.com</t>
  </si>
  <si>
    <t>2022-07-06T12:35:24 PM GMT</t>
  </si>
  <si>
    <t>Arpykha Khawlhring</t>
  </si>
  <si>
    <t>arpykha6@gmail.com</t>
  </si>
  <si>
    <t>2022-07-06T12:34:38 PM GMT</t>
  </si>
  <si>
    <t>Tejas CS</t>
  </si>
  <si>
    <t>tejascs575@gmail.com</t>
  </si>
  <si>
    <t>2022-07-06T12:34:37 PM GMT</t>
  </si>
  <si>
    <t>Ansh Khubwani</t>
  </si>
  <si>
    <t>khubwani.ak@gmail.com</t>
  </si>
  <si>
    <t>2022-07-06T12:33:46 PM GMT</t>
  </si>
  <si>
    <t>Subhasis Jena</t>
  </si>
  <si>
    <t>subhasisjena86@gmail.com</t>
  </si>
  <si>
    <t>2022-07-06T12:33:38 PM GMT</t>
  </si>
  <si>
    <t>Prince Rathee</t>
  </si>
  <si>
    <t>adrathee@gmail.com</t>
  </si>
  <si>
    <t>2022-07-06T12:30:40 PM GMT</t>
  </si>
  <si>
    <t>Pulkit Verma</t>
  </si>
  <si>
    <t>pulkitverma212000@gmail.com</t>
  </si>
  <si>
    <t>2022-07-06T12:27:48 PM GMT</t>
  </si>
  <si>
    <t>Sumathi Sivashankar</t>
  </si>
  <si>
    <t>sumathi.reva@gmail.com</t>
  </si>
  <si>
    <t>2022-07-06T12:26:18 PM GMT</t>
  </si>
  <si>
    <t>Ishaan GODHA</t>
  </si>
  <si>
    <t>ishaan11271@gmail.com</t>
  </si>
  <si>
    <t>2022-07-06T12:26:06 PM GMT</t>
  </si>
  <si>
    <t xml:space="preserve">Sandeep  Singh </t>
  </si>
  <si>
    <t>sidhu.sandeep20@gmail.com</t>
  </si>
  <si>
    <t>2022-07-06T12:25:59 PM GMT</t>
  </si>
  <si>
    <t>Shivaprasad Tengli</t>
  </si>
  <si>
    <t>shivaprasadtengli39@gmail.com</t>
  </si>
  <si>
    <t>2022-07-06T12:22:40 PM GMT</t>
  </si>
  <si>
    <t>Samran Rizvi</t>
  </si>
  <si>
    <t>samalihr@gmail.com</t>
  </si>
  <si>
    <t>2022-07-06T12:21:08 PM GMT</t>
  </si>
  <si>
    <t>Wasim Akram</t>
  </si>
  <si>
    <t>wsmakram53@gmail.com</t>
  </si>
  <si>
    <t>2022-07-06T12:21:01 PM GMT</t>
  </si>
  <si>
    <t>deepak Deepak</t>
  </si>
  <si>
    <t>deepak_cm1985@yahoo.com</t>
  </si>
  <si>
    <t>2022-07-06T12:19:54 PM GMT</t>
  </si>
  <si>
    <t>Syedjunaid Ahmed</t>
  </si>
  <si>
    <t>syedjunaidahmed17@gmail.com</t>
  </si>
  <si>
    <t>2022-07-06T12:19:16 PM GMT</t>
  </si>
  <si>
    <t>Rohit Sharma</t>
  </si>
  <si>
    <t>rs301378@gmail.com</t>
  </si>
  <si>
    <t>2022-07-06T12:18:52 PM GMT</t>
  </si>
  <si>
    <t>RamesH ChoudharY</t>
  </si>
  <si>
    <t>ranjeetsinghshekhawat0@gmail.com</t>
  </si>
  <si>
    <t>2022-07-06T12:17:31 PM GMT</t>
  </si>
  <si>
    <t>Jagadish Jasti</t>
  </si>
  <si>
    <t>jastijagadishbabu@gmail.com</t>
  </si>
  <si>
    <t>2022-07-06T12:16:12 PM GMT</t>
  </si>
  <si>
    <t>Munu Rahman</t>
  </si>
  <si>
    <t>munuanju678@gmail.com</t>
  </si>
  <si>
    <t>2022-07-06T12:13:47 PM GMT</t>
  </si>
  <si>
    <t>Nancy Babariya</t>
  </si>
  <si>
    <t>nancybabariya0802@gmail.com</t>
  </si>
  <si>
    <t>2022-07-06T12:13:14 PM GMT</t>
  </si>
  <si>
    <t>Ameya Damre</t>
  </si>
  <si>
    <t>ameyadamre1997@gmail.com</t>
  </si>
  <si>
    <t>2022-07-06T12:09:54 PM GMT</t>
  </si>
  <si>
    <t>Nishant Kumar</t>
  </si>
  <si>
    <t>ashurishu163@gmail.com</t>
  </si>
  <si>
    <t>2022-07-06T12:07:56 PM GMT</t>
  </si>
  <si>
    <t>Jenil Ghoniya</t>
  </si>
  <si>
    <t>jenilghoniya7777@gmail.com</t>
  </si>
  <si>
    <t>2022-07-06T12:05:28 PM GMT</t>
  </si>
  <si>
    <t>Jasnoor Kaur</t>
  </si>
  <si>
    <t>virknoor0001@gmail.com</t>
  </si>
  <si>
    <t>2022-07-06T12:04:22 PM GMT</t>
  </si>
  <si>
    <t>Ishan Khambhaliya</t>
  </si>
  <si>
    <t>ishankhambhaliya27@gmail.com</t>
  </si>
  <si>
    <t>2022-07-06T12:03:48 PM GMT</t>
  </si>
  <si>
    <t>2022-07-06T12:02:32 PM GMT</t>
  </si>
  <si>
    <t>Shibin Ninan</t>
  </si>
  <si>
    <t>shibinninan74@gmail.com</t>
  </si>
  <si>
    <t>2022-07-06T12:02:21 PM GMT</t>
  </si>
  <si>
    <t>Jatin Pahwa</t>
  </si>
  <si>
    <t>jatinpahwa110@gmail.com</t>
  </si>
  <si>
    <t>2022-07-06T12:01:47 PM GMT</t>
  </si>
  <si>
    <t>2022-07-06T12:00:23 PM GMT</t>
  </si>
  <si>
    <t>Sri Ram</t>
  </si>
  <si>
    <t>Sriramprasadh1999@gmail.com</t>
  </si>
  <si>
    <t>2022-07-06T12:00:07 PM GMT</t>
  </si>
  <si>
    <t>2022-07-06T11:57:42 AM GMT</t>
  </si>
  <si>
    <t>Nischay Garg</t>
  </si>
  <si>
    <t>nishchaygarg14@gmail.com</t>
  </si>
  <si>
    <t>2022-07-06T11:57:33 AM GMT</t>
  </si>
  <si>
    <t>Lakshay Aggarwal</t>
  </si>
  <si>
    <t>aggarwallakshay201@gmail.com</t>
  </si>
  <si>
    <t>2022-07-06T11:55:50 AM GMT</t>
  </si>
  <si>
    <t>MANIKANDAN M</t>
  </si>
  <si>
    <t>ttmani_19@rediffmail.com</t>
  </si>
  <si>
    <t>2022-07-06T11:55:40 AM GMT</t>
  </si>
  <si>
    <t>Yash Joshi</t>
  </si>
  <si>
    <t>yash8210joshi@gmail.com</t>
  </si>
  <si>
    <t>2022-07-06T11:55:04 AM GMT</t>
  </si>
  <si>
    <t>Rishang  Singh</t>
  </si>
  <si>
    <t>rishangsingh5@gmail.com</t>
  </si>
  <si>
    <t>2022-07-06T11:54:21 AM GMT</t>
  </si>
  <si>
    <t>Soham Jain</t>
  </si>
  <si>
    <t>sohamjain14feb@gmail.com</t>
  </si>
  <si>
    <t>2022-07-06T11:53:16 AM GMT</t>
  </si>
  <si>
    <t>Jay Shelar</t>
  </si>
  <si>
    <t>jayshelar9545@gmail.com</t>
  </si>
  <si>
    <t>2022-07-06T11:52:18 AM GMT</t>
  </si>
  <si>
    <t>Iftequar  Ahmed</t>
  </si>
  <si>
    <t>iftequar73@gmail.com</t>
  </si>
  <si>
    <t>Shane Pereira</t>
  </si>
  <si>
    <t>shane.pereira@puma.com</t>
  </si>
  <si>
    <t>2022-07-06T11:51:56 AM GMT</t>
  </si>
  <si>
    <t>MILAN DAVRA</t>
  </si>
  <si>
    <t>Davra.davra@gmail.com</t>
  </si>
  <si>
    <t>2022-07-06T11:50:50 AM GMT</t>
  </si>
  <si>
    <t>Adarsh Mathur</t>
  </si>
  <si>
    <t>adrshmthr@gmail.com</t>
  </si>
  <si>
    <t>2022-07-06T11:48:22 AM GMT</t>
  </si>
  <si>
    <t>Wahid khan</t>
  </si>
  <si>
    <t>wk2872340@gmail.com</t>
  </si>
  <si>
    <t>2022-07-06T11:45:26 AM GMT</t>
  </si>
  <si>
    <t>Aahan Gaba</t>
  </si>
  <si>
    <t>aahangaba15@gmail.com</t>
  </si>
  <si>
    <t>2022-07-06T11:43:56 AM GMT</t>
  </si>
  <si>
    <t>rohitsharma227522@gmail.com</t>
  </si>
  <si>
    <t>2022-07-06T11:43:25 AM GMT</t>
  </si>
  <si>
    <t>2022-07-06T11:43:23 AM GMT</t>
  </si>
  <si>
    <t>vasu Goel</t>
  </si>
  <si>
    <t>vasugoel002@gmail.com</t>
  </si>
  <si>
    <t>2022-07-06T11:43:16 AM GMT</t>
  </si>
  <si>
    <t xml:space="preserve">Ashley  Chhetri </t>
  </si>
  <si>
    <t>ashleychhetri1212@gmail.com</t>
  </si>
  <si>
    <t>2022-07-06T11:43:13 AM GMT</t>
  </si>
  <si>
    <t>Nitesh Malik</t>
  </si>
  <si>
    <t>caniteshmalik@gmail.com</t>
  </si>
  <si>
    <t>2022-07-06T11:42:26 AM GMT</t>
  </si>
  <si>
    <t>Srinivas sorupaka</t>
  </si>
  <si>
    <t>sorupaka@gmail.com</t>
  </si>
  <si>
    <t>2022-07-06T11:39:59 AM GMT</t>
  </si>
  <si>
    <t>Abhinav Gora</t>
  </si>
  <si>
    <t>nagraabhinav@gmail.com</t>
  </si>
  <si>
    <t>2022-07-06T11:39:10 AM GMT</t>
  </si>
  <si>
    <t>Mohit Gupta</t>
  </si>
  <si>
    <t>Mohitg42740@gmail.com</t>
  </si>
  <si>
    <t>2022-07-06T11:37:57 AM GMT</t>
  </si>
  <si>
    <t>Kowsalya Selvan</t>
  </si>
  <si>
    <t>kowsalyaselvan98@gmail.com</t>
  </si>
  <si>
    <t>2022-07-06T11:37:32 AM GMT</t>
  </si>
  <si>
    <t>Rahul Rahul</t>
  </si>
  <si>
    <t>Rahulshaliya@gmail.com</t>
  </si>
  <si>
    <t>2022-07-06T11:36:01 AM GMT</t>
  </si>
  <si>
    <t>Lalmuansanga  Hmar</t>
  </si>
  <si>
    <t>lmsahmar38@gmail.com</t>
  </si>
  <si>
    <t>2022-07-06T11:35:26 AM GMT</t>
  </si>
  <si>
    <t>MAHMAD ANSARI</t>
  </si>
  <si>
    <t>mahmadansri780@gmail.com</t>
  </si>
  <si>
    <t>2022-07-06T11:34:52 AM GMT</t>
  </si>
  <si>
    <t>Mayuresh Khollam</t>
  </si>
  <si>
    <t>khollam_mayuresh@yahoo.com</t>
  </si>
  <si>
    <t>2022-07-06T11:34:50 AM GMT</t>
  </si>
  <si>
    <t>BISWAJEET DAS</t>
  </si>
  <si>
    <t>biswajeet2909@gmail.com</t>
  </si>
  <si>
    <t>2022-07-06T11:33:46 AM GMT</t>
  </si>
  <si>
    <t>Shaik Inthiyaz</t>
  </si>
  <si>
    <t>shaikinthiyaz776@gmail.com</t>
  </si>
  <si>
    <t>2022-07-06T11:31:11 AM GMT</t>
  </si>
  <si>
    <t>Kunal Thakare</t>
  </si>
  <si>
    <t>kbthakare101@gmail.com</t>
  </si>
  <si>
    <t>2022-07-06T11:29:22 AM GMT</t>
  </si>
  <si>
    <t>Chirag Rana</t>
  </si>
  <si>
    <t>rana145chirag@gmail.com</t>
  </si>
  <si>
    <t>2022-07-06T11:29:05 AM GMT</t>
  </si>
  <si>
    <t>punithkumar v</t>
  </si>
  <si>
    <t>punithkumarv68@gmail.com</t>
  </si>
  <si>
    <t>2022-07-06T11:28:59 AM GMT</t>
  </si>
  <si>
    <t>Roshan Jha</t>
  </si>
  <si>
    <t>rjtheher0578@gmail.com</t>
  </si>
  <si>
    <t>2022-07-06T11:28:00 AM GMT</t>
  </si>
  <si>
    <t>Vamsi Krishna</t>
  </si>
  <si>
    <t>vamsi.upadhyayula@gmail.com</t>
  </si>
  <si>
    <t>2022-07-06T11:27:17 AM GMT</t>
  </si>
  <si>
    <t>riddhi arora</t>
  </si>
  <si>
    <t>arorariddhi21@gmail.com</t>
  </si>
  <si>
    <t>2022-07-06T11:25:25 AM GMT</t>
  </si>
  <si>
    <t>Mummadi Jagadhesh Kumar reddy</t>
  </si>
  <si>
    <t>mallusupraja20@gmail.com</t>
  </si>
  <si>
    <t>2022-07-06T11:25:02 AM GMT</t>
  </si>
  <si>
    <t>Saiprashanth Vijayakumar</t>
  </si>
  <si>
    <t>saiprashanth777@gmail.com</t>
  </si>
  <si>
    <t>2022-07-06T11:24:58 AM GMT</t>
  </si>
  <si>
    <t>anup Khairwar</t>
  </si>
  <si>
    <t>anup.khairwar@gmail.com</t>
  </si>
  <si>
    <t>2022-07-06T11:23:58 AM GMT</t>
  </si>
  <si>
    <t>Sweta Agrawal</t>
  </si>
  <si>
    <t>agrawalsweta19@gmail.com</t>
  </si>
  <si>
    <t>2022-07-06T11:23:04 AM GMT</t>
  </si>
  <si>
    <t>ANIKET PATIL</t>
  </si>
  <si>
    <t>aniketpatilgetsmail@gmail.com</t>
  </si>
  <si>
    <t>2022-07-06T11:21:40 AM GMT</t>
  </si>
  <si>
    <t>Jivesh Motwani</t>
  </si>
  <si>
    <t>motwanijivesh7@gmail.com</t>
  </si>
  <si>
    <t>2022-07-06T11:20:22 AM GMT</t>
  </si>
  <si>
    <t>Istiyak Shaikh</t>
  </si>
  <si>
    <t>istiyakshaikh1998@gmail.com</t>
  </si>
  <si>
    <t>2022-07-06T11:14:47 AM GMT</t>
  </si>
  <si>
    <t>Yuvraj Yadav</t>
  </si>
  <si>
    <t>yuvrajyadav6111@gmail.com</t>
  </si>
  <si>
    <t>2022-07-06T11:12:57 AM GMT</t>
  </si>
  <si>
    <t>Harii Sudhan</t>
  </si>
  <si>
    <t>hariisidu192@gmail.com</t>
  </si>
  <si>
    <t>2022-07-06T11:12:03 AM GMT</t>
  </si>
  <si>
    <t>SUbhit gogoi</t>
  </si>
  <si>
    <t>subhit.mrn@gmail.com</t>
  </si>
  <si>
    <t>2022-07-06T11:07:54 AM GMT</t>
  </si>
  <si>
    <t>Sanya Ahuja</t>
  </si>
  <si>
    <t>sanyaahuja1427@gmail.com</t>
  </si>
  <si>
    <t>2022-07-06T11:02:31 AM GMT</t>
  </si>
  <si>
    <t>Yash Gupta</t>
  </si>
  <si>
    <t>gyash8488@gmail.com</t>
  </si>
  <si>
    <t>2022-07-06T11:00:24 AM GMT</t>
  </si>
  <si>
    <t>Anand singh</t>
  </si>
  <si>
    <t>anandaccu@gmail.com</t>
  </si>
  <si>
    <t>2022-07-06T10:56:21 AM GMT</t>
  </si>
  <si>
    <t>Vansh Patel</t>
  </si>
  <si>
    <t>vanshpatel.7202043644@gmail.com</t>
  </si>
  <si>
    <t>2022-07-06T10:55:38 AM GMT</t>
  </si>
  <si>
    <t>2022-07-06T10:55:01 AM GMT</t>
  </si>
  <si>
    <t>Suraj Thakur</t>
  </si>
  <si>
    <t>surajrajput108@gmail.com</t>
  </si>
  <si>
    <t>2022-07-06T10:54:45 AM GMT</t>
  </si>
  <si>
    <t>Mangesh Mhatre</t>
  </si>
  <si>
    <t>hatremangesh53@gmail.com</t>
  </si>
  <si>
    <t>2022-07-06T10:52:41 AM GMT</t>
  </si>
  <si>
    <t>Tarun Sanapala</t>
  </si>
  <si>
    <t>payments.tarun@gmail.com</t>
  </si>
  <si>
    <t>2022-07-06T10:52:21 AM GMT</t>
  </si>
  <si>
    <t>Vudatala Tejaswi</t>
  </si>
  <si>
    <t>tejaswivudatala@gmail.com</t>
  </si>
  <si>
    <t>2022-07-06T10:48:20 AM GMT</t>
  </si>
  <si>
    <t>Anuj Kumar</t>
  </si>
  <si>
    <t>anuj650@live.in</t>
  </si>
  <si>
    <t>2022-07-06T10:47:27 AM GMT</t>
  </si>
  <si>
    <t>Gunish Jain</t>
  </si>
  <si>
    <t>jgunish7890@gmail.com</t>
  </si>
  <si>
    <t>2022-07-06T10:47:06 AM GMT</t>
  </si>
  <si>
    <t>Bhushan Shelar</t>
  </si>
  <si>
    <t>bhushanshelar.007@gmail.com</t>
  </si>
  <si>
    <t>2022-07-06T10:44:53 AM GMT</t>
  </si>
  <si>
    <t>Jeet Deogade</t>
  </si>
  <si>
    <t>jeetdeogade1@gmail.com</t>
  </si>
  <si>
    <t>2022-07-06T10:44:12 AM GMT</t>
  </si>
  <si>
    <t>Prajit Patel</t>
  </si>
  <si>
    <t>patelshiv554@gmail.com</t>
  </si>
  <si>
    <t>2022-07-06T10:43:42 AM GMT</t>
  </si>
  <si>
    <t>Mushahid Qureshi</t>
  </si>
  <si>
    <t>mushahidqureshi43031@gmail.com</t>
  </si>
  <si>
    <t>2022-07-06T10:43:13 AM GMT</t>
  </si>
  <si>
    <t>Mukesh Bishnoi</t>
  </si>
  <si>
    <t>bishnoimukki@gmail.com</t>
  </si>
  <si>
    <t>2022-07-06T10:42:38 AM GMT</t>
  </si>
  <si>
    <t>Tilak Sudhakar</t>
  </si>
  <si>
    <t>tilaksudhakar365@gmail.com</t>
  </si>
  <si>
    <t>2022-07-06T10:41:38 AM GMT</t>
  </si>
  <si>
    <t>Adarsh Gupta</t>
  </si>
  <si>
    <t>adgupta0660@gmail.com</t>
  </si>
  <si>
    <t>2022-07-06T10:39:26 AM GMT</t>
  </si>
  <si>
    <t>Deepak Gupta</t>
  </si>
  <si>
    <t>dgdpkgupta@gmail.com</t>
  </si>
  <si>
    <t>2022-07-06T10:38:28 AM GMT</t>
  </si>
  <si>
    <t>PRASAD Patil</t>
  </si>
  <si>
    <t>prasadpatil9601@gmail.com</t>
  </si>
  <si>
    <t>2022-07-06T10:36:11 AM GMT</t>
  </si>
  <si>
    <t>PRABHASH CHOUDHARY</t>
  </si>
  <si>
    <t>pkchy.ehs@gmail.com</t>
  </si>
  <si>
    <t>2022-07-06T10:36:05 AM GMT</t>
  </si>
  <si>
    <t>Vijay Kumar</t>
  </si>
  <si>
    <t>vijaykumararava0@gmail.com</t>
  </si>
  <si>
    <t>2022-07-06T10:35:06 AM GMT</t>
  </si>
  <si>
    <t>Neha Rawat</t>
  </si>
  <si>
    <t>neharawat3722@gmail.com</t>
  </si>
  <si>
    <t>2022-07-06T10:34:44 AM GMT</t>
  </si>
  <si>
    <t>Rahul Dandona</t>
  </si>
  <si>
    <t>rahuldandona12@gmail.com</t>
  </si>
  <si>
    <t>2022-07-06T10:33:49 AM GMT</t>
  </si>
  <si>
    <t>Bhavisha Ravaliya</t>
  </si>
  <si>
    <t>ravaliyabk19@gmail.com</t>
  </si>
  <si>
    <t>2022-07-06T10:33:43 AM GMT</t>
  </si>
  <si>
    <t>PRATIK Bhanushali</t>
  </si>
  <si>
    <t>pratik.bhanushali09@gmail.com</t>
  </si>
  <si>
    <t>2022-07-06T10:33:17 AM GMT</t>
  </si>
  <si>
    <t>Manu Mohan</t>
  </si>
  <si>
    <t>manumohan1012@gmail.com</t>
  </si>
  <si>
    <t>2022-07-06T10:32:33 AM GMT</t>
  </si>
  <si>
    <t>Rahul Sahu</t>
  </si>
  <si>
    <t>sahumuskan715@gmail.com</t>
  </si>
  <si>
    <t>2022-07-06T10:30:40 AM GMT</t>
  </si>
  <si>
    <t>Payal purohit</t>
  </si>
  <si>
    <t>purohitpayal05@gmail.com</t>
  </si>
  <si>
    <t>2022-07-06T10:30:10 AM GMT</t>
  </si>
  <si>
    <t>Pavithra V</t>
  </si>
  <si>
    <t>pavithra.visweswara@gmail.com</t>
  </si>
  <si>
    <t>2022-07-06T10:28:31 AM GMT</t>
  </si>
  <si>
    <t>Akanksha Dhurve</t>
  </si>
  <si>
    <t>dhurveyakanksha10@gmail.com</t>
  </si>
  <si>
    <t>2022-07-06T10:27:13 AM GMT</t>
  </si>
  <si>
    <t>Nikhith Kotha</t>
  </si>
  <si>
    <t>kothanikhith@gmail.com</t>
  </si>
  <si>
    <t>2022-07-06T10:27:11 AM GMT</t>
  </si>
  <si>
    <t>2022-07-06T10:26:37 AM GMT</t>
  </si>
  <si>
    <t>Syed Aatif</t>
  </si>
  <si>
    <t>syedaatif78@gmail.com</t>
  </si>
  <si>
    <t>2022-07-06T10:25:32 AM GMT</t>
  </si>
  <si>
    <t>Pankaj Bankar</t>
  </si>
  <si>
    <t>pankajbankar0194@gmail.com</t>
  </si>
  <si>
    <t>2022-07-06T10:25:14 AM GMT</t>
  </si>
  <si>
    <t>Rajat Gupta</t>
  </si>
  <si>
    <t>maxxrajat@gmail.com</t>
  </si>
  <si>
    <t>2022-07-06T10:22:54 AM GMT</t>
  </si>
  <si>
    <t>Santhosh Sivabalan</t>
  </si>
  <si>
    <t>santhoshsivabalan90@gmail.com</t>
  </si>
  <si>
    <t>2022-07-06T10:22:41 AM GMT</t>
  </si>
  <si>
    <t>Lokesh  Dadoriya</t>
  </si>
  <si>
    <t>lokeshdadoriya1503@gmail.com</t>
  </si>
  <si>
    <t>2022-07-06T10:22:26 AM GMT</t>
  </si>
  <si>
    <t>Anurag Upadhyay</t>
  </si>
  <si>
    <t>Anuragupadhyay55555@gmail.com</t>
  </si>
  <si>
    <t>Swayam Jasoria</t>
  </si>
  <si>
    <t>swayamjasoria.sj@gmail.com</t>
  </si>
  <si>
    <t>2022-07-06T10:18:41 AM GMT</t>
  </si>
  <si>
    <t>Shubham Jain</t>
  </si>
  <si>
    <t>shubhamjain877@gmail.com</t>
  </si>
  <si>
    <t>2022-07-06T10:17:37 AM GMT</t>
  </si>
  <si>
    <t>SHIVANGI GUPTA</t>
  </si>
  <si>
    <t>gshivangi1613@gmail.com</t>
  </si>
  <si>
    <t>2022-07-06T10:17:12 AM GMT</t>
  </si>
  <si>
    <t>Nitish Sharma</t>
  </si>
  <si>
    <t>nitishsharma85060@gmail.com</t>
  </si>
  <si>
    <t>2022-07-06T10:17:06 AM GMT</t>
  </si>
  <si>
    <t xml:space="preserve">Rajbala Basnett </t>
  </si>
  <si>
    <t>rajbasnetbala@gmail.com</t>
  </si>
  <si>
    <t>2022-07-06T10:15:35 AM GMT</t>
  </si>
  <si>
    <t>Badusha Latheef</t>
  </si>
  <si>
    <t>Badushabadhu8814@gmail.com</t>
  </si>
  <si>
    <t>2022-07-06T10:15:02 AM GMT</t>
  </si>
  <si>
    <t>Navneet Yadav</t>
  </si>
  <si>
    <t>navneetyadav0278@gmail.com</t>
  </si>
  <si>
    <t>2022-07-06T10:12:06 AM GMT</t>
  </si>
  <si>
    <t>Saransh Dash</t>
  </si>
  <si>
    <t>saranshdash72@gmail.com</t>
  </si>
  <si>
    <t>2022-07-06T10:11:30 AM GMT</t>
  </si>
  <si>
    <t>Aryan Sharma</t>
  </si>
  <si>
    <t>aryainfamous200314@gmail.com</t>
  </si>
  <si>
    <t>2022-07-06T10:11:22 AM GMT</t>
  </si>
  <si>
    <t>Sadapriyan Kodepaka</t>
  </si>
  <si>
    <t>sadapriyan08@gmail.com</t>
  </si>
  <si>
    <t>2022-07-06T10:08:34 AM GMT</t>
  </si>
  <si>
    <t>Pragati Gahlot</t>
  </si>
  <si>
    <t>dollypragati90@gmail.com</t>
  </si>
  <si>
    <t>2022-07-06T10:05:51 AM GMT</t>
  </si>
  <si>
    <t>Aakarsh  Asawa</t>
  </si>
  <si>
    <t>aakarshasawa007@gmail.com</t>
  </si>
  <si>
    <t>2022-07-06T10:05:31 AM GMT</t>
  </si>
  <si>
    <t>prabhakaran raju</t>
  </si>
  <si>
    <t>kingprabhakaran@gmail.com</t>
  </si>
  <si>
    <t>2022-07-06T10:04:59 AM GMT</t>
  </si>
  <si>
    <t xml:space="preserve">MOHAN Devireddy </t>
  </si>
  <si>
    <t>mohandevireddy111@gmail.com</t>
  </si>
  <si>
    <t>2022-07-06T10:03:56 AM GMT</t>
  </si>
  <si>
    <t>Prashob KV</t>
  </si>
  <si>
    <t>prashob4u@gmail.com</t>
  </si>
  <si>
    <t>2022-07-06T10:03:07 AM GMT</t>
  </si>
  <si>
    <t>Bhavansh Joshi</t>
  </si>
  <si>
    <t>joshibhavanshj@gmail.com</t>
  </si>
  <si>
    <t>2022-07-06T10:02:47 AM GMT</t>
  </si>
  <si>
    <t>paarth ROY</t>
  </si>
  <si>
    <t>paarth2013@gmail.com</t>
  </si>
  <si>
    <t>2022-07-06T9:59:29 AM GMT</t>
  </si>
  <si>
    <t>Lijin Mathew</t>
  </si>
  <si>
    <t>lijinmathew1998@gmail.com</t>
  </si>
  <si>
    <t>2022-07-06T9:57:43 AM GMT</t>
  </si>
  <si>
    <t>ishita srivastava</t>
  </si>
  <si>
    <t>srivastavaishi2004@gmail.com</t>
  </si>
  <si>
    <t>2022-07-06T9:56:04 AM GMT</t>
  </si>
  <si>
    <t>Suryansh Chauhan</t>
  </si>
  <si>
    <t>2005sury@gmail.com</t>
  </si>
  <si>
    <t>2022-07-06T9:51:30 AM GMT</t>
  </si>
  <si>
    <t>Devendra tyagi</t>
  </si>
  <si>
    <t>devendratyagi7919@gmail.com</t>
  </si>
  <si>
    <t>Mukul Chadha</t>
  </si>
  <si>
    <t>mukul130198@gmail.com</t>
  </si>
  <si>
    <t>Afthab Meahr</t>
  </si>
  <si>
    <t>afthabmehar7736@gmail.com</t>
  </si>
  <si>
    <t>2022-07-06T9:49:53 AM GMT</t>
  </si>
  <si>
    <t>2022-07-06T9:48:53 AM GMT</t>
  </si>
  <si>
    <t>Palani Bala</t>
  </si>
  <si>
    <t>palanibala444@icloud.com</t>
  </si>
  <si>
    <t>2022-07-06T9:48:10 AM GMT</t>
  </si>
  <si>
    <t>Vijay Beyong</t>
  </si>
  <si>
    <t>beyongvijay@gmail.com</t>
  </si>
  <si>
    <t>2022-07-06T9:48:06 AM GMT</t>
  </si>
  <si>
    <t>Shivansh Sapra</t>
  </si>
  <si>
    <t>saprashivansh28@gmail.com</t>
  </si>
  <si>
    <t>2022-07-06T9:46:38 AM GMT</t>
  </si>
  <si>
    <t>hellraiser2665@gmail.com</t>
  </si>
  <si>
    <t>2022-07-06T9:44:48 AM GMT</t>
  </si>
  <si>
    <t>Priyanshi Yadav</t>
  </si>
  <si>
    <t>priyanshiyadav0124@gmail.com</t>
  </si>
  <si>
    <t>2022-07-06T9:43:30 AM GMT</t>
  </si>
  <si>
    <t>Umesh Mohapatra</t>
  </si>
  <si>
    <t>umeshmohapatra.2021@rediffmail.com</t>
  </si>
  <si>
    <t>2022-07-06T9:43:25 AM GMT</t>
  </si>
  <si>
    <t>Deepak Choudhary</t>
  </si>
  <si>
    <t>dpkc.official@gmail.com</t>
  </si>
  <si>
    <t>2022-07-06T9:42:13 AM GMT</t>
  </si>
  <si>
    <t>Sangram Pawar</t>
  </si>
  <si>
    <t>sppawar63@gmail.com</t>
  </si>
  <si>
    <t>2022-07-06T9:41:56 AM GMT</t>
  </si>
  <si>
    <t>Satyam Srivastava</t>
  </si>
  <si>
    <t>satyams819@gmail.com</t>
  </si>
  <si>
    <t>2022-07-06T9:37:41 AM GMT</t>
  </si>
  <si>
    <t>Shanth Chris</t>
  </si>
  <si>
    <t>shanthchris7@gmail.com</t>
  </si>
  <si>
    <t>2022-07-06T9:36:54 AM GMT</t>
  </si>
  <si>
    <t>Champa  Roy</t>
  </si>
  <si>
    <t>champa8473@gmail.com</t>
  </si>
  <si>
    <t>2022-07-06T9:35:53 AM GMT</t>
  </si>
  <si>
    <t>2022-07-06T9:34:22 AM GMT</t>
  </si>
  <si>
    <t>Ajith V a</t>
  </si>
  <si>
    <t>ajith.v.aravind@gmail.com</t>
  </si>
  <si>
    <t>2022-07-06T9:32:28 AM GMT</t>
  </si>
  <si>
    <t>Dhiraj Indurkar</t>
  </si>
  <si>
    <t>ibdhiraj@rediffmail.com</t>
  </si>
  <si>
    <t>2022-07-06T9:30:08 AM GMT</t>
  </si>
  <si>
    <t>ISA KUWARI</t>
  </si>
  <si>
    <t>isakuwari567@gmail.com</t>
  </si>
  <si>
    <t>2022-07-06T9:28:07 AM GMT</t>
  </si>
  <si>
    <t xml:space="preserve">Saptarshi  Acharya </t>
  </si>
  <si>
    <t>saptarshiacharya1997@gmail.com</t>
  </si>
  <si>
    <t>2022-07-06T9:25:49 AM GMT</t>
  </si>
  <si>
    <t>FURKAAN Nazir</t>
  </si>
  <si>
    <t>s.furkaan29@gmail.com</t>
  </si>
  <si>
    <t>2022-07-06T9:25:45 AM GMT</t>
  </si>
  <si>
    <t>Dhipauk Selvakumar</t>
  </si>
  <si>
    <t>kingdhips@gmail.com</t>
  </si>
  <si>
    <t>2022-07-06T9:25:34 AM GMT</t>
  </si>
  <si>
    <t>ashi Gupta</t>
  </si>
  <si>
    <t>ashigupta3006@gmail.com</t>
  </si>
  <si>
    <t>2022-07-06T9:24:58 AM GMT</t>
  </si>
  <si>
    <t>Satish Salve</t>
  </si>
  <si>
    <t>satishsalve84@gmail.com</t>
  </si>
  <si>
    <t>2022-07-06T9:22:50 AM GMT</t>
  </si>
  <si>
    <t>Vinu p P</t>
  </si>
  <si>
    <t>openmymail.vinu@gmail.com</t>
  </si>
  <si>
    <t>2022-07-06T9:18:40 AM GMT</t>
  </si>
  <si>
    <t>Nikhil Nandala</t>
  </si>
  <si>
    <t>nikhilnandala14@gmail.com</t>
  </si>
  <si>
    <t>2022-07-06T9:18:25 AM GMT</t>
  </si>
  <si>
    <t>2022-07-06T9:17:25 AM GMT</t>
  </si>
  <si>
    <t>Spriha kauldhar</t>
  </si>
  <si>
    <t>sprihakual11@gmail.com</t>
  </si>
  <si>
    <t>2022-07-06T9:15:55 AM GMT</t>
  </si>
  <si>
    <t>Anvesh Reddy</t>
  </si>
  <si>
    <t>anveshreddy.pusapati003@gmail.com</t>
  </si>
  <si>
    <t>2022-07-06T9:15:38 AM GMT</t>
  </si>
  <si>
    <t>Santosh Shetty</t>
  </si>
  <si>
    <t>sanu781@gmail.com</t>
  </si>
  <si>
    <t>2022-07-06T9:15:32 AM GMT</t>
  </si>
  <si>
    <t>Saurabh Negi</t>
  </si>
  <si>
    <t>sauravnegi26@gmail.com</t>
  </si>
  <si>
    <t>2022-07-06T9:15:26 AM GMT</t>
  </si>
  <si>
    <t>Rajni K</t>
  </si>
  <si>
    <t>rbk.yo.022@gmail.com</t>
  </si>
  <si>
    <t>2022-07-06T9:14:48 AM GMT</t>
  </si>
  <si>
    <t>ANKIT  SENGAR</t>
  </si>
  <si>
    <t>ankitsengar2711@gmail.com</t>
  </si>
  <si>
    <t>2022-07-06T9:13:38 AM GMT</t>
  </si>
  <si>
    <t>Sahil Agarwal</t>
  </si>
  <si>
    <t>sahilagarwal0370@gmail.com</t>
  </si>
  <si>
    <t>2022-07-06T9:10:52 AM GMT</t>
  </si>
  <si>
    <t>Rajvir Rajput</t>
  </si>
  <si>
    <t>vrr4010@gmail.com</t>
  </si>
  <si>
    <t>2022-07-06T9:10:40 AM GMT</t>
  </si>
  <si>
    <t>Archit Khandelwal</t>
  </si>
  <si>
    <t>shoptravelbzu@gmail.com</t>
  </si>
  <si>
    <t>2022-07-06T9:09:46 AM GMT</t>
  </si>
  <si>
    <t>Mansi Goyal</t>
  </si>
  <si>
    <t>goelmansi.00@gmail.com</t>
  </si>
  <si>
    <t>2022-07-06T9:09:26 AM GMT</t>
  </si>
  <si>
    <t>Riya Joshi</t>
  </si>
  <si>
    <t>joshiriya814@gmail.com</t>
  </si>
  <si>
    <t>2022-07-06T9:08:09 AM GMT</t>
  </si>
  <si>
    <t>Madan Vr</t>
  </si>
  <si>
    <t>madanvr55@gmail.com</t>
  </si>
  <si>
    <t>2022-07-06T9:07:42 AM GMT</t>
  </si>
  <si>
    <t>2022-07-06T9:06:48 AM GMT</t>
  </si>
  <si>
    <t>Sanjay Negi</t>
  </si>
  <si>
    <t>sanjay.negi12@gmail.com</t>
  </si>
  <si>
    <t>2022-07-06T9:06:47 AM GMT</t>
  </si>
  <si>
    <t>Alfaiz Ali</t>
  </si>
  <si>
    <t>alfaizali6741@gmail.com</t>
  </si>
  <si>
    <t>2022-07-06T9:04:53 AM GMT</t>
  </si>
  <si>
    <t>Randolf L</t>
  </si>
  <si>
    <t>dolfleishangthem@gmail.com</t>
  </si>
  <si>
    <t>2022-07-06T9:02:45 AM GMT</t>
  </si>
  <si>
    <t>Nithin Koundinya</t>
  </si>
  <si>
    <t>nithinkoundinya@gmail.com</t>
  </si>
  <si>
    <t>2022-07-06T9:01:34 AM GMT</t>
  </si>
  <si>
    <t>Akshank Devadiga</t>
  </si>
  <si>
    <t>akshankdevadiga14@gmail.com</t>
  </si>
  <si>
    <t>2022-07-06T9:00:46 AM GMT</t>
  </si>
  <si>
    <t>Bhanu Aswal</t>
  </si>
  <si>
    <t>bhanumusicmania@gmail.com</t>
  </si>
  <si>
    <t>2022-07-06T9:00:30 AM GMT</t>
  </si>
  <si>
    <t>Hariharan Ramakrishnan</t>
  </si>
  <si>
    <t>rshs7700@gmail.com</t>
  </si>
  <si>
    <t>2022-07-06T8:56:06 AM GMT</t>
  </si>
  <si>
    <t>wasim lakha</t>
  </si>
  <si>
    <t>aksawlakha@gmail.com</t>
  </si>
  <si>
    <t>2022-07-06T8:55:17 AM GMT</t>
  </si>
  <si>
    <t>Mharoni Yanthan</t>
  </si>
  <si>
    <t>mharoniyanthan94@gmail.com</t>
  </si>
  <si>
    <t>2022-07-06T8:54:19 AM GMT</t>
  </si>
  <si>
    <t>pratham janwalkar</t>
  </si>
  <si>
    <t>PJANWALKAR61@gmail.com</t>
  </si>
  <si>
    <t>2022-07-06T8:53:31 AM GMT</t>
  </si>
  <si>
    <t>Rajel Budy</t>
  </si>
  <si>
    <t>rajelbuddy@gmail.com</t>
  </si>
  <si>
    <t>2022-07-06T8:53:09 AM GMT</t>
  </si>
  <si>
    <t>2022-07-06T8:52:28 AM GMT</t>
  </si>
  <si>
    <t>Sahil Pathania</t>
  </si>
  <si>
    <t>sahilpathania42@gmail.com</t>
  </si>
  <si>
    <t>2022-07-06T8:50:23 AM GMT</t>
  </si>
  <si>
    <t>Santhosh SY</t>
  </si>
  <si>
    <t>santhoshh.sy123@gmail.com</t>
  </si>
  <si>
    <t>2022-07-06T8:49:59 AM GMT</t>
  </si>
  <si>
    <t>Sankalp Sehgal</t>
  </si>
  <si>
    <t>ssankalp95@gmail.com</t>
  </si>
  <si>
    <t>2022-07-06T8:49:20 AM GMT</t>
  </si>
  <si>
    <t>Sunil MS</t>
  </si>
  <si>
    <t>sunilgandhi78@gmail.com</t>
  </si>
  <si>
    <t>2022-07-06T8:48:18 AM GMT</t>
  </si>
  <si>
    <t>Aman Mishra</t>
  </si>
  <si>
    <t>amanmishra0907@gmail.com</t>
  </si>
  <si>
    <t>2022-07-06T8:47:25 AM GMT</t>
  </si>
  <si>
    <t>VIKRAM Singh</t>
  </si>
  <si>
    <t>bedwalvikram644@gmail.com</t>
  </si>
  <si>
    <t>2022-07-06T8:47:06 AM GMT</t>
  </si>
  <si>
    <t>Venezia Dias</t>
  </si>
  <si>
    <t>venizia_dias@icloud.com</t>
  </si>
  <si>
    <t>2022-07-06T8:46:37 AM GMT</t>
  </si>
  <si>
    <t>Nitish Padial</t>
  </si>
  <si>
    <t>nitishpadial@gmail.com</t>
  </si>
  <si>
    <t>2022-07-06T8:45:58 AM GMT</t>
  </si>
  <si>
    <t>2022-07-06T8:44:03 AM GMT</t>
  </si>
  <si>
    <t>Lokender Singh</t>
  </si>
  <si>
    <t>lokenderkvs@gmail.com</t>
  </si>
  <si>
    <t>2022-07-06T8:42:57 AM GMT</t>
  </si>
  <si>
    <t>Akhil K</t>
  </si>
  <si>
    <t>hitzzumguy@gmail.com</t>
  </si>
  <si>
    <t>2022-07-06T8:42:09 AM GMT</t>
  </si>
  <si>
    <t>Abhinay Kumar</t>
  </si>
  <si>
    <t>abhinayotc@gmail.com</t>
  </si>
  <si>
    <t>2022-07-06T8:41:54 AM GMT</t>
  </si>
  <si>
    <t>Anuj Purohit</t>
  </si>
  <si>
    <t>anujpurohit2079@gmail.com</t>
  </si>
  <si>
    <t>2022-07-06T8:40:20 AM GMT</t>
  </si>
  <si>
    <t>Rajveer Singh</t>
  </si>
  <si>
    <t>rajveer.singhh9080@gmail.com</t>
  </si>
  <si>
    <t>2022-07-06T8:40:19 AM GMT</t>
  </si>
  <si>
    <t>Jaydeep Mallick</t>
  </si>
  <si>
    <t>jdmallik@gmail.com</t>
  </si>
  <si>
    <t>2022-07-06T8:39:28 AM GMT</t>
  </si>
  <si>
    <t>Animesha Pradhan</t>
  </si>
  <si>
    <t>animesh.rinku@gmail.com</t>
  </si>
  <si>
    <t>2022-07-06T8:39:25 AM GMT</t>
  </si>
  <si>
    <t>Priyanshu Rastogi</t>
  </si>
  <si>
    <t>priyanshurastogi494@gmail.com</t>
  </si>
  <si>
    <t>2022-07-06T8:38:59 AM GMT</t>
  </si>
  <si>
    <t>2022-07-06T8:36:29 AM GMT</t>
  </si>
  <si>
    <t>2022-07-06T8:33:00 AM GMT</t>
  </si>
  <si>
    <t>2022-07-06T8:32:59 AM GMT</t>
  </si>
  <si>
    <t>2022-07-06T8:32:16 AM GMT</t>
  </si>
  <si>
    <t>Vishal Saxena</t>
  </si>
  <si>
    <t>vishalsaxena2k22@gmail.com</t>
  </si>
  <si>
    <t>2022-07-06T8:30:42 AM GMT</t>
  </si>
  <si>
    <t>AARYAN GUPTA</t>
  </si>
  <si>
    <t>aaryangupta632@gmail.com</t>
  </si>
  <si>
    <t>2022-07-06T8:30:37 AM GMT</t>
  </si>
  <si>
    <t>Jinnie George</t>
  </si>
  <si>
    <t>jinnie.george11@gmail.com</t>
  </si>
  <si>
    <t>2022-07-06T8:28:33 AM GMT</t>
  </si>
  <si>
    <t>Rukesh Kumar</t>
  </si>
  <si>
    <t>rukeshsingh93@gmail.com</t>
  </si>
  <si>
    <t>2022-07-06T8:26:48 AM GMT</t>
  </si>
  <si>
    <t>Thanu Shree</t>
  </si>
  <si>
    <t>thanu.a.ganesh@gmail.com</t>
  </si>
  <si>
    <t>2022-07-06T8:25:47 AM GMT</t>
  </si>
  <si>
    <t>Afreen Barudgar</t>
  </si>
  <si>
    <t>afreenbarudgar@gmail.com</t>
  </si>
  <si>
    <t>2022-07-06T8:24:12 AM GMT</t>
  </si>
  <si>
    <t>Aditya Salunkhe</t>
  </si>
  <si>
    <t>adityasalunkhe1204@gmail.com</t>
  </si>
  <si>
    <t>2022-07-06T8:23:38 AM GMT</t>
  </si>
  <si>
    <t>Shoib Qazi</t>
  </si>
  <si>
    <t>shoibqazi019@gmail.com</t>
  </si>
  <si>
    <t>2022-07-06T8:22:54 AM GMT</t>
  </si>
  <si>
    <t>Gunjan Deshpande</t>
  </si>
  <si>
    <t>gunjan.deshpande123@gmail.com</t>
  </si>
  <si>
    <t>2022-07-06T8:22:45 AM GMT</t>
  </si>
  <si>
    <t>Balaji N</t>
  </si>
  <si>
    <t>messibalaji2@gmail.com</t>
  </si>
  <si>
    <t>2022-07-06T8:22:23 AM GMT</t>
  </si>
  <si>
    <t>Ramesh Kumar M</t>
  </si>
  <si>
    <t>rameshkmsetty@gmail.com</t>
  </si>
  <si>
    <t>2022-07-06T8:20:52 AM GMT</t>
  </si>
  <si>
    <t>Purab Meghawat</t>
  </si>
  <si>
    <t>purabmeghawat2004@gmail.com</t>
  </si>
  <si>
    <t>2022-07-06T8:18:56 AM GMT</t>
  </si>
  <si>
    <t>Kiran Patil</t>
  </si>
  <si>
    <t>kkpatil.93@gmail.com</t>
  </si>
  <si>
    <t>2022-07-06T8:17:29 AM GMT</t>
  </si>
  <si>
    <t xml:space="preserve">Dhanya  Prakash </t>
  </si>
  <si>
    <t>dhanyaprakash18@gmail.com</t>
  </si>
  <si>
    <t>2022-07-06T8:15:00 AM GMT</t>
  </si>
  <si>
    <t>Harshul Bajaj</t>
  </si>
  <si>
    <t>bajajharshul554@gmail.com</t>
  </si>
  <si>
    <t>2022-07-06T8:14:53 AM GMT</t>
  </si>
  <si>
    <t>SUBHAN SAIT</t>
  </si>
  <si>
    <t>subhansait888@gmail.com</t>
  </si>
  <si>
    <t>2022-07-06T8:14:50 AM GMT</t>
  </si>
  <si>
    <t>Ankit Ruhela</t>
  </si>
  <si>
    <t>jaatprit2001@gmail.com</t>
  </si>
  <si>
    <t>2022-07-06T8:14:32 AM GMT</t>
  </si>
  <si>
    <t>2022-07-06T8:13:54 AM GMT</t>
  </si>
  <si>
    <t>Anil Gowda</t>
  </si>
  <si>
    <t>anilgowdaa746@gmail.com</t>
  </si>
  <si>
    <t>2022-07-06T8:11:29 AM GMT</t>
  </si>
  <si>
    <t>Jainil Patel</t>
  </si>
  <si>
    <t>jainildpatel@icloud.com</t>
  </si>
  <si>
    <t>2022-07-06T8:09:27 AM GMT</t>
  </si>
  <si>
    <t>Shiva Raj</t>
  </si>
  <si>
    <t>shivaraksha2020@gmail.com</t>
  </si>
  <si>
    <t>2022-07-06T8:08:55 AM GMT</t>
  </si>
  <si>
    <t>Abdul  Ahadh</t>
  </si>
  <si>
    <t>abdulahadh011@gmail.com</t>
  </si>
  <si>
    <t>2022-07-06T8:07:43 AM GMT</t>
  </si>
  <si>
    <t>Prince Baisoya</t>
  </si>
  <si>
    <t>pbaisoy111@gmail.com</t>
  </si>
  <si>
    <t>2022-07-06T8:07:32 AM GMT</t>
  </si>
  <si>
    <t>Swarup Dalavi</t>
  </si>
  <si>
    <t>aslam1671atar@gmail.com</t>
  </si>
  <si>
    <t>2022-07-06T8:07:20 AM GMT</t>
  </si>
  <si>
    <t>Annie Gogoi</t>
  </si>
  <si>
    <t>agogoi661@gmail.com</t>
  </si>
  <si>
    <t>2022-07-06T8:07:04 AM GMT</t>
  </si>
  <si>
    <t>Hardik Panchal</t>
  </si>
  <si>
    <t>panchal.hardik71@gmail.com</t>
  </si>
  <si>
    <t>2022-07-06T8:06:08 AM GMT</t>
  </si>
  <si>
    <t>Kv arora</t>
  </si>
  <si>
    <t>arora.kavish32@gmail.com</t>
  </si>
  <si>
    <t>2022-07-06T8:05:28 AM GMT</t>
  </si>
  <si>
    <t>Neelu Arora</t>
  </si>
  <si>
    <t>prathamgungun@gmail.com</t>
  </si>
  <si>
    <t>2022-07-06T8:05:16 AM GMT</t>
  </si>
  <si>
    <t>Lokesh Kumar</t>
  </si>
  <si>
    <t>lokesh243011@gmail.com</t>
  </si>
  <si>
    <t>2022-07-06T8:03:45 AM GMT</t>
  </si>
  <si>
    <t>ravi Kgj</t>
  </si>
  <si>
    <t>ravi.kumar20021994@gmail.com</t>
  </si>
  <si>
    <t>2022-07-06T8:03:29 AM GMT</t>
  </si>
  <si>
    <t>Gurkamal Singh</t>
  </si>
  <si>
    <t>gurkamal.singh1999@gmail.com</t>
  </si>
  <si>
    <t>2022-07-06T8:03:18 AM GMT</t>
  </si>
  <si>
    <t>Tanu Gupta</t>
  </si>
  <si>
    <t>jazzingtanu@gmail.com</t>
  </si>
  <si>
    <t>2022-07-06T8:03:15 AM GMT</t>
  </si>
  <si>
    <t>Devendra  Tyagi</t>
  </si>
  <si>
    <t>2022-07-06T8:03:14 AM GMT</t>
  </si>
  <si>
    <t>PANKAJ THAKUR</t>
  </si>
  <si>
    <t>pankajthakurcavalry@gmail.com</t>
  </si>
  <si>
    <t>2022-07-06T7:58:03 AM GMT</t>
  </si>
  <si>
    <t>Nitesh Reddy</t>
  </si>
  <si>
    <t>pragu99@gmail.com</t>
  </si>
  <si>
    <t>2022-07-06T7:57:56 AM GMT</t>
  </si>
  <si>
    <t>2022-07-06T7:56:26 AM GMT</t>
  </si>
  <si>
    <t>Kavan Gujarathi</t>
  </si>
  <si>
    <t>kavan.gujarathi@gmail.com</t>
  </si>
  <si>
    <t>2022-07-06T7:55:00 AM GMT</t>
  </si>
  <si>
    <t>Vigneshwaran R K</t>
  </si>
  <si>
    <t>vickky145assasins@gmail.com</t>
  </si>
  <si>
    <t>2022-07-06T7:54:02 AM GMT</t>
  </si>
  <si>
    <t>Kanishka Lohia</t>
  </si>
  <si>
    <t>kanishkalohia905@gmail.com</t>
  </si>
  <si>
    <t>2022-07-06T7:51:54 AM GMT</t>
  </si>
  <si>
    <t>Krishna Adhikari</t>
  </si>
  <si>
    <t>krishna.adhi@icloud.com</t>
  </si>
  <si>
    <t>2022-07-06T7:51:47 AM GMT</t>
  </si>
  <si>
    <t>Atsunglir Jamir</t>
  </si>
  <si>
    <t>audiogarage77@gmail.com</t>
  </si>
  <si>
    <t>2022-07-06T7:49:15 AM GMT</t>
  </si>
  <si>
    <t>Aisha Sangma</t>
  </si>
  <si>
    <t>aashusangma@gmail.com</t>
  </si>
  <si>
    <t>2022-07-06T7:46:45 AM GMT</t>
  </si>
  <si>
    <t>Ritesh Salokhe</t>
  </si>
  <si>
    <t>salokheritesh69@gmail.com</t>
  </si>
  <si>
    <t>2022-07-06T7:45:09 AM GMT</t>
  </si>
  <si>
    <t>AJAY Parmar</t>
  </si>
  <si>
    <t>parmarajay653@gmail.com</t>
  </si>
  <si>
    <t>2022-07-06T7:42:14 AM GMT</t>
  </si>
  <si>
    <t>Piyush Patil</t>
  </si>
  <si>
    <t>3334piyushpatil@gmail.com</t>
  </si>
  <si>
    <t>2022-07-06T7:40:33 AM GMT</t>
  </si>
  <si>
    <t>Dharmendra Kumar</t>
  </si>
  <si>
    <t>dharmen.kumar91@gmail.com</t>
  </si>
  <si>
    <t>2022-07-06T7:40:16 AM GMT</t>
  </si>
  <si>
    <t>Sachin Dalal</t>
  </si>
  <si>
    <t>dalalsachin03@gmail.com</t>
  </si>
  <si>
    <t>2022-07-06T7:40:10 AM GMT</t>
  </si>
  <si>
    <t>Rahul Ranjan</t>
  </si>
  <si>
    <t>p.smith.psps90@gmail.com</t>
  </si>
  <si>
    <t>2022-07-06T7:39:30 AM GMT</t>
  </si>
  <si>
    <t>Jeffin Biji</t>
  </si>
  <si>
    <t>jeffinbijithomas@gmail.com</t>
  </si>
  <si>
    <t>2022-07-06T7:39:07 AM GMT</t>
  </si>
  <si>
    <t>Samanth Reddy</t>
  </si>
  <si>
    <t>smanthreddy6666@gmail.com</t>
  </si>
  <si>
    <t>2022-07-06T7:38:03 AM GMT</t>
  </si>
  <si>
    <t>Chandan P</t>
  </si>
  <si>
    <t>chandanp123@gmail.com</t>
  </si>
  <si>
    <t>Rahul B</t>
  </si>
  <si>
    <t>Rahulsarika073@gmail.com</t>
  </si>
  <si>
    <t>2022-07-06T7:37:54 AM GMT</t>
  </si>
  <si>
    <t>Anusha Kr</t>
  </si>
  <si>
    <t>anushakr8546@gmail.com</t>
  </si>
  <si>
    <t>2022-07-06T7:37:47 AM GMT</t>
  </si>
  <si>
    <t>Jatin Jatin</t>
  </si>
  <si>
    <t>jatinkharwal0@gmail.com</t>
  </si>
  <si>
    <t>2022-07-06T7:37:09 AM GMT</t>
  </si>
  <si>
    <t>2022-07-06T7:36:24 AM GMT</t>
  </si>
  <si>
    <t>Vignesh Sadhanandham</t>
  </si>
  <si>
    <t>vigneshsadha281997@gmail.com</t>
  </si>
  <si>
    <t>2022-07-06T7:35:46 AM GMT</t>
  </si>
  <si>
    <t>2022-07-06T7:34:21 AM GMT</t>
  </si>
  <si>
    <t>Rubel  Aktar</t>
  </si>
  <si>
    <t>rubelaktar781352@gmail.com</t>
  </si>
  <si>
    <t>2022-07-06T7:33:41 AM GMT</t>
  </si>
  <si>
    <t>Prajwal RB</t>
  </si>
  <si>
    <t>margretprajwalrb@gmail.com</t>
  </si>
  <si>
    <t>2022-07-06T7:32:36 AM GMT</t>
  </si>
  <si>
    <t>Aakash Umare</t>
  </si>
  <si>
    <t>aakash1795@gmail.com</t>
  </si>
  <si>
    <t>2022-07-06T7:32:12 AM GMT</t>
  </si>
  <si>
    <t>Rugved Bhosale</t>
  </si>
  <si>
    <t>bhosalerugved8060@gmail.com</t>
  </si>
  <si>
    <t>2022-07-06T7:30:48 AM GMT</t>
  </si>
  <si>
    <t>Akshay Pandit</t>
  </si>
  <si>
    <t>akshaypandit9231@gmail.com</t>
  </si>
  <si>
    <t>2022-07-06T7:30:05 AM GMT</t>
  </si>
  <si>
    <t>Patel Aasif</t>
  </si>
  <si>
    <t>pateljubin886@gmail.com</t>
  </si>
  <si>
    <t>2022-07-06T7:29:39 AM GMT</t>
  </si>
  <si>
    <t>Adityaraj Chauhan</t>
  </si>
  <si>
    <t>itsaditya90@gmail.com</t>
  </si>
  <si>
    <t>2022-07-06T7:26:15 AM GMT</t>
  </si>
  <si>
    <t>Hanu Maan</t>
  </si>
  <si>
    <t>maan987@gmail.com</t>
  </si>
  <si>
    <t>2022-07-06T7:25:37 AM GMT</t>
  </si>
  <si>
    <t>Sai Madhav</t>
  </si>
  <si>
    <t>shivasaimadhav@gmail.com</t>
  </si>
  <si>
    <t>2022-07-06T7:23:57 AM GMT</t>
  </si>
  <si>
    <t>Akshay priyam</t>
  </si>
  <si>
    <t>priyamakshay98@gmail.com</t>
  </si>
  <si>
    <t>2022-07-06T7:22:18 AM GMT</t>
  </si>
  <si>
    <t>Harshitha Rajappa</t>
  </si>
  <si>
    <t>harshitha.anu@gmail.com</t>
  </si>
  <si>
    <t>2022-07-06T7:21:21 AM GMT</t>
  </si>
  <si>
    <t>chehak arora</t>
  </si>
  <si>
    <t>chehak.arora111@gmail.com</t>
  </si>
  <si>
    <t>2022-07-06T7:20:22 AM GMT</t>
  </si>
  <si>
    <t>Karthi Santy</t>
  </si>
  <si>
    <t>karthisanty27@gmail.com</t>
  </si>
  <si>
    <t>2022-07-06T7:18:11 AM GMT</t>
  </si>
  <si>
    <t>Tanmay jain</t>
  </si>
  <si>
    <t>tanmayjain263@gmail.com</t>
  </si>
  <si>
    <t>2022-07-06T7:18:06 AM GMT</t>
  </si>
  <si>
    <t>Praveen Bantupalli</t>
  </si>
  <si>
    <t>praveenrebel15@gmail.com</t>
  </si>
  <si>
    <t>2022-07-06T7:17:06 AM GMT</t>
  </si>
  <si>
    <t>simran sim</t>
  </si>
  <si>
    <t>simchoudhary1986@gmail.com</t>
  </si>
  <si>
    <t>2022-07-06T7:16:21 AM GMT</t>
  </si>
  <si>
    <t>Rachit  Verma</t>
  </si>
  <si>
    <t>peelyau@gmail.com</t>
  </si>
  <si>
    <t>2022-07-06T7:14:27 AM GMT</t>
  </si>
  <si>
    <t>Ankur Bharadwaj</t>
  </si>
  <si>
    <t>ankurbharadwaj10@gmail.com</t>
  </si>
  <si>
    <t>2022-07-06T7:14:14 AM GMT</t>
  </si>
  <si>
    <t>Sahajash C</t>
  </si>
  <si>
    <t>sahajash@gmail.com</t>
  </si>
  <si>
    <t>2022-07-06T7:13:13 AM GMT</t>
  </si>
  <si>
    <t>Nirmali Bhuyan</t>
  </si>
  <si>
    <t>nirmalibhuyan2017@gmail.com</t>
  </si>
  <si>
    <t>2022-07-06T7:13:11 AM GMT</t>
  </si>
  <si>
    <t>Medhavan Gupta</t>
  </si>
  <si>
    <t>medhavangupta99@gmail.com</t>
  </si>
  <si>
    <t>2022-07-06T7:12:51 AM GMT</t>
  </si>
  <si>
    <t>Dron Saini</t>
  </si>
  <si>
    <t>dronsaini870@gmail.com</t>
  </si>
  <si>
    <t>2022-07-06T7:11:18 AM GMT</t>
  </si>
  <si>
    <t>Aarti  Aarti</t>
  </si>
  <si>
    <t>ak32@hotmail.com</t>
  </si>
  <si>
    <t>2022-07-06T7:09:49 AM GMT</t>
  </si>
  <si>
    <t>Shriya Sharma</t>
  </si>
  <si>
    <t>sharmashriya798@gmail.com</t>
  </si>
  <si>
    <t>2022-07-06T7:08:22 AM GMT</t>
  </si>
  <si>
    <t>Aditi Shetty</t>
  </si>
  <si>
    <t>aditipshetty.as@gmail.com</t>
  </si>
  <si>
    <t>Toms Joseph</t>
  </si>
  <si>
    <t>tomsjoseph2006@gmail.com</t>
  </si>
  <si>
    <t>2022-07-06T7:08:16 AM GMT</t>
  </si>
  <si>
    <t>sreekar bagam</t>
  </si>
  <si>
    <t>srikar.sweetooo@gmail.com</t>
  </si>
  <si>
    <t>2022-07-06T7:07:47 AM GMT</t>
  </si>
  <si>
    <t>Chetan Patel</t>
  </si>
  <si>
    <t>eshaan237@icloud.com</t>
  </si>
  <si>
    <t>2022-07-06T7:07:18 AM GMT</t>
  </si>
  <si>
    <t>DHARMA LEGHA</t>
  </si>
  <si>
    <t>dharmendralegha803@gmail.com</t>
  </si>
  <si>
    <t>2022-07-06T7:07:17 AM GMT</t>
  </si>
  <si>
    <t>Ajay Shukla</t>
  </si>
  <si>
    <t>samraat.harmoney9988@gmail.com</t>
  </si>
  <si>
    <t>aman1indian@gmail.com</t>
  </si>
  <si>
    <t>2022-07-06T7:06:46 AM GMT</t>
  </si>
  <si>
    <t>Haseeb C</t>
  </si>
  <si>
    <t>c.haseeb07@gmail.com</t>
  </si>
  <si>
    <t>2022-07-06T7:03:38 AM GMT</t>
  </si>
  <si>
    <t>Sunita Prakash</t>
  </si>
  <si>
    <t>armyneeta@gmail.com</t>
  </si>
  <si>
    <t>2022-07-06T7:03:27 AM GMT</t>
  </si>
  <si>
    <t>Dk Sharma</t>
  </si>
  <si>
    <t>nko1265@gmail.com</t>
  </si>
  <si>
    <t>2022-07-06T7:03:02 AM GMT</t>
  </si>
  <si>
    <t>Sayyedbasheer Ahmedh</t>
  </si>
  <si>
    <t>sayyedhinabassi7867@gmail.com</t>
  </si>
  <si>
    <t>2022-07-06T7:02:02 AM GMT</t>
  </si>
  <si>
    <t>Ashish SUTRADHAR</t>
  </si>
  <si>
    <t>ashish.sutradhar@gmail.com</t>
  </si>
  <si>
    <t>2022-07-06T6:59:54 AM GMT</t>
  </si>
  <si>
    <t>Sayyead Rahil</t>
  </si>
  <si>
    <t>sayyeadrahil@gmail.com</t>
  </si>
  <si>
    <t>2022-07-06T6:59:45 AM GMT</t>
  </si>
  <si>
    <t>vinod seervi</t>
  </si>
  <si>
    <t>vinodseervi545@gmail.com</t>
  </si>
  <si>
    <t>2022-07-06T6:57:31 AM GMT</t>
  </si>
  <si>
    <t>Aarav Mittal</t>
  </si>
  <si>
    <t>gauravgupta6018@gmail.com</t>
  </si>
  <si>
    <t>2022-07-06T6:57:14 AM GMT</t>
  </si>
  <si>
    <t>Rahul Bharti</t>
  </si>
  <si>
    <t>rahulbharti1099@gmail.com</t>
  </si>
  <si>
    <t>2022-07-06T6:55:42 AM GMT</t>
  </si>
  <si>
    <t>2022-07-06T6:52:39 AM GMT</t>
  </si>
  <si>
    <t>Varun G</t>
  </si>
  <si>
    <t>vp241254@gmail.com</t>
  </si>
  <si>
    <t>2022-07-06T6:51:11 AM GMT</t>
  </si>
  <si>
    <t>sunnyadk7@gmail.com</t>
  </si>
  <si>
    <t>2022-07-06T6:50:41 AM GMT</t>
  </si>
  <si>
    <t>Abhishek paul</t>
  </si>
  <si>
    <t>abhishekpaul855@gmail.com</t>
  </si>
  <si>
    <t>2022-07-06T6:47:57 AM GMT</t>
  </si>
  <si>
    <t>Angtong Teron</t>
  </si>
  <si>
    <t>teronangtong34@gmail.com</t>
  </si>
  <si>
    <t>2022-07-06T6:47:19 AM GMT</t>
  </si>
  <si>
    <t>Sachin Jain</t>
  </si>
  <si>
    <t>jain.sachin1010@gmail.com</t>
  </si>
  <si>
    <t>2022-07-06T6:47:06 AM GMT</t>
  </si>
  <si>
    <t>Anurag Yadav</t>
  </si>
  <si>
    <t>anuragkr2080@gmail.com</t>
  </si>
  <si>
    <t>2022-07-06T6:46:52 AM GMT</t>
  </si>
  <si>
    <t>Asha Shukla</t>
  </si>
  <si>
    <t>ashampshukla@gmail.com</t>
  </si>
  <si>
    <t>2022-07-06T6:46:51 AM GMT</t>
  </si>
  <si>
    <t>shreeyash mhatre</t>
  </si>
  <si>
    <t>shreeyashmhatre06@gmail.com</t>
  </si>
  <si>
    <t>2022-07-06T6:46:01 AM GMT</t>
  </si>
  <si>
    <t>Ankit Beniwal</t>
  </si>
  <si>
    <t>ankitbeniwalharyana1@gmail.com</t>
  </si>
  <si>
    <t>2022-07-06T6:44:41 AM GMT</t>
  </si>
  <si>
    <t>Vishnu Kumar</t>
  </si>
  <si>
    <t>vishnuuuuuvk@gmail.com</t>
  </si>
  <si>
    <t>2022-07-06T6:39:11 AM GMT</t>
  </si>
  <si>
    <t>Girish V</t>
  </si>
  <si>
    <t>vgirish7998@gamil.com</t>
  </si>
  <si>
    <t>2022-07-06T6:38:59 AM GMT</t>
  </si>
  <si>
    <t>Rachit Chopra</t>
  </si>
  <si>
    <t>choprarachit75@gmail.com</t>
  </si>
  <si>
    <t>2022-07-06T6:38:26 AM GMT</t>
  </si>
  <si>
    <t>Priyanshu Shukla</t>
  </si>
  <si>
    <t>2022-07-06T6:36:05 AM GMT</t>
  </si>
  <si>
    <t>Faiz Pathan</t>
  </si>
  <si>
    <t>faizpathan.pathan@gmail.com</t>
  </si>
  <si>
    <t>2022-07-06T6:35:34 AM GMT</t>
  </si>
  <si>
    <t>Palwinder Chahal</t>
  </si>
  <si>
    <t>inderchahal1618@gmail.com</t>
  </si>
  <si>
    <t>2022-07-06T6:33:03 AM GMT</t>
  </si>
  <si>
    <t>AKILSURYA SIVAKUMAR</t>
  </si>
  <si>
    <t>akilsurya.siva@gmail.com</t>
  </si>
  <si>
    <t>2022-07-06T6:32:44 AM GMT</t>
  </si>
  <si>
    <t>Dina Ravi</t>
  </si>
  <si>
    <t>emaildinaa@gmail.com</t>
  </si>
  <si>
    <t>2022-07-06T6:32:18 AM GMT</t>
  </si>
  <si>
    <t>Shivani Mishra</t>
  </si>
  <si>
    <t>priyanshum424@gmail.com</t>
  </si>
  <si>
    <t>2022-07-06T6:31:33 AM GMT</t>
  </si>
  <si>
    <t>Vanshita Sethi</t>
  </si>
  <si>
    <t>vanshitasethiind@gmail.com</t>
  </si>
  <si>
    <t>2022-07-06T6:29:46 AM GMT</t>
  </si>
  <si>
    <t>LAKSHMIKIRAN CHINTA</t>
  </si>
  <si>
    <t>chinthakiran357@gmail.com</t>
  </si>
  <si>
    <t>2022-07-06T6:25:28 AM GMT</t>
  </si>
  <si>
    <t>Kanishk Joshi</t>
  </si>
  <si>
    <t>kanishkj75@gmail.com</t>
  </si>
  <si>
    <t>2022-07-06T6:22:18 AM GMT</t>
  </si>
  <si>
    <t>yadvendra Sinhg</t>
  </si>
  <si>
    <t>yps.yadvendra@gmail.com</t>
  </si>
  <si>
    <t>2022-07-06T6:22:09 AM GMT</t>
  </si>
  <si>
    <t>2022-07-06T6:21:58 AM GMT</t>
  </si>
  <si>
    <t>Krish Relwani</t>
  </si>
  <si>
    <t>krishrelwani222@gmail.com</t>
  </si>
  <si>
    <t>2022-07-06T6:18:45 AM GMT</t>
  </si>
  <si>
    <t>Shashank Dwivedi</t>
  </si>
  <si>
    <t>shashankdwivedi1357@gmail.com</t>
  </si>
  <si>
    <t>2022-07-06T6:15:40 AM GMT</t>
  </si>
  <si>
    <t>Rajdeep Bardhan</t>
  </si>
  <si>
    <t>raj.khowai123@gmail.com</t>
  </si>
  <si>
    <t>2022-07-06T6:14:28 AM GMT</t>
  </si>
  <si>
    <t>Sreeja Agguwar</t>
  </si>
  <si>
    <t>sreejaagguwar@gamil.com</t>
  </si>
  <si>
    <t>2022-07-06T6:14:04 AM GMT</t>
  </si>
  <si>
    <t>Ashutosh Verma</t>
  </si>
  <si>
    <t>ashutoshverma431@gmail.com</t>
  </si>
  <si>
    <t>2022-07-06T6:14:02 AM GMT</t>
  </si>
  <si>
    <t>Prashant Bhardwaj</t>
  </si>
  <si>
    <t>prashant.rocks16@gmail.com</t>
  </si>
  <si>
    <t>2022-07-06T6:14:01 AM GMT</t>
  </si>
  <si>
    <t>Prithvi Das</t>
  </si>
  <si>
    <t>prithvidas99@outlook.com</t>
  </si>
  <si>
    <t>2022-07-06T6:11:52 AM GMT</t>
  </si>
  <si>
    <t>Chintan Shinde</t>
  </si>
  <si>
    <t>chintandeshmukh545@gmail.com</t>
  </si>
  <si>
    <t>2022-07-06T6:10:49 AM GMT</t>
  </si>
  <si>
    <t>Parth Kesarwani</t>
  </si>
  <si>
    <t>parthkesarwani1628@gmail.com</t>
  </si>
  <si>
    <t>2022-07-06T6:09:14 AM GMT</t>
  </si>
  <si>
    <t>shimmer kalra</t>
  </si>
  <si>
    <t>shimer2002@gmail.com</t>
  </si>
  <si>
    <t>2022-07-06T6:08:40 AM GMT</t>
  </si>
  <si>
    <t>Rajesh Sanasam</t>
  </si>
  <si>
    <t>rajeshsanasam26@gmail.com</t>
  </si>
  <si>
    <t>2022-07-06T6:08:31 AM GMT</t>
  </si>
  <si>
    <t>ABHISHEK BARAK</t>
  </si>
  <si>
    <t>abhibarak999@gmail.com</t>
  </si>
  <si>
    <t>2022-07-06T6:08:20 AM GMT</t>
  </si>
  <si>
    <t>zalak khambholja</t>
  </si>
  <si>
    <t>2022-07-06T6:06:41 AM GMT</t>
  </si>
  <si>
    <t>roshin kumar</t>
  </si>
  <si>
    <t>roshin.kumar@puma.com</t>
  </si>
  <si>
    <t>2022-07-06T6:06:21 AM GMT</t>
  </si>
  <si>
    <t>Sujoy BHAKAT</t>
  </si>
  <si>
    <t>bhakatsujoy32@gmail.com</t>
  </si>
  <si>
    <t>2022-07-06T6:05:34 AM GMT</t>
  </si>
  <si>
    <t>Raju Rai</t>
  </si>
  <si>
    <t>rajurai009@gmail.com</t>
  </si>
  <si>
    <t>2022-07-06T6:05:31 AM GMT</t>
  </si>
  <si>
    <t>Girish D</t>
  </si>
  <si>
    <t>girishdboss8055@gmail.com</t>
  </si>
  <si>
    <t>2022-07-06T6:04:46 AM GMT</t>
  </si>
  <si>
    <t>Anuraguoadhyay55555@gmail.com</t>
  </si>
  <si>
    <t>2022-07-06T6:02:13 AM GMT</t>
  </si>
  <si>
    <t>Prem Jagtap</t>
  </si>
  <si>
    <t>premj2403@gmail.com</t>
  </si>
  <si>
    <t>2022-07-06T5:59:16 AM GMT</t>
  </si>
  <si>
    <t>2022-07-06T5:58:08 AM GMT</t>
  </si>
  <si>
    <t>Mohammed Sahil</t>
  </si>
  <si>
    <t>sahil6mohd2013@gmail.com</t>
  </si>
  <si>
    <t>2022-07-06T5:58:06 AM GMT</t>
  </si>
  <si>
    <t>Pramod Polo</t>
  </si>
  <si>
    <t>pramodpol808@gmail.com</t>
  </si>
  <si>
    <t>2022-07-06T5:57:59 AM GMT</t>
  </si>
  <si>
    <t>Vaibhav Sargar</t>
  </si>
  <si>
    <t>vaibhavsargar288@gmail.com</t>
  </si>
  <si>
    <t>2022-07-06T5:57:38 AM GMT</t>
  </si>
  <si>
    <t xml:space="preserve">Ravinder Kumar  Barsanta </t>
  </si>
  <si>
    <t>ravi80.barsanta@gmail.com</t>
  </si>
  <si>
    <t>2022-07-06T5:56:25 AM GMT</t>
  </si>
  <si>
    <t>divjotsethi@yahoo.com</t>
  </si>
  <si>
    <t>2022-07-06T5:54:40 AM GMT</t>
  </si>
  <si>
    <t>Sunil Nayak</t>
  </si>
  <si>
    <t>sunilnayak3505@gmail.com</t>
  </si>
  <si>
    <t>2022-07-06T5:53:28 AM GMT</t>
  </si>
  <si>
    <t>ARJUN ARJUN</t>
  </si>
  <si>
    <t>FREDNAG51@gmail.com</t>
  </si>
  <si>
    <t>2022-07-06T5:53:09 AM GMT</t>
  </si>
  <si>
    <t>Shival Dakhale</t>
  </si>
  <si>
    <t>shivaldakhale10@gmail.com</t>
  </si>
  <si>
    <t>2022-07-06T5:51:43 AM GMT</t>
  </si>
  <si>
    <t>Viranjan Kumar</t>
  </si>
  <si>
    <t>viranjankumar@gmail.com</t>
  </si>
  <si>
    <t>2022-07-06T5:51:22 AM GMT</t>
  </si>
  <si>
    <t>Hrithik Gowda</t>
  </si>
  <si>
    <t>hrithigowda05@gmail.com</t>
  </si>
  <si>
    <t>2022-07-06T5:51:18 AM GMT</t>
  </si>
  <si>
    <t>Abhinav Shukla</t>
  </si>
  <si>
    <t>shukla93.2013@gmail.com</t>
  </si>
  <si>
    <t>2022-07-06T5:51:03 AM GMT</t>
  </si>
  <si>
    <t>Sachin Soman</t>
  </si>
  <si>
    <t>sachin.soman29@gmail.com</t>
  </si>
  <si>
    <t>2022-07-06T5:50:33 AM GMT</t>
  </si>
  <si>
    <t>Monisha S</t>
  </si>
  <si>
    <t>nallagondapraveen.3@gmail.com</t>
  </si>
  <si>
    <t>2022-07-06T5:50:15 AM GMT</t>
  </si>
  <si>
    <t>2022-07-06T5:49:52 AM GMT</t>
  </si>
  <si>
    <t>rohit dasa</t>
  </si>
  <si>
    <t>Rohitdasard59@gmail.com</t>
  </si>
  <si>
    <t>2022-07-06T5:48:45 AM GMT</t>
  </si>
  <si>
    <t>Shanavas Shereef</t>
  </si>
  <si>
    <t>alizra2014@gmail.com</t>
  </si>
  <si>
    <t>2022-07-06T5:48:13 AM GMT</t>
  </si>
  <si>
    <t>Rahul Raj</t>
  </si>
  <si>
    <t>raj551681@gmail.com</t>
  </si>
  <si>
    <t>2022-07-06T5:46:41 AM GMT</t>
  </si>
  <si>
    <t>Vanya Agarwalla</t>
  </si>
  <si>
    <t>vanyaagarwalla@gmail.com</t>
  </si>
  <si>
    <t>2022-07-06T5:45:18 AM GMT</t>
  </si>
  <si>
    <t>Prashant Bhoir</t>
  </si>
  <si>
    <t>prashantbhoir9792@gmail.com</t>
  </si>
  <si>
    <t>2022-07-06T5:45:03 AM GMT</t>
  </si>
  <si>
    <t>Sabiq Hassan</t>
  </si>
  <si>
    <t>itxsaaki@gmail.com</t>
  </si>
  <si>
    <t>2022-07-06T5:44:59 AM GMT</t>
  </si>
  <si>
    <t>Subhankar Das</t>
  </si>
  <si>
    <t>dassubhankar16619@gmail.com</t>
  </si>
  <si>
    <t>2022-07-06T5:43:13 AM GMT</t>
  </si>
  <si>
    <t>Majhar Ali</t>
  </si>
  <si>
    <t>majaharali75@gmail.com</t>
  </si>
  <si>
    <t>2022-07-06T5:40:21 AM GMT</t>
  </si>
  <si>
    <t>RICHA Jha</t>
  </si>
  <si>
    <t>rjha2213@gmail.com</t>
  </si>
  <si>
    <t>2022-07-06T5:40:10 AM GMT</t>
  </si>
  <si>
    <t>2022-07-06T5:39:18 AM GMT</t>
  </si>
  <si>
    <t>Salman Siddiqui</t>
  </si>
  <si>
    <t>salmansiddiqui2019@icloud.com</t>
  </si>
  <si>
    <t>2022-07-06T5:37:49 AM GMT</t>
  </si>
  <si>
    <t>Deepak D</t>
  </si>
  <si>
    <t>cr7deepak@gmail.com</t>
  </si>
  <si>
    <t>2022-07-06T5:37:19 AM GMT</t>
  </si>
  <si>
    <t>Lovish  Sidana</t>
  </si>
  <si>
    <t>lovishsidana71@gmail.com</t>
  </si>
  <si>
    <t>2022-07-06T5:36:43 AM GMT</t>
  </si>
  <si>
    <t>Gullapalli Avinash</t>
  </si>
  <si>
    <t>avigullapalli@gmail.com</t>
  </si>
  <si>
    <t>2022-07-06T5:36:02 AM GMT</t>
  </si>
  <si>
    <t>Puneet Arya Puneet Arya</t>
  </si>
  <si>
    <t>puneet.arya730@gmail.com</t>
  </si>
  <si>
    <t>2022-07-06T5:34:51 AM GMT</t>
  </si>
  <si>
    <t>Ranu Singh</t>
  </si>
  <si>
    <t>ranughuraiya@gmail.com</t>
  </si>
  <si>
    <t>2022-07-06T5:34:05 AM GMT</t>
  </si>
  <si>
    <t>Gagan Walia</t>
  </si>
  <si>
    <t>gaganwalia412@gmail.com</t>
  </si>
  <si>
    <t>2022-07-06T5:33:19 AM GMT</t>
  </si>
  <si>
    <t>MANISH VAIDYA</t>
  </si>
  <si>
    <t>vaidyamanish28@gamil.com</t>
  </si>
  <si>
    <t>2022-07-06T5:32:23 AM GMT</t>
  </si>
  <si>
    <t>HemSai Ari</t>
  </si>
  <si>
    <t>arihemasai14@gmail.com</t>
  </si>
  <si>
    <t>2022-07-06T5:32:04 AM GMT</t>
  </si>
  <si>
    <t>Nakul Singh</t>
  </si>
  <si>
    <t>nakul2020singh@gmail.com</t>
  </si>
  <si>
    <t>2022-07-06T5:28:31 AM GMT</t>
  </si>
  <si>
    <t>dushyanth Naik</t>
  </si>
  <si>
    <t>dushyanthnaik@gmail.com</t>
  </si>
  <si>
    <t>2022-07-06T5:28:04 AM GMT</t>
  </si>
  <si>
    <t>Ishika Kedia</t>
  </si>
  <si>
    <t>ishika.kedia2015@gmail.com</t>
  </si>
  <si>
    <t>2022-07-06T5:27:35 AM GMT</t>
  </si>
  <si>
    <t>Azhar H</t>
  </si>
  <si>
    <t>azharhm@gmail.com</t>
  </si>
  <si>
    <t>2022-07-06T5:27:23 AM GMT</t>
  </si>
  <si>
    <t>Sabir Khan</t>
  </si>
  <si>
    <t>usedkhan08@gmail.com</t>
  </si>
  <si>
    <t>2022-07-06T5:27:22 AM GMT</t>
  </si>
  <si>
    <t>Neha A</t>
  </si>
  <si>
    <t>nehaashok555@gmail.com</t>
  </si>
  <si>
    <t>2022-07-06T5:26:03 AM GMT</t>
  </si>
  <si>
    <t>Pravallika Veggalam</t>
  </si>
  <si>
    <t>pravallika.veggalam27@gmail.com</t>
  </si>
  <si>
    <t>2022-07-06T5:24:03 AM GMT</t>
  </si>
  <si>
    <t>Vishal Kanwal</t>
  </si>
  <si>
    <t>kanwalvishal9@gmail.com</t>
  </si>
  <si>
    <t>2022-07-06T5:20:10 AM GMT</t>
  </si>
  <si>
    <t>Arvina Verma</t>
  </si>
  <si>
    <t>alankumar855@gmail.com</t>
  </si>
  <si>
    <t>2022-07-06T5:19:55 AM GMT</t>
  </si>
  <si>
    <t>Isha Choudhary</t>
  </si>
  <si>
    <t>ichoudhary7654@gmail.com</t>
  </si>
  <si>
    <t>2022-07-06T5:19:32 AM GMT</t>
  </si>
  <si>
    <t>2022-07-06T5:18:20 AM GMT</t>
  </si>
  <si>
    <t>Rita Chettri</t>
  </si>
  <si>
    <t>ritac4864@gmail.com</t>
  </si>
  <si>
    <t>Shruti Surve</t>
  </si>
  <si>
    <t>shrutisurve341@gmail.com</t>
  </si>
  <si>
    <t>2022-07-06T5:17:59 AM GMT</t>
  </si>
  <si>
    <t>Rakshit Yadav</t>
  </si>
  <si>
    <t>rakshity68@gmail.com</t>
  </si>
  <si>
    <t>2022-07-06T5:17:09 AM GMT</t>
  </si>
  <si>
    <t>Saurav Kumar</t>
  </si>
  <si>
    <t>sauravkrr1993@gmail.com</t>
  </si>
  <si>
    <t>2022-07-06T5:15:02 AM GMT</t>
  </si>
  <si>
    <t>Sharath Mamillapalli</t>
  </si>
  <si>
    <t>venkatmamillapalli3@gmail.com</t>
  </si>
  <si>
    <t>2022-07-06T5:14:06 AM GMT</t>
  </si>
  <si>
    <t>Karan Bhatia</t>
  </si>
  <si>
    <t>rsrobertson0@gmail.com</t>
  </si>
  <si>
    <t>2022-07-06T5:12:08 AM GMT</t>
  </si>
  <si>
    <t>Deep Sharma</t>
  </si>
  <si>
    <t>imdeepmeena@gmail.com</t>
  </si>
  <si>
    <t>2022-07-06T5:11:20 AM GMT</t>
  </si>
  <si>
    <t>SIDHARTH KUKDEJA</t>
  </si>
  <si>
    <t>sidharthkukdeja1@gmail.com</t>
  </si>
  <si>
    <t>2022-07-06T5:10:44 AM GMT</t>
  </si>
  <si>
    <t>Ashish Reddy</t>
  </si>
  <si>
    <t>reddy.ashish41@gnail.com</t>
  </si>
  <si>
    <t>2022-07-06T5:10:14 AM GMT</t>
  </si>
  <si>
    <t>Baneeprajnya Nayak</t>
  </si>
  <si>
    <t>baneeprajnya16@gmail.com</t>
  </si>
  <si>
    <t>2022-07-06T5:09:28 AM GMT</t>
  </si>
  <si>
    <t>VANSH TRIVEDI</t>
  </si>
  <si>
    <t>vansh18122002@gmail.com</t>
  </si>
  <si>
    <t>2022-07-06T5:08:50 AM GMT</t>
  </si>
  <si>
    <t xml:space="preserve">Rilhil Goswami </t>
  </si>
  <si>
    <t>rikhilsharma693@gmail.com</t>
  </si>
  <si>
    <t>2022-07-06T5:04:47 AM GMT</t>
  </si>
  <si>
    <t>Sanjay Isaiah</t>
  </si>
  <si>
    <t>sanjaykumarisaiah@gmail.com</t>
  </si>
  <si>
    <t>2022-07-06T5:04:08 AM GMT</t>
  </si>
  <si>
    <t>kishore kumar</t>
  </si>
  <si>
    <t>ygiriprasath@gmail.com</t>
  </si>
  <si>
    <t>2022-07-06T5:04:06 AM GMT</t>
  </si>
  <si>
    <t>Madhav Vankina</t>
  </si>
  <si>
    <t>vmadhav1805@gmail.com</t>
  </si>
  <si>
    <t>2022-07-06T5:01:19 AM GMT</t>
  </si>
  <si>
    <t>VEDA samhitha</t>
  </si>
  <si>
    <t>vedasrinivas333@gmail.com</t>
  </si>
  <si>
    <t>2022-07-06T4:57:56 AM GMT</t>
  </si>
  <si>
    <t>Riya  Jain</t>
  </si>
  <si>
    <t>riyaj1334@gmail.com</t>
  </si>
  <si>
    <t>2022-07-06T4:56:51 AM GMT</t>
  </si>
  <si>
    <t>Anish  Rv</t>
  </si>
  <si>
    <t>rvanish581@gmail.com</t>
  </si>
  <si>
    <t>2022-07-06T4:55:39 AM GMT</t>
  </si>
  <si>
    <t>Mitesh Dedhia</t>
  </si>
  <si>
    <t>miteshdedhia17@gmail.com</t>
  </si>
  <si>
    <t>2022-07-06T4:52:44 AM GMT</t>
  </si>
  <si>
    <t>Shashwat Kumar</t>
  </si>
  <si>
    <t>dagarshashwat@gmail.com</t>
  </si>
  <si>
    <t>2022-07-06T4:50:02 AM GMT</t>
  </si>
  <si>
    <t>Josbin Thomas</t>
  </si>
  <si>
    <t>thomasgeorge8121@gmail.com</t>
  </si>
  <si>
    <t>2022-07-06T4:49:43 AM GMT</t>
  </si>
  <si>
    <t>ANIKET PAKHALE</t>
  </si>
  <si>
    <t>pakhale.aniket@gmail.com</t>
  </si>
  <si>
    <t>2022-07-06T4:47:55 AM GMT</t>
  </si>
  <si>
    <t>faisal jewellers</t>
  </si>
  <si>
    <t>raveesahmad40@gmail.com</t>
  </si>
  <si>
    <t>2022-07-06T4:46:39 AM GMT</t>
  </si>
  <si>
    <t>Slahudin bhat</t>
  </si>
  <si>
    <t>slahudin3602@gmail.com</t>
  </si>
  <si>
    <t>2022-07-06T4:44:38 AM GMT</t>
  </si>
  <si>
    <t>Yogesh  Singh</t>
  </si>
  <si>
    <t>ys826001@gmail.com</t>
  </si>
  <si>
    <t>2022-07-06T4:44:35 AM GMT</t>
  </si>
  <si>
    <t>Tushar Bhatt</t>
  </si>
  <si>
    <t>tusharbhatt0608@gmail.com</t>
  </si>
  <si>
    <t>2022-07-06T4:43:55 AM GMT</t>
  </si>
  <si>
    <t>Avinash Anirudhan</t>
  </si>
  <si>
    <t>avin9875@gmail.com</t>
  </si>
  <si>
    <t>2022-07-06T4:43:53 AM GMT</t>
  </si>
  <si>
    <t>DEBANANDA Dash</t>
  </si>
  <si>
    <t>debanandadash88@gmail.com</t>
  </si>
  <si>
    <t>2022-07-06T4:43:17 AM GMT</t>
  </si>
  <si>
    <t>Mandar Naik</t>
  </si>
  <si>
    <t>mnaik.2404@gmail.com</t>
  </si>
  <si>
    <t>2022-07-06T4:42:09 AM GMT</t>
  </si>
  <si>
    <t>Uday Shankar</t>
  </si>
  <si>
    <t>udayshankar1552@gmail.com</t>
  </si>
  <si>
    <t>2022-07-06T4:41:08 AM GMT</t>
  </si>
  <si>
    <t>Samiksha Tiwari</t>
  </si>
  <si>
    <t>samiksha.t18@gmail.com</t>
  </si>
  <si>
    <t>2022-07-06T4:40:15 AM GMT</t>
  </si>
  <si>
    <t>Athul Babu</t>
  </si>
  <si>
    <t>athulbabubalastin333@gmail.com</t>
  </si>
  <si>
    <t>2022-07-06T4:35:25 AM GMT</t>
  </si>
  <si>
    <t>Arun Ramesan</t>
  </si>
  <si>
    <t>arun_achuth@tahoo.com</t>
  </si>
  <si>
    <t>2022-07-06T4:33:40 AM GMT</t>
  </si>
  <si>
    <t>Prajwal Vasave</t>
  </si>
  <si>
    <t>prajwalvasave@gmail.com</t>
  </si>
  <si>
    <t>2022-07-06T4:30:02 AM GMT</t>
  </si>
  <si>
    <t>Ankush Gaikwad</t>
  </si>
  <si>
    <t>ankushgaikwad5057@gmail.com</t>
  </si>
  <si>
    <t>2022-07-06T4:29:05 AM GMT</t>
  </si>
  <si>
    <t xml:space="preserve">Kunal  Nagesh </t>
  </si>
  <si>
    <t>kunalnagendra2019@gmail.com</t>
  </si>
  <si>
    <t>2022-07-06T4:23:35 AM GMT</t>
  </si>
  <si>
    <t>Salman Sidiq</t>
  </si>
  <si>
    <t>salmansidiqishere@gmail.com</t>
  </si>
  <si>
    <t>2022-07-06T4:23:12 AM GMT</t>
  </si>
  <si>
    <t>Zen Sunny</t>
  </si>
  <si>
    <t>zensunny5@gmail.com</t>
  </si>
  <si>
    <t>2022-07-06T4:23:01 AM GMT</t>
  </si>
  <si>
    <t>Ravindra DV</t>
  </si>
  <si>
    <t>ravindragopi@gmail.com</t>
  </si>
  <si>
    <t>2022-07-06T4:21:38 AM GMT</t>
  </si>
  <si>
    <t>Nandyyyyy Nandish</t>
  </si>
  <si>
    <t>nandishds85377@gmail.com</t>
  </si>
  <si>
    <t>2022-07-06T4:21:31 AM GMT</t>
  </si>
  <si>
    <t>Prasanna Vemula</t>
  </si>
  <si>
    <t>prasanna4vemula@gmail.com</t>
  </si>
  <si>
    <t>2022-07-06T4:21:24 AM GMT</t>
  </si>
  <si>
    <t>Saikat Adhikary</t>
  </si>
  <si>
    <t>saikat.adhikary498@gmail.com</t>
  </si>
  <si>
    <t>2022-07-06T4:16:32 AM GMT</t>
  </si>
  <si>
    <t>Rohit Sahu</t>
  </si>
  <si>
    <t>Rohitsahu83017@gmail.com</t>
  </si>
  <si>
    <t>2022-07-06T4:15:57 AM GMT</t>
  </si>
  <si>
    <t>Aye  Degio</t>
  </si>
  <si>
    <t>ayedegionana@gmail.com</t>
  </si>
  <si>
    <t>2022-07-06T4:12:05 AM GMT</t>
  </si>
  <si>
    <t>Subrat Sahoo</t>
  </si>
  <si>
    <t>chinukiit77773@gmail.com</t>
  </si>
  <si>
    <t>2022-07-06T4:10:34 AM GMT</t>
  </si>
  <si>
    <t>2022-07-06T4:07:11 AM GMT</t>
  </si>
  <si>
    <t>Jyoti Yadav</t>
  </si>
  <si>
    <t>jy42192@gmail.com</t>
  </si>
  <si>
    <t>2022-07-06T4:06:44 AM GMT</t>
  </si>
  <si>
    <t>Remon Singh</t>
  </si>
  <si>
    <t>nongmaithemremon@gmail.com</t>
  </si>
  <si>
    <t>2022-07-06T4:06:11 AM GMT</t>
  </si>
  <si>
    <t>Varun S</t>
  </si>
  <si>
    <t>varunsangani99@gmail.com</t>
  </si>
  <si>
    <t>2022-07-06T4:04:25 AM GMT</t>
  </si>
  <si>
    <t>Rahul Agarwal</t>
  </si>
  <si>
    <t>sweetrahul97@gmail.com</t>
  </si>
  <si>
    <t>2022-07-06T4:03:25 AM GMT</t>
  </si>
  <si>
    <t>Shekar Laxminarayan</t>
  </si>
  <si>
    <t>shekar.lax@gmail.com</t>
  </si>
  <si>
    <t>2022-07-06T4:00:40 AM GMT</t>
  </si>
  <si>
    <t>Jubi Kalita</t>
  </si>
  <si>
    <t>jubikalita9@gmail.com</t>
  </si>
  <si>
    <t>2022-07-06T4:00:37 AM GMT</t>
  </si>
  <si>
    <t>Meet Patel</t>
  </si>
  <si>
    <t>meetpatel121093@gmail.com</t>
  </si>
  <si>
    <t>2022-07-06T3:59:12 AM GMT</t>
  </si>
  <si>
    <t>Amit Sahu Amit Sahu</t>
  </si>
  <si>
    <t>amitsahu7752042091@gmail.com</t>
  </si>
  <si>
    <t>2022-07-06T3:58:16 AM GMT</t>
  </si>
  <si>
    <t>Shahid Bhat</t>
  </si>
  <si>
    <t>shahidbhat389@gmail.com</t>
  </si>
  <si>
    <t>2022-07-06T3:57:51 AM GMT</t>
  </si>
  <si>
    <t>Vinod Kumar</t>
  </si>
  <si>
    <t>vinodsrworks@gmail.com</t>
  </si>
  <si>
    <t>2022-07-06T3:56:19 AM GMT</t>
  </si>
  <si>
    <t>Vidushi Batra</t>
  </si>
  <si>
    <t>vidushib94@gmail.com</t>
  </si>
  <si>
    <t>2022-07-06T3:56:06 AM GMT</t>
  </si>
  <si>
    <t>Kartik Solabannawar</t>
  </si>
  <si>
    <t>kartik.solabannawar@gmail.com</t>
  </si>
  <si>
    <t>2022-07-06T3:54:28 AM GMT</t>
  </si>
  <si>
    <t>Chitrakshi joshi</t>
  </si>
  <si>
    <t>chitrakshijoshi2002@gmail.com</t>
  </si>
  <si>
    <t>2022-07-06T3:50:41 AM GMT</t>
  </si>
  <si>
    <t>Pankaj Kumar</t>
  </si>
  <si>
    <t>pankajkumarhzb787@gmail.com</t>
  </si>
  <si>
    <t>2022-07-06T3:50:23 AM GMT</t>
  </si>
  <si>
    <t>Sudhanshu Saxena</t>
  </si>
  <si>
    <t>sudhanshu2506@gmail.com</t>
  </si>
  <si>
    <t>2022-07-06T3:47:48 AM GMT</t>
  </si>
  <si>
    <t>Lokesh Waran</t>
  </si>
  <si>
    <t>lokesh6384286794@gmail.com</t>
  </si>
  <si>
    <t>2022-07-06T3:47:03 AM GMT</t>
  </si>
  <si>
    <t>2022-07-06T3:46:46 AM GMT</t>
  </si>
  <si>
    <t>Shanaika Shanavas</t>
  </si>
  <si>
    <t>shanaikashanavas5@gmail.com</t>
  </si>
  <si>
    <t>2022-07-06T3:46:01 AM GMT</t>
  </si>
  <si>
    <t>Sameer Ahmad</t>
  </si>
  <si>
    <t>sameerahmad539@gmail.com</t>
  </si>
  <si>
    <t>2022-07-06T3:40:26 AM GMT</t>
  </si>
  <si>
    <t>Deepak K</t>
  </si>
  <si>
    <t>akdeepak85@gmail.com</t>
  </si>
  <si>
    <t>2022-07-06T3:38:43 AM GMT</t>
  </si>
  <si>
    <t>Sanaya Kodia</t>
  </si>
  <si>
    <t>shanayakodia997@gmail.com</t>
  </si>
  <si>
    <t>2022-07-06T3:37:38 AM GMT</t>
  </si>
  <si>
    <t>Maitreyee Paranjape</t>
  </si>
  <si>
    <t>maitreyeepar12@gmail.com</t>
  </si>
  <si>
    <t>2022-07-06T3:34:25 AM GMT</t>
  </si>
  <si>
    <t>2022-07-06T3:32:14 AM GMT</t>
  </si>
  <si>
    <t xml:space="preserve">Naveen Kumar </t>
  </si>
  <si>
    <t>naveenzack@gmail.com</t>
  </si>
  <si>
    <t>2022-07-06T3:31:45 AM GMT</t>
  </si>
  <si>
    <t>Preeti Jungade</t>
  </si>
  <si>
    <t>preetijungade@gmail.com</t>
  </si>
  <si>
    <t>2022-07-06T3:31:40 AM GMT</t>
  </si>
  <si>
    <t>Vatsalya Agrawal</t>
  </si>
  <si>
    <t>vatsalyagrwl21@gmail.com</t>
  </si>
  <si>
    <t>2022-07-06T3:30:40 AM GMT</t>
  </si>
  <si>
    <t>SUNNY BANG</t>
  </si>
  <si>
    <t>sanibangali896@gmail.com</t>
  </si>
  <si>
    <t>2022-07-06T3:30:30 AM GMT</t>
  </si>
  <si>
    <t>animesh vyas</t>
  </si>
  <si>
    <t>animesh.vyas@puma.com</t>
  </si>
  <si>
    <t>2022-07-06T3:25:51 AM GMT</t>
  </si>
  <si>
    <t>2022-07-06T3:19:45 AM GMT</t>
  </si>
  <si>
    <t>surendra singh</t>
  </si>
  <si>
    <t>surendra.rathore85@gmail.com</t>
  </si>
  <si>
    <t>2022-07-06T3:13:36 AM GMT</t>
  </si>
  <si>
    <t>Chanakya Thopuri</t>
  </si>
  <si>
    <t>chanukya.topuri@gmail.com</t>
  </si>
  <si>
    <t>2022-07-06T3:07:39 AM GMT</t>
  </si>
  <si>
    <t>Mohammad  Saif</t>
  </si>
  <si>
    <t>sword_ali@yahoo.co.in</t>
  </si>
  <si>
    <t>2022-07-06T3:06:43 AM GMT</t>
  </si>
  <si>
    <t>Vyas Narayana</t>
  </si>
  <si>
    <t>vyasmechanical@gmail.com</t>
  </si>
  <si>
    <t>2022-07-06T3:04:24 AM GMT</t>
  </si>
  <si>
    <t>Gopal Yadav</t>
  </si>
  <si>
    <t>gopalyadav6252@gmail.com</t>
  </si>
  <si>
    <t>2022-07-06T3:04:19 AM GMT</t>
  </si>
  <si>
    <t>Sandeep Rajashekaran</t>
  </si>
  <si>
    <t>notsannu@gmail.com</t>
  </si>
  <si>
    <t>2022-07-06T3:03:09 AM GMT</t>
  </si>
  <si>
    <t>Nishu Yadav</t>
  </si>
  <si>
    <t>nishuyadav1109@gmail.com</t>
  </si>
  <si>
    <t>2022-07-06T3:01:31 AM GMT</t>
  </si>
  <si>
    <t xml:space="preserve">Dipa  Singh </t>
  </si>
  <si>
    <t>dipakumari739@gmail.com</t>
  </si>
  <si>
    <t>2022-07-06T2:57:53 AM GMT</t>
  </si>
  <si>
    <t>Ravisagar Utukuri</t>
  </si>
  <si>
    <t>ravisagar11435@gmail.com</t>
  </si>
  <si>
    <t>2022-07-06T2:50:39 AM GMT</t>
  </si>
  <si>
    <t>Mukesh Nayak</t>
  </si>
  <si>
    <t>mukeshkumarn90@gmail.com</t>
  </si>
  <si>
    <t>2022-07-06T2:49:49 AM GMT</t>
  </si>
  <si>
    <t>Tushar Gulia</t>
  </si>
  <si>
    <t>tushargulia007@gmail.com</t>
  </si>
  <si>
    <t>2022-07-06T2:49:26 AM GMT</t>
  </si>
  <si>
    <t>Arya Asthana</t>
  </si>
  <si>
    <t>asthanaraj77@gmail.com</t>
  </si>
  <si>
    <t>2022-07-06T2:47:21 AM GMT</t>
  </si>
  <si>
    <t>Ricky Pradhan</t>
  </si>
  <si>
    <t>rickypradhanucc@gmail.com</t>
  </si>
  <si>
    <t>2022-07-06T2:45:50 AM GMT</t>
  </si>
  <si>
    <t>Raman Prasad</t>
  </si>
  <si>
    <t>ramanrpd@gmail.com</t>
  </si>
  <si>
    <t>2022-07-06T2:41:40 AM GMT</t>
  </si>
  <si>
    <t>Sarath Jaisingh</t>
  </si>
  <si>
    <t>sarathjaisingh@gmail.com</t>
  </si>
  <si>
    <t>2022-07-06T2:38:35 AM GMT</t>
  </si>
  <si>
    <t>Tridip Bose</t>
  </si>
  <si>
    <t>tridipbose9@gmail.com</t>
  </si>
  <si>
    <t>2022-07-06T2:36:59 AM GMT</t>
  </si>
  <si>
    <t>Baipaneni Vamsi</t>
  </si>
  <si>
    <t>srivamsi.baipaneni@gmail.com</t>
  </si>
  <si>
    <t>2022-07-06T2:29:19 AM GMT</t>
  </si>
  <si>
    <t>Sagar Khanal</t>
  </si>
  <si>
    <t>sagarkhanal211@gmail.com</t>
  </si>
  <si>
    <t>2022-07-06T2:27:37 AM GMT</t>
  </si>
  <si>
    <t>meghendra Meghendra</t>
  </si>
  <si>
    <t>meghendrabb@gmail.com</t>
  </si>
  <si>
    <t>2022-07-06T2:26:39 AM GMT</t>
  </si>
  <si>
    <t>Jayakrishnan Pm</t>
  </si>
  <si>
    <t>jayakrishnanpm92@gmail.com</t>
  </si>
  <si>
    <t>2022-07-06T2:20:42 AM GMT</t>
  </si>
  <si>
    <t>ANDREW GAJMER</t>
  </si>
  <si>
    <t>andrewgajmer20460@gmail.com</t>
  </si>
  <si>
    <t>2022-07-06T2:15:12 AM GMT</t>
  </si>
  <si>
    <t>Hariharan B</t>
  </si>
  <si>
    <t>hariharanbabuv228@gmail.com</t>
  </si>
  <si>
    <t>2022-07-06T2:11:30 AM GMT</t>
  </si>
  <si>
    <t>2022-07-06T2:10:47 AM GMT</t>
  </si>
  <si>
    <t>KISHAN CHOUDHARY</t>
  </si>
  <si>
    <t>kishanchoudhary1121@gmail.com</t>
  </si>
  <si>
    <t>2022-07-06T2:09:30 AM GMT</t>
  </si>
  <si>
    <t>Abhishek Arcot</t>
  </si>
  <si>
    <t>arcotabhishek@gmail.com</t>
  </si>
  <si>
    <t>2022-07-06T2:08:21 AM GMT</t>
  </si>
  <si>
    <t>arpit agarwal</t>
  </si>
  <si>
    <t>arpit_agarwal123@hotmail.com</t>
  </si>
  <si>
    <t>2022-07-06T2:08:07 AM GMT</t>
  </si>
  <si>
    <t>Hokhevi Zhimomi</t>
  </si>
  <si>
    <t>hokhevi.zhimomi@puma.com</t>
  </si>
  <si>
    <t>2022-07-06T1:58:06 AM GMT</t>
  </si>
  <si>
    <t>SHABBIR Khan</t>
  </si>
  <si>
    <t>Shabbirak16@gmail.com</t>
  </si>
  <si>
    <t>2022-07-06T1:55:15 AM GMT</t>
  </si>
  <si>
    <t>Mohd Farmaan</t>
  </si>
  <si>
    <t>samsuzanne32@gmail.com</t>
  </si>
  <si>
    <t>2022-07-06T1:46:10 AM GMT</t>
  </si>
  <si>
    <t xml:space="preserve">Vikas Saini </t>
  </si>
  <si>
    <t>vikusaini8295@gmail.com</t>
  </si>
  <si>
    <t>2022-07-06T1:33:06 AM GMT</t>
  </si>
  <si>
    <t>Anup Dey</t>
  </si>
  <si>
    <t>ad25972@gmail.com</t>
  </si>
  <si>
    <t>2022-07-06T1:26:49 AM GMT</t>
  </si>
  <si>
    <t>KSHITIJ SINGH</t>
  </si>
  <si>
    <t>kshitijsinghrp@gmail.com</t>
  </si>
  <si>
    <t>2022-07-06T1:24:18 AM GMT</t>
  </si>
  <si>
    <t>Adityaroshan Mohanty</t>
  </si>
  <si>
    <t>adityaroshanmohanty@gmail.com</t>
  </si>
  <si>
    <t>2022-07-06T1:20:21 AM GMT</t>
  </si>
  <si>
    <t>Sujin John</t>
  </si>
  <si>
    <t>sujin1973@gmail.com</t>
  </si>
  <si>
    <t>2022-07-06T1:17:21 AM GMT</t>
  </si>
  <si>
    <t>Ishan  Sharma</t>
  </si>
  <si>
    <t>ishan.6@icloud.com</t>
  </si>
  <si>
    <t>2022-07-06T1:15:49 AM GMT</t>
  </si>
  <si>
    <t>Saswat Kara</t>
  </si>
  <si>
    <t>samrtsaswat@gmail.com</t>
  </si>
  <si>
    <t>2022-07-06T1:13:47 AM GMT</t>
  </si>
  <si>
    <t>Sunil Reddy</t>
  </si>
  <si>
    <t>prajwalbaradhya079@gmail.com</t>
  </si>
  <si>
    <t>2022-07-06T1:07:38 AM GMT</t>
  </si>
  <si>
    <t>alrejaanmol4@gmail.com</t>
  </si>
  <si>
    <t>2022-07-06T12:58:11 AM GMT</t>
  </si>
  <si>
    <t>Sanyukta J</t>
  </si>
  <si>
    <t>sanyuktajawale@gmail.com</t>
  </si>
  <si>
    <t>2022-07-06T12:55:25 AM GMT</t>
  </si>
  <si>
    <t>2022-07-06T12:51:44 AM GMT</t>
  </si>
  <si>
    <t>Anoop  Menon</t>
  </si>
  <si>
    <t>menonzz12@gmail.com</t>
  </si>
  <si>
    <t>2022-07-06T12:49:55 AM GMT</t>
  </si>
  <si>
    <t>Uma Vijay</t>
  </si>
  <si>
    <t>umamakesh.gold@gmail.com</t>
  </si>
  <si>
    <t>2022-07-06T12:49:38 AM GMT</t>
  </si>
  <si>
    <t>Harish Narayan</t>
  </si>
  <si>
    <t>puja7f@gmail.com</t>
  </si>
  <si>
    <t>2022-07-06T12:48:44 AM GMT</t>
  </si>
  <si>
    <t>Sayan Das</t>
  </si>
  <si>
    <t>imsayan@gmail.com</t>
  </si>
  <si>
    <t>2022-07-06T12:44:51 AM GMT</t>
  </si>
  <si>
    <t>Zishaan Khan</t>
  </si>
  <si>
    <t>shank4955@gmail.com</t>
  </si>
  <si>
    <t>2022-07-06T12:32:35 AM GMT</t>
  </si>
  <si>
    <t>Vika Zhimo</t>
  </si>
  <si>
    <t>vikazhimo02@gmail.com</t>
  </si>
  <si>
    <t>2022-07-06T12:30:33 AM GMT</t>
  </si>
  <si>
    <t>PUSHPALATHA SHETTY PUSHPALATHA SHETTY</t>
  </si>
  <si>
    <t>pushpalathashetty2017@gmail.com</t>
  </si>
  <si>
    <t>2022-07-06T12:27:06 AM GMT</t>
  </si>
  <si>
    <t>Akshay Kale</t>
  </si>
  <si>
    <t>akshayjk401@gmail.com</t>
  </si>
  <si>
    <t>2022-07-05T11:51:54 PM GMT</t>
  </si>
  <si>
    <t>Dorjee Khou</t>
  </si>
  <si>
    <t>geshneymar@gmail.com</t>
  </si>
  <si>
    <t>2022-07-05T11:48:08 PM GMT</t>
  </si>
  <si>
    <t>2022-07-05T11:46:51 PM GMT</t>
  </si>
  <si>
    <t>Waleed Nabi</t>
  </si>
  <si>
    <t>waleednabi7@gmail.com</t>
  </si>
  <si>
    <t>2022-07-05T11:43:11 PM GMT</t>
  </si>
  <si>
    <t>Anees Khan</t>
  </si>
  <si>
    <t>aneees.khan11@gmail.com</t>
  </si>
  <si>
    <t>2022-07-05T11:42:28 PM GMT</t>
  </si>
  <si>
    <t>pankaj.prj01@gmail.com</t>
  </si>
  <si>
    <t>2022-07-05T11:31:38 PM GMT</t>
  </si>
  <si>
    <t>2022-07-05T11:29:28 PM GMT</t>
  </si>
  <si>
    <t>Royan Joseph</t>
  </si>
  <si>
    <t>royanpatrick0@gmail.com</t>
  </si>
  <si>
    <t>2022-07-05T11:24:15 PM GMT</t>
  </si>
  <si>
    <t>Sridip Ghosh</t>
  </si>
  <si>
    <t>hp.sridip@yahoo.com</t>
  </si>
  <si>
    <t>2022-07-05T11:20:57 PM GMT</t>
  </si>
  <si>
    <t>Tanveer Tanveer</t>
  </si>
  <si>
    <t>ttanveerkumar@gmail.com</t>
  </si>
  <si>
    <t>2022-07-05T11:18:43 PM GMT</t>
  </si>
  <si>
    <t>Akshay Rakheja</t>
  </si>
  <si>
    <t>akshayrakheja86@gmail.com</t>
  </si>
  <si>
    <t>2022-07-05T10:55:44 PM GMT</t>
  </si>
  <si>
    <t>Ajmal Abdul</t>
  </si>
  <si>
    <t>ajmalkumbla786@gmail.com</t>
  </si>
  <si>
    <t>2022-07-05T10:48:58 PM GMT</t>
  </si>
  <si>
    <t>Bhumi Bhanushali</t>
  </si>
  <si>
    <t>bhumizzz18@gmail.com</t>
  </si>
  <si>
    <t>2022-07-05T10:43:44 PM GMT</t>
  </si>
  <si>
    <t>Shashi Kumar</t>
  </si>
  <si>
    <t>shashi960897@gmail.com</t>
  </si>
  <si>
    <t>2022-07-05T10:39:37 PM GMT</t>
  </si>
  <si>
    <t>Shubham Ladiwala</t>
  </si>
  <si>
    <t>agarwal.shubham41@gmail.com</t>
  </si>
  <si>
    <t>2022-07-05T10:34:52 PM GMT</t>
  </si>
  <si>
    <t>Abdul Azeez</t>
  </si>
  <si>
    <t>abdulazizar@gmail.com</t>
  </si>
  <si>
    <t>2022-07-05T10:25:46 PM GMT</t>
  </si>
  <si>
    <t>Ilyas Ahmed</t>
  </si>
  <si>
    <t>ilyasahmed879@gmail.com</t>
  </si>
  <si>
    <t>2022-07-05T10:13:40 PM GMT</t>
  </si>
  <si>
    <t>Milind Chaudhary</t>
  </si>
  <si>
    <t>chaudhary_762@ymail.com</t>
  </si>
  <si>
    <t>2022-07-05T9:53:59 PM GMT</t>
  </si>
  <si>
    <t>2022-07-05T9:53:39 PM GMT</t>
  </si>
  <si>
    <t>Manish Thakran</t>
  </si>
  <si>
    <t>manishthakran900@gmail.com</t>
  </si>
  <si>
    <t>2022-07-05T9:46:29 PM GMT</t>
  </si>
  <si>
    <t>Mohd Faizan</t>
  </si>
  <si>
    <t>fajjusheikhfajju@gmail.com</t>
  </si>
  <si>
    <t>2022-07-05T9:40:12 PM GMT</t>
  </si>
  <si>
    <t>Nived krishnan</t>
  </si>
  <si>
    <t>nived90741@gmail.com</t>
  </si>
  <si>
    <t>2022-07-05T9:38:43 PM GMT</t>
  </si>
  <si>
    <t>Razique Ansari</t>
  </si>
  <si>
    <t>ra8897@gmail.com</t>
  </si>
  <si>
    <t>2022-07-05T9:33:25 PM GMT</t>
  </si>
  <si>
    <t>Triptdeep Singh</t>
  </si>
  <si>
    <t>triptdeeps@gmail.com</t>
  </si>
  <si>
    <t>2022-07-05T9:32:40 PM GMT</t>
  </si>
  <si>
    <t>Tenga tumainiel</t>
  </si>
  <si>
    <t>ttumainiel@gmail.com</t>
  </si>
  <si>
    <t>2022-07-05T9:16:36 PM GMT</t>
  </si>
  <si>
    <t>Abhijit Mandal</t>
  </si>
  <si>
    <t>abhijit.mandal@puma.com</t>
  </si>
  <si>
    <t>2022-07-05T9:16:33 PM GMT</t>
  </si>
  <si>
    <t>Habeeb Yousaf</t>
  </si>
  <si>
    <t>habeebhabeebyousaf@gmail.com</t>
  </si>
  <si>
    <t>2022-07-05T9:16:25 PM GMT</t>
  </si>
  <si>
    <t>NAOROZ KHAN</t>
  </si>
  <si>
    <t>naorozkhan1234@gmail.com</t>
  </si>
  <si>
    <t>2022-07-05T9:15:48 PM GMT</t>
  </si>
  <si>
    <t>Raj Patel</t>
  </si>
  <si>
    <t>rickspatel3333@gmail.com</t>
  </si>
  <si>
    <t>2022-07-05T9:13:36 PM GMT</t>
  </si>
  <si>
    <t>Khulakpam  Nawaz</t>
  </si>
  <si>
    <t>nawazkhulakcha3@gmail.com</t>
  </si>
  <si>
    <t>2022-07-05T9:12:34 PM GMT</t>
  </si>
  <si>
    <t>2022-07-05T9:08:31 PM GMT</t>
  </si>
  <si>
    <t>Gnanasekaran Sivapandian</t>
  </si>
  <si>
    <t>gshekar.03@gmail.com</t>
  </si>
  <si>
    <t>2022-07-05T9:01:52 PM GMT</t>
  </si>
  <si>
    <t>Sanbarta Gupta</t>
  </si>
  <si>
    <t>sanbartagupta5088@gmail.com</t>
  </si>
  <si>
    <t>2022-07-05T8:54:52 PM GMT</t>
  </si>
  <si>
    <t>Partha Das</t>
  </si>
  <si>
    <t>psdas21@gmail.com</t>
  </si>
  <si>
    <t>2022-07-05T8:45:15 PM GMT</t>
  </si>
  <si>
    <t>Sourabh Rajora</t>
  </si>
  <si>
    <t>srsourabh1991@gmail.com</t>
  </si>
  <si>
    <t>2022-07-05T8:45:03 PM GMT</t>
  </si>
  <si>
    <t>Anjali Tripathi</t>
  </si>
  <si>
    <t>anjali162891@gmail.com</t>
  </si>
  <si>
    <t>2022-07-05T8:41:35 PM GMT</t>
  </si>
  <si>
    <t>Shahil Khambhayta</t>
  </si>
  <si>
    <t>shahil.khambhayta815@gmail.com</t>
  </si>
  <si>
    <t>2022-07-05T8:34:56 PM GMT</t>
  </si>
  <si>
    <t>Rohit Jaiswal</t>
  </si>
  <si>
    <t>rohitjaiswal495@gmail.com</t>
  </si>
  <si>
    <t>2022-07-05T8:34:01 PM GMT</t>
  </si>
  <si>
    <t>Aarti Sahani</t>
  </si>
  <si>
    <t>aartisahani7712@gmail.com</t>
  </si>
  <si>
    <t>2022-07-05T8:33:57 PM GMT</t>
  </si>
  <si>
    <t>Muskan anand</t>
  </si>
  <si>
    <t>anand.muskan30@gmail.com</t>
  </si>
  <si>
    <t>2022-07-05T8:29:08 PM GMT</t>
  </si>
  <si>
    <t>JAGDEEP SINGH</t>
  </si>
  <si>
    <t>jagi7764@gmail.com</t>
  </si>
  <si>
    <t>2022-07-05T8:27:40 PM GMT</t>
  </si>
  <si>
    <t>Muskan Kalra</t>
  </si>
  <si>
    <t>muskankalra2624@gmail.com</t>
  </si>
  <si>
    <t>2022-07-05T8:26:55 PM GMT</t>
  </si>
  <si>
    <t>Bhanu Rajawat</t>
  </si>
  <si>
    <t>rajawatb777@gmail.com</t>
  </si>
  <si>
    <t>2022-07-05T8:21:45 PM GMT</t>
  </si>
  <si>
    <t>Neel Mavale</t>
  </si>
  <si>
    <t>neelmavale246@gmail.com</t>
  </si>
  <si>
    <t>2022-07-05T8:21:25 PM GMT</t>
  </si>
  <si>
    <t>Nihal Km</t>
  </si>
  <si>
    <t>nihal.km11@gmail.com</t>
  </si>
  <si>
    <t>2022-07-05T8:19:17 PM GMT</t>
  </si>
  <si>
    <t>Shalaka Tarare</t>
  </si>
  <si>
    <t>shalakatarare2140@gmail.com</t>
  </si>
  <si>
    <t>2022-07-05T8:17:57 PM GMT</t>
  </si>
  <si>
    <t>Deepraj Govenkar</t>
  </si>
  <si>
    <t>Deepzgovofficial@gmail.com</t>
  </si>
  <si>
    <t>2022-07-05T8:17:08 PM GMT</t>
  </si>
  <si>
    <t>Farhan Ansari</t>
  </si>
  <si>
    <t>Samnakamura111@gmail.com</t>
  </si>
  <si>
    <t>2022-07-05T8:15:29 PM GMT</t>
  </si>
  <si>
    <t>amanilkr@gmail.com</t>
  </si>
  <si>
    <t>2022-07-05T8:15:26 PM GMT</t>
  </si>
  <si>
    <t>Jaya narang</t>
  </si>
  <si>
    <t>narang.jaya@gmail.com</t>
  </si>
  <si>
    <t>2022-07-05T8:13:37 PM GMT</t>
  </si>
  <si>
    <t>Shovan Hazra</t>
  </si>
  <si>
    <t>shovan.hazra77@gmail.com</t>
  </si>
  <si>
    <t>2022-07-05T8:13:34 PM GMT</t>
  </si>
  <si>
    <t>Subhendu Mondal</t>
  </si>
  <si>
    <t>subhendumondal654@gmail.com</t>
  </si>
  <si>
    <t>2022-07-05T8:11:33 PM GMT</t>
  </si>
  <si>
    <t>Ritik Gehani</t>
  </si>
  <si>
    <t>ritikgehani51@gmail.com</t>
  </si>
  <si>
    <t>2022-07-05T8:07:23 PM GMT</t>
  </si>
  <si>
    <t>Naveen Nagar</t>
  </si>
  <si>
    <t>navinnagar1111@email.com</t>
  </si>
  <si>
    <t>2022-07-05T8:07:21 PM GMT</t>
  </si>
  <si>
    <t>Ramees Ali</t>
  </si>
  <si>
    <t>alyramiz@live.com</t>
  </si>
  <si>
    <t>2022-07-05T8:07:05 PM GMT</t>
  </si>
  <si>
    <t>Kunal Singh  Singh</t>
  </si>
  <si>
    <t>kunals4444.KS@gmail.com</t>
  </si>
  <si>
    <t>2022-07-05T8:06:14 PM GMT</t>
  </si>
  <si>
    <t>Vishal Anand</t>
  </si>
  <si>
    <t>vanand0907@gmail.com</t>
  </si>
  <si>
    <t>2022-07-05T8:04:14 PM GMT</t>
  </si>
  <si>
    <t>Rajneesh Yadav</t>
  </si>
  <si>
    <t>rajneeshrao55@gmail.com</t>
  </si>
  <si>
    <t>2022-07-05T8:03:16 PM GMT</t>
  </si>
  <si>
    <t>Sagar Arora</t>
  </si>
  <si>
    <t>sagar.casino@gmail.com</t>
  </si>
  <si>
    <t>2022-07-05T8:01:21 PM GMT</t>
  </si>
  <si>
    <t>Shivam Gupta</t>
  </si>
  <si>
    <t>shivamjhs1555@gmail.com</t>
  </si>
  <si>
    <t>2022-07-05T7:59:12 PM GMT</t>
  </si>
  <si>
    <t>Shashank S</t>
  </si>
  <si>
    <t>shashankshankar1994@gmail.com</t>
  </si>
  <si>
    <t>2022-07-05T7:57:49 PM GMT</t>
  </si>
  <si>
    <t>Asmita Pansare</t>
  </si>
  <si>
    <t>asmitapansare0810@gmail.com</t>
  </si>
  <si>
    <t>2022-07-05T7:56:24 PM GMT</t>
  </si>
  <si>
    <t>AbdulAhad Zarodarwala</t>
  </si>
  <si>
    <t>abdulahad2012@icloud.com</t>
  </si>
  <si>
    <t>2022-07-05T7:56:19 PM GMT</t>
  </si>
  <si>
    <t>Aftab Alam</t>
  </si>
  <si>
    <t>2022-07-05T7:49:46 PM GMT</t>
  </si>
  <si>
    <t>Aryan Nishad</t>
  </si>
  <si>
    <t>aryannishad2121@gmail.com</t>
  </si>
  <si>
    <t>2022-07-05T7:46:27 PM GMT</t>
  </si>
  <si>
    <t>Yambem Jack</t>
  </si>
  <si>
    <t>jackyambem2@gmail.com</t>
  </si>
  <si>
    <t>2022-07-05T7:46:07 PM GMT</t>
  </si>
  <si>
    <t xml:space="preserve">Mayur  Ode </t>
  </si>
  <si>
    <t>mayurode1620@gmail.com</t>
  </si>
  <si>
    <t>2022-07-05T7:45:41 PM GMT</t>
  </si>
  <si>
    <t>Sampark Gupta</t>
  </si>
  <si>
    <t>samparkgupta55@gmail.com</t>
  </si>
  <si>
    <t>2022-07-05T7:43:44 PM GMT</t>
  </si>
  <si>
    <t>Nishtha Tiwari</t>
  </si>
  <si>
    <t>sng.nishthatiwari@gmail.com</t>
  </si>
  <si>
    <t>2022-07-05T7:42:50 PM GMT</t>
  </si>
  <si>
    <t>yuvrajsinh Jadeja</t>
  </si>
  <si>
    <t>yjadeja@gamil.com</t>
  </si>
  <si>
    <t>2022-07-05T7:41:25 PM GMT</t>
  </si>
  <si>
    <t>sanjaykumargkv@gmail.com</t>
  </si>
  <si>
    <t>2022-07-05T7:38:00 PM GMT</t>
  </si>
  <si>
    <t>Prajot Satardekar</t>
  </si>
  <si>
    <t>satardekarprajot07@gmail.com</t>
  </si>
  <si>
    <t>2022-07-05T7:36:15 PM GMT</t>
  </si>
  <si>
    <t>Rishu Singh</t>
  </si>
  <si>
    <t>info@dauqu.com</t>
  </si>
  <si>
    <t>2022-07-05T7:36:01 PM GMT</t>
  </si>
  <si>
    <t>Manisha Singh</t>
  </si>
  <si>
    <t>manisinghmanu09@gmail.com</t>
  </si>
  <si>
    <t>2022-07-05T7:35:06 PM GMT</t>
  </si>
  <si>
    <t>Lovepreet Singh</t>
  </si>
  <si>
    <t>70021preet@gmail.com</t>
  </si>
  <si>
    <t>2022-07-05T7:29:25 PM GMT</t>
  </si>
  <si>
    <t>Harshavardhan Reddy</t>
  </si>
  <si>
    <t>harshavardhan18081@gmail.com</t>
  </si>
  <si>
    <t>2022-07-05T7:28:53 PM GMT</t>
  </si>
  <si>
    <t>Deepan CV</t>
  </si>
  <si>
    <t>deepanchakravrthy@gmail.com</t>
  </si>
  <si>
    <t>Natraj P</t>
  </si>
  <si>
    <t>aliwantisu@gmail.com</t>
  </si>
  <si>
    <t>2022-07-05T7:26:26 PM GMT</t>
  </si>
  <si>
    <t>Disha Jain</t>
  </si>
  <si>
    <t>dishajain7354@gmail.com</t>
  </si>
  <si>
    <t>2022-07-05T7:26:11 PM GMT</t>
  </si>
  <si>
    <t>Jay Bhandari</t>
  </si>
  <si>
    <t>jaybhandari252@gmail.com</t>
  </si>
  <si>
    <t>2022-07-05T7:25:11 PM GMT</t>
  </si>
  <si>
    <t>Suman  Patel</t>
  </si>
  <si>
    <t>sumanrajani007@gmail.com</t>
  </si>
  <si>
    <t>2022-07-05T7:21:52 PM GMT</t>
  </si>
  <si>
    <t>Deepanjoy Sarkar</t>
  </si>
  <si>
    <t>deepanjoysarkar804@gmail.com</t>
  </si>
  <si>
    <t>2022-07-05T7:21:25 PM GMT</t>
  </si>
  <si>
    <t>Gagan Shetty</t>
  </si>
  <si>
    <t>shetty99gagan@gmail.com</t>
  </si>
  <si>
    <t>2022-07-05T7:20:47 PM GMT</t>
  </si>
  <si>
    <t>Babita Meinam</t>
  </si>
  <si>
    <t>babitamb491@gmail.com</t>
  </si>
  <si>
    <t>2022-07-05T7:19:22 PM GMT</t>
  </si>
  <si>
    <t>Agrodeep Choudhury</t>
  </si>
  <si>
    <t>aparnachoudhury386@gmail.com</t>
  </si>
  <si>
    <t>2022-07-05T7:18:57 PM GMT</t>
  </si>
  <si>
    <t>Aman Sharma</t>
  </si>
  <si>
    <t>sharmaaman896@gmail.com</t>
  </si>
  <si>
    <t>Shivani Padale</t>
  </si>
  <si>
    <t>shivanipadale24@gmail.com</t>
  </si>
  <si>
    <t>2022-07-05T7:17:48 PM GMT</t>
  </si>
  <si>
    <t>Vrunal Shitre</t>
  </si>
  <si>
    <t>vrunalshitre@gmail.com</t>
  </si>
  <si>
    <t>2022-07-05T7:16:32 PM GMT</t>
  </si>
  <si>
    <t>Chiranjeevi Lr</t>
  </si>
  <si>
    <t>chirunaik3045@gmail.com</t>
  </si>
  <si>
    <t>2022-07-05T7:16:19 PM GMT</t>
  </si>
  <si>
    <t>Jaya  Chandiran</t>
  </si>
  <si>
    <t>ptjaya374@gmail.com</t>
  </si>
  <si>
    <t>2022-07-05T7:16:17 PM GMT</t>
  </si>
  <si>
    <t>Margaret  Noi</t>
  </si>
  <si>
    <t>margaret.laltlansai@gmail.com</t>
  </si>
  <si>
    <t>2022-07-05T7:15:56 PM GMT</t>
  </si>
  <si>
    <t>Karma Kazi</t>
  </si>
  <si>
    <t>kazibhaila@gmail.com</t>
  </si>
  <si>
    <t>2022-07-05T7:15:35 PM GMT</t>
  </si>
  <si>
    <t>Rupesh Khare</t>
  </si>
  <si>
    <t>rupeshkhare20@gmail.com</t>
  </si>
  <si>
    <t>2022-07-05T7:14:14 PM GMT</t>
  </si>
  <si>
    <t>kameshwar Gahalot</t>
  </si>
  <si>
    <t>kameshwargahalot@gmail.com</t>
  </si>
  <si>
    <t>2022-07-05T7:14:12 PM GMT</t>
  </si>
  <si>
    <t xml:space="preserve">Chaitali  Doshi </t>
  </si>
  <si>
    <t>chait4567@gmail.com</t>
  </si>
  <si>
    <t>2022-07-05T7:14:04 PM GMT</t>
  </si>
  <si>
    <t>Ullas K</t>
  </si>
  <si>
    <t>ullaskgowda999@gmail.com</t>
  </si>
  <si>
    <t>2022-07-05T7:13:02 PM GMT</t>
  </si>
  <si>
    <t>Mehak Wani</t>
  </si>
  <si>
    <t>mehakmaqboolwani@gmail.com</t>
  </si>
  <si>
    <t>2022-07-05T7:12:37 PM GMT</t>
  </si>
  <si>
    <t>Sunny Sharma</t>
  </si>
  <si>
    <t>sunnyfreind@gmail.com</t>
  </si>
  <si>
    <t>2022-07-05T7:11:58 PM GMT</t>
  </si>
  <si>
    <t>Vishal Bihani</t>
  </si>
  <si>
    <t>vishal_bihani@rediffmail.com</t>
  </si>
  <si>
    <t>2022-07-05T7:10:54 PM GMT</t>
  </si>
  <si>
    <t>Himanshu B</t>
  </si>
  <si>
    <t>hemubisht1023@gmail.com</t>
  </si>
  <si>
    <t>2022-07-05T7:10:34 PM GMT</t>
  </si>
  <si>
    <t xml:space="preserve">Tausim  Baksh </t>
  </si>
  <si>
    <t>taufiquebaksh2002@gmail.com</t>
  </si>
  <si>
    <t>2022-07-05T7:07:51 PM GMT</t>
  </si>
  <si>
    <t>Sweta Chamaria</t>
  </si>
  <si>
    <t>sweta.chamaria98@gmail.com</t>
  </si>
  <si>
    <t>2022-07-05T7:07:19 PM GMT</t>
  </si>
  <si>
    <t>Jaya Chandiran</t>
  </si>
  <si>
    <t>2022-07-05T7:06:11 PM GMT</t>
  </si>
  <si>
    <t>Rohit Singh</t>
  </si>
  <si>
    <t>rohitsingh1576@gmail.com</t>
  </si>
  <si>
    <t>2022-07-05T7:05:21 PM GMT</t>
  </si>
  <si>
    <t>Jahabar Sadiq</t>
  </si>
  <si>
    <t>sadiqsk9697@gmail.com</t>
  </si>
  <si>
    <t>2022-07-05T7:05:16 PM GMT</t>
  </si>
  <si>
    <t>Rejaul Mallick</t>
  </si>
  <si>
    <t>loveurejaul@gmail.com</t>
  </si>
  <si>
    <t>2022-07-05T7:05:08 PM GMT</t>
  </si>
  <si>
    <t>Raspal  Singh</t>
  </si>
  <si>
    <t>raspal003@gmail.com</t>
  </si>
  <si>
    <t>2022-07-05T7:05:04 PM GMT</t>
  </si>
  <si>
    <t>Rehan Momin</t>
  </si>
  <si>
    <t>mominreh@gmail.com</t>
  </si>
  <si>
    <t>2022-07-05T7:04:55 PM GMT</t>
  </si>
  <si>
    <t>Lucky Patil</t>
  </si>
  <si>
    <t>luckypatil0645@gmail.com</t>
  </si>
  <si>
    <t>2022-07-05T7:03:13 PM GMT</t>
  </si>
  <si>
    <t>Mallika Katoch</t>
  </si>
  <si>
    <t>mallika270895@gmail.com</t>
  </si>
  <si>
    <t>2022-07-05T7:02:49 PM GMT</t>
  </si>
  <si>
    <t>Rahul Kalsi</t>
  </si>
  <si>
    <t>rahul_kalsi121@yahoo.com</t>
  </si>
  <si>
    <t>2022-07-05T7:01:49 PM GMT</t>
  </si>
  <si>
    <t>Anishka Chadha</t>
  </si>
  <si>
    <t>anishkachadha1@gmail.com</t>
  </si>
  <si>
    <t>Prashanth pacchi</t>
  </si>
  <si>
    <t>pachiprashantha8@gmail.com</t>
  </si>
  <si>
    <t>Nithin Prabhakar</t>
  </si>
  <si>
    <t>nithin@vahinipipes.com</t>
  </si>
  <si>
    <t>2022-07-05T7:01:28 PM GMT</t>
  </si>
  <si>
    <t>Tausim Baksh</t>
  </si>
  <si>
    <t>tausimbaksh@gmail.com</t>
  </si>
  <si>
    <t>2022-07-05T7:00:34 PM GMT</t>
  </si>
  <si>
    <t>Anubhuti Rauthan</t>
  </si>
  <si>
    <t>rauthananubhuti@gmail.com</t>
  </si>
  <si>
    <t>2022-07-05T7:00:11 PM GMT</t>
  </si>
  <si>
    <t>2022-07-05T6:58:46 PM GMT</t>
  </si>
  <si>
    <t>Deepa Dembla</t>
  </si>
  <si>
    <t>hanishdembla.10@gmail.com</t>
  </si>
  <si>
    <t>2022-07-05T6:58:35 PM GMT</t>
  </si>
  <si>
    <t>Manoj S N</t>
  </si>
  <si>
    <t>manojsn1431@gmail.com</t>
  </si>
  <si>
    <t>2022-07-05T6:56:48 PM GMT</t>
  </si>
  <si>
    <t>Narendra  Nari</t>
  </si>
  <si>
    <t>nari_gowda@yahoo.com</t>
  </si>
  <si>
    <t>2022-07-05T6:56:27 PM GMT</t>
  </si>
  <si>
    <t>JAGADISH SACHIN</t>
  </si>
  <si>
    <t>jahadishfootball@gmail.com</t>
  </si>
  <si>
    <t>2022-07-05T6:55:58 PM GMT</t>
  </si>
  <si>
    <t>Bibek Panda</t>
  </si>
  <si>
    <t>pandavivek@yahoo.com</t>
  </si>
  <si>
    <t>2022-07-05T6:55:51 PM GMT</t>
  </si>
  <si>
    <t>Mohammed Mohsin</t>
  </si>
  <si>
    <t>mohsinmessi14@gmail.com</t>
  </si>
  <si>
    <t>2022-07-05T6:54:36 PM GMT</t>
  </si>
  <si>
    <t>Syed Faraz</t>
  </si>
  <si>
    <t>faraz7.sf@icloud.com</t>
  </si>
  <si>
    <t>2022-07-05T6:54:33 PM GMT</t>
  </si>
  <si>
    <t>Pratik Shewale</t>
  </si>
  <si>
    <t>pshewale99@gmail.com</t>
  </si>
  <si>
    <t>2022-07-05T6:53:11 PM GMT</t>
  </si>
  <si>
    <t>rohan Walia</t>
  </si>
  <si>
    <t>waliaaccessories712@gmail.com</t>
  </si>
  <si>
    <t>2022-07-05T6:49:40 PM GMT</t>
  </si>
  <si>
    <t>Ayush Ranjan</t>
  </si>
  <si>
    <t>ayush.2dqri@slmail.me</t>
  </si>
  <si>
    <t>2022-07-05T6:49:10 PM GMT</t>
  </si>
  <si>
    <t>Bhrarat Singh</t>
  </si>
  <si>
    <t>bharatsingh47777@gmail.com</t>
  </si>
  <si>
    <t>2022-07-05T6:48:40 PM GMT</t>
  </si>
  <si>
    <t>Sami Khan</t>
  </si>
  <si>
    <t>khansamikhan4@yahoo.in</t>
  </si>
  <si>
    <t>2022-07-05T6:48:00 PM GMT</t>
  </si>
  <si>
    <t>2022-07-05T6:46:45 PM GMT</t>
  </si>
  <si>
    <t>Harish Goswami</t>
  </si>
  <si>
    <t>harishgoswami@gmail.com</t>
  </si>
  <si>
    <t>2022-07-05T6:45:31 PM GMT</t>
  </si>
  <si>
    <t>Akshay Shivhare</t>
  </si>
  <si>
    <t>akshayshivhare868@gmail.com</t>
  </si>
  <si>
    <t>2022-07-05T6:45:05 PM GMT</t>
  </si>
  <si>
    <t>Soumyadip Basu</t>
  </si>
  <si>
    <t>basus952@gmail.com</t>
  </si>
  <si>
    <t>2022-07-05T6:44:57 PM GMT</t>
  </si>
  <si>
    <t>Priyanshu Bhati</t>
  </si>
  <si>
    <t>priyanshubhati9000@gmail.com</t>
  </si>
  <si>
    <t>2022-07-05T6:43:21 PM GMT</t>
  </si>
  <si>
    <t>Faraz Khan</t>
  </si>
  <si>
    <t>fk7557689@gmail.com</t>
  </si>
  <si>
    <t>2022-07-05T6:42:51 PM GMT</t>
  </si>
  <si>
    <t>Shubham Kumar</t>
  </si>
  <si>
    <t>shubhamkumar9122@gmail.com</t>
  </si>
  <si>
    <t>2022-07-05T6:39:48 PM GMT</t>
  </si>
  <si>
    <t>MANZOOR ahmad</t>
  </si>
  <si>
    <t>shairmanzoor23@gmail.com</t>
  </si>
  <si>
    <t>2022-07-05T6:39:36 PM GMT</t>
  </si>
  <si>
    <t>Ridhika Bali</t>
  </si>
  <si>
    <t>ridhikabali817@gmail.com</t>
  </si>
  <si>
    <t>2022-07-05T6:39:01 PM GMT</t>
  </si>
  <si>
    <t>Aditya Abhiraj</t>
  </si>
  <si>
    <t>aditya52abhiraj@gmail.com</t>
  </si>
  <si>
    <t>2022-07-05T6:38:52 PM GMT</t>
  </si>
  <si>
    <t>Yash Singh</t>
  </si>
  <si>
    <t>yashritz4901@gmail.com</t>
  </si>
  <si>
    <t>2022-07-05T6:37:05 PM GMT</t>
  </si>
  <si>
    <t>Harsh Aahad</t>
  </si>
  <si>
    <t>harishaahad@gmail.com</t>
  </si>
  <si>
    <t>2022-07-05T6:34:38 PM GMT</t>
  </si>
  <si>
    <t>Sanjay Chakraborty</t>
  </si>
  <si>
    <t>sanmunt12@gmail.com</t>
  </si>
  <si>
    <t>2022-07-05T6:33:59 PM GMT</t>
  </si>
  <si>
    <t>Akanksha Singh</t>
  </si>
  <si>
    <t>akanksha.rimmi24@gmail.com</t>
  </si>
  <si>
    <t>2022-07-05T6:33:03 PM GMT</t>
  </si>
  <si>
    <t>Ketan  Kumar</t>
  </si>
  <si>
    <t>madhur.singh001@gmail.com</t>
  </si>
  <si>
    <t>2022-07-05T6:31:53 PM GMT</t>
  </si>
  <si>
    <t>Shiva Nikhil</t>
  </si>
  <si>
    <t>nikhilsapr27@gmail.com</t>
  </si>
  <si>
    <t>Date</t>
  </si>
  <si>
    <t>2022-07-07</t>
  </si>
  <si>
    <t>2022-07-06</t>
  </si>
  <si>
    <t>2022-07-05</t>
  </si>
  <si>
    <t>Count</t>
  </si>
  <si>
    <t>Sum</t>
  </si>
  <si>
    <t>ASP</t>
  </si>
  <si>
    <t>parent_order_id</t>
  </si>
  <si>
    <t>channel</t>
  </si>
  <si>
    <t>date</t>
  </si>
  <si>
    <t>selling_price</t>
  </si>
  <si>
    <t>Qty_Sold</t>
  </si>
  <si>
    <t>no_of_orders</t>
  </si>
  <si>
    <t>PUMA_APP</t>
  </si>
  <si>
    <t>AOV</t>
  </si>
  <si>
    <t>Matched?</t>
  </si>
  <si>
    <t>Sales from Database</t>
  </si>
  <si>
    <t>Ordered qty</t>
  </si>
  <si>
    <t>cancelled</t>
  </si>
  <si>
    <t>2022-07-07T9:04:30 AM GMT</t>
  </si>
  <si>
    <t>Pankaj Yadav</t>
  </si>
  <si>
    <t>pankajyadav022@gmail.com</t>
  </si>
  <si>
    <t>2022-07-07T9:00:19 AM GMT</t>
  </si>
  <si>
    <t>Rathin Kute</t>
  </si>
  <si>
    <t>kuterathin210@gmail.com</t>
  </si>
  <si>
    <t>2022-07-07T8:58:13 AM GMT</t>
  </si>
  <si>
    <t>matam Vignesh</t>
  </si>
  <si>
    <t>matamvignesh143@gmail.com</t>
  </si>
  <si>
    <t>2022-07-07T8:56:59 AM GMT</t>
  </si>
  <si>
    <t>Aniket Kumar Keshri</t>
  </si>
  <si>
    <t>aniketkesh13@gmail.com</t>
  </si>
  <si>
    <t>2022-07-07T8:55:56 AM GMT</t>
  </si>
  <si>
    <t>Vikram Saraf</t>
  </si>
  <si>
    <t>manyavarvikramsaraf@gmail.com</t>
  </si>
  <si>
    <t>2022-07-07T8:55:15 AM GMT</t>
  </si>
  <si>
    <t>Sushant Maria</t>
  </si>
  <si>
    <t>sushantmaria@gmail.com</t>
  </si>
  <si>
    <t>2022-07-07T8:54:29 AM GMT</t>
  </si>
  <si>
    <t>Brijendra Singh</t>
  </si>
  <si>
    <t>brijendra.ame@gmail.com</t>
  </si>
  <si>
    <t>2022-07-07T8:54:19 AM GMT</t>
  </si>
  <si>
    <t>pushpinder kaur</t>
  </si>
  <si>
    <t>puneetkaur6666@gmail.com</t>
  </si>
  <si>
    <t>2022-07-07T8:53:39 AM GMT</t>
  </si>
  <si>
    <t>PRATIK BHAGAT</t>
  </si>
  <si>
    <t>pratikbhagat7@gmail.com</t>
  </si>
  <si>
    <t>2022-07-07T8:53:25 AM GMT</t>
  </si>
  <si>
    <t>Arjun sejwal</t>
  </si>
  <si>
    <t>Arjunsejwal01@gmail.com</t>
  </si>
  <si>
    <t>2022-07-07T8:53:20 AM GMT</t>
  </si>
  <si>
    <t>2022-07-07T8:52:47 AM GMT</t>
  </si>
  <si>
    <t>Santosh M</t>
  </si>
  <si>
    <t>santoshsanty089@gmail.com</t>
  </si>
  <si>
    <t>2022-07-07T8:51:17 AM GMT</t>
  </si>
  <si>
    <t>Syed Rizwan</t>
  </si>
  <si>
    <t>rizwankirmanik3@gmail.com</t>
  </si>
  <si>
    <t>2022-07-07T8:51:14 AM GMT</t>
  </si>
  <si>
    <t>krish ahir</t>
  </si>
  <si>
    <t>krish.ahir029@gmail.com</t>
  </si>
  <si>
    <t>2022-07-07T8:49:35 AM GMT</t>
  </si>
  <si>
    <t>Dev  Banga</t>
  </si>
  <si>
    <t>devbanga600@gmail.com</t>
  </si>
  <si>
    <t>2022-07-07T8:47:35 AM GMT</t>
  </si>
  <si>
    <t>Pratyaksh Singh</t>
  </si>
  <si>
    <t>pratyaksh.singh736@gmail.com</t>
  </si>
  <si>
    <t>2022-07-07T8:47:21 AM GMT</t>
  </si>
  <si>
    <t>Sparsh Gupta</t>
  </si>
  <si>
    <t>gupta.sparsh33@gmail.com</t>
  </si>
  <si>
    <t>2022-07-07T8:46:41 AM GMT</t>
  </si>
  <si>
    <t>Jaimin  Patel</t>
  </si>
  <si>
    <t>jaiminpatel819@gmail.com</t>
  </si>
  <si>
    <t>2022-07-07T8:46:34 AM GMT</t>
  </si>
  <si>
    <t>Chirag Desai</t>
  </si>
  <si>
    <t>chirag_1082@yahoo.co.in</t>
  </si>
  <si>
    <t>2022-07-07T8:45:51 AM GMT</t>
  </si>
  <si>
    <t>Sudhirajsinh Jadeja</t>
  </si>
  <si>
    <t>s.i.jadeja55@gmail.com</t>
  </si>
  <si>
    <t>2022-07-07T8:45:41 AM GMT</t>
  </si>
  <si>
    <t>Harikishore Vasudeva</t>
  </si>
  <si>
    <t>harieekishore@gmail.com</t>
  </si>
  <si>
    <t>2022-07-07T8:45:19 AM GMT</t>
  </si>
  <si>
    <t>Ankit Khanna</t>
  </si>
  <si>
    <t>ankitmk87@gmail.com</t>
  </si>
  <si>
    <t>2022-07-07T8:44:57 AM GMT</t>
  </si>
  <si>
    <t>Gopal Ghaswa</t>
  </si>
  <si>
    <t>gopalghaswa97@gmail.com</t>
  </si>
  <si>
    <t>2022-07-07T8:43:55 AM GMT</t>
  </si>
  <si>
    <t>Israr Jauhar</t>
  </si>
  <si>
    <t>israrjauhar31@gmail.com</t>
  </si>
  <si>
    <t>2022-07-07T8:43:41 AM GMT</t>
  </si>
  <si>
    <t>Mohit  Jain</t>
  </si>
  <si>
    <t>nmohitjain@gmail.com</t>
  </si>
  <si>
    <t xml:space="preserve">Asshokk chirra  </t>
  </si>
  <si>
    <t>chirraashokgoud@gmail.com</t>
  </si>
  <si>
    <t>2022-07-07T8:40:29 AM GMT</t>
  </si>
  <si>
    <t>Viral Shah</t>
  </si>
  <si>
    <t>veershah0087@gmail.com</t>
  </si>
  <si>
    <t>2022-07-07T8:37:10 AM GMT</t>
  </si>
  <si>
    <t>RIZAN KHAN</t>
  </si>
  <si>
    <t>rizanrajpute10@gmail.com</t>
  </si>
  <si>
    <t>2022-07-07T8:36:31 AM GMT</t>
  </si>
  <si>
    <t>2022-07-07T8:35:51 AM GMT</t>
  </si>
  <si>
    <t>Manjot Singh</t>
  </si>
  <si>
    <t>mmalhi8@gmail.com</t>
  </si>
  <si>
    <t>2022-07-07T8:34:32 AM GMT</t>
  </si>
  <si>
    <t>Easvaran Lakshmanan</t>
  </si>
  <si>
    <t>easvaransaraswathi@gmail.com</t>
  </si>
  <si>
    <t>2022-07-07T8:32:29 AM GMT</t>
  </si>
  <si>
    <t>Kapil Boken</t>
  </si>
  <si>
    <t>kapilboken@gmail.com</t>
  </si>
  <si>
    <t>2022-07-07T8:32:05 AM GMT</t>
  </si>
  <si>
    <t>2022-07-07T8:30:38 AM GMT</t>
  </si>
  <si>
    <t>Meenakshi Pandey</t>
  </si>
  <si>
    <t>meenspan@gmail.com</t>
  </si>
  <si>
    <t>2022-07-07T8:30:30 AM GMT</t>
  </si>
  <si>
    <t>2022-07-07T8:28:04 AM GMT</t>
  </si>
  <si>
    <t>syed moomim</t>
  </si>
  <si>
    <t>syedmomin473@gmail.com</t>
  </si>
  <si>
    <t>2022-07-07T8:26:23 AM GMT</t>
  </si>
  <si>
    <t>Sapna Yadav</t>
  </si>
  <si>
    <t>ysapna464@gmail.com</t>
  </si>
  <si>
    <t>2022-07-07T8:26:09 AM GMT</t>
  </si>
  <si>
    <t>Pankaj Bhadana</t>
  </si>
  <si>
    <t>pankajbhadana9611@gmail.com</t>
  </si>
  <si>
    <t>2022-07-07T8:25:22 AM GMT</t>
  </si>
  <si>
    <t>Nitin Sharma</t>
  </si>
  <si>
    <t>nitkumar2710@gmail.com</t>
  </si>
  <si>
    <t>2022-07-07T8:24:56 AM GMT</t>
  </si>
  <si>
    <t>ruksarkhan ruksarkhan</t>
  </si>
  <si>
    <t>rukhsar.rukhsar.lko.90@gmail.com</t>
  </si>
  <si>
    <t>2022-07-07T8:24:14 AM GMT</t>
  </si>
  <si>
    <t>Neveta J</t>
  </si>
  <si>
    <t>neveta652@gmail.com</t>
  </si>
  <si>
    <t>2022-07-07T8:23:38 AM GMT</t>
  </si>
  <si>
    <t>Kanishka Bhatia</t>
  </si>
  <si>
    <t>kanishkabhatia0421@gmail.com</t>
  </si>
  <si>
    <t>2022-07-07T8:23:12 AM GMT</t>
  </si>
  <si>
    <t>Bathsheiba Leblond</t>
  </si>
  <si>
    <t>sheibaleblond@gmail.com</t>
  </si>
  <si>
    <t>2022-07-07T8:22:23 AM GMT</t>
  </si>
  <si>
    <t>Alka Pal</t>
  </si>
  <si>
    <t>alkavini16@gmail.com</t>
  </si>
  <si>
    <t>2022-07-07T8:22:19 AM GMT</t>
  </si>
  <si>
    <t>Manoj Vishnoii</t>
  </si>
  <si>
    <t>Manojvishnoii143@gmail.com</t>
  </si>
  <si>
    <t>2022-07-07T8:21:10 AM GMT</t>
  </si>
  <si>
    <t>Badal Singh</t>
  </si>
  <si>
    <t>bsthakur0722@gmail.com</t>
  </si>
  <si>
    <t>2022-07-07T8:20:48 AM GMT</t>
  </si>
  <si>
    <t xml:space="preserve">Yash  Agrawal </t>
  </si>
  <si>
    <t>yash.agr.1806@gmail.com</t>
  </si>
  <si>
    <t>2022-07-07T8:20:24 AM GMT</t>
  </si>
  <si>
    <t>Vardhini Gowda</t>
  </si>
  <si>
    <t>vardhinigowda9@gmail.com</t>
  </si>
  <si>
    <t>2022-07-07T8:17:28 AM GMT</t>
  </si>
  <si>
    <t>krishan narang</t>
  </si>
  <si>
    <t>krishannarang90@gmail.com</t>
  </si>
  <si>
    <t>2022-07-07T8:16:52 AM GMT</t>
  </si>
  <si>
    <t>Ravin Rokade</t>
  </si>
  <si>
    <t>21mayravinvinod@gmail.com</t>
  </si>
  <si>
    <t>2022-07-07T8:15:47 AM GMT</t>
  </si>
  <si>
    <t>Disha Vaish</t>
  </si>
  <si>
    <t>disha.vaish123@gmail.com</t>
  </si>
  <si>
    <t>2022-07-07T8:15:07 AM GMT</t>
  </si>
  <si>
    <t>Yugraj Singh</t>
  </si>
  <si>
    <t>yugrajsingh8024@email.com</t>
  </si>
  <si>
    <t>2022-07-07T8:14:53 AM GMT</t>
  </si>
  <si>
    <t xml:space="preserve">Yash Agrawal </t>
  </si>
  <si>
    <t>2022-07-07T8:11:00 AM GMT</t>
  </si>
  <si>
    <t>Rudra Abhishek</t>
  </si>
  <si>
    <t>rudraabhishek563@gmail.com</t>
  </si>
  <si>
    <t>2022-07-07T8:09:59 AM GMT</t>
  </si>
  <si>
    <t>RAGHAV GANDHI</t>
  </si>
  <si>
    <t>raghav.gandhi1196@gmail.com</t>
  </si>
  <si>
    <t>2022-07-07T8:09:24 AM GMT</t>
  </si>
  <si>
    <t>L Jayswal</t>
  </si>
  <si>
    <t>lalit.jayswal9100@gmail.com</t>
  </si>
  <si>
    <t>2022-07-07T8:08:52 AM GMT</t>
  </si>
  <si>
    <t>Raju Gaonkar</t>
  </si>
  <si>
    <t>rajugaonkar95@gmail.com</t>
  </si>
  <si>
    <t>2022-07-07T8:07:20 AM GMT</t>
  </si>
  <si>
    <t>Rishabh Yadav</t>
  </si>
  <si>
    <t>rishyadav888@gmail.com</t>
  </si>
  <si>
    <t>2022-07-07T8:07:16 AM GMT</t>
  </si>
  <si>
    <t>Taruna Bansiwal</t>
  </si>
  <si>
    <t>taruna.bansiwal23@gmail.com</t>
  </si>
  <si>
    <t>2022-07-07T8:07:14 AM GMT</t>
  </si>
  <si>
    <t>Partha Dass</t>
  </si>
  <si>
    <t>parthadass@yahoo.co.in</t>
  </si>
  <si>
    <t>2022-07-07T8:04:32 AM GMT</t>
  </si>
  <si>
    <t>Ranadip Banerjee</t>
  </si>
  <si>
    <t>ranadip646@gmail.com</t>
  </si>
  <si>
    <t>2022-07-07T8:03:27 AM GMT</t>
  </si>
  <si>
    <t>Ankur Jain</t>
  </si>
  <si>
    <t>ankur.sth@hotmail.com</t>
  </si>
  <si>
    <t>2022-07-07T8:02:36 AM GMT</t>
  </si>
  <si>
    <t>Sourabh Giri</t>
  </si>
  <si>
    <t>100rub007@gmail.com</t>
  </si>
  <si>
    <t>2022-07-07T8:01:26 AM GMT</t>
  </si>
  <si>
    <t>Yogesh Malik</t>
  </si>
  <si>
    <t>yogeshmalikktl@gmail.com</t>
  </si>
  <si>
    <t>2022-07-07T8:00:05 AM GMT</t>
  </si>
  <si>
    <t>Yashdeep Agrawal</t>
  </si>
  <si>
    <t>yashdeepagrawal21@gmail.com</t>
  </si>
  <si>
    <t>2022-07-07T7:57:51 AM GMT</t>
  </si>
  <si>
    <t xml:space="preserve">suraj dhumal </t>
  </si>
  <si>
    <t>surajdhumal4545@gmail.com</t>
  </si>
  <si>
    <t>2022-07-07T7:57:06 AM GMT</t>
  </si>
  <si>
    <t>Anand Raju</t>
  </si>
  <si>
    <t>anandraju2250@gmail.com</t>
  </si>
  <si>
    <t>2022-07-07T7:56:00 AM GMT</t>
  </si>
  <si>
    <t>Shivangi Gupta</t>
  </si>
  <si>
    <t>shivig879@gmail.com</t>
  </si>
  <si>
    <t>2022-07-07T7:55:14 AM GMT</t>
  </si>
  <si>
    <t>Nikhil Goyal</t>
  </si>
  <si>
    <t>nikhilgoyal189@gmail.com</t>
  </si>
  <si>
    <t>2022-07-07T7:55:00 AM GMT</t>
  </si>
  <si>
    <t>EBRAHIM BASHEER</t>
  </si>
  <si>
    <t>ebrahimiisd@gmail.com</t>
  </si>
  <si>
    <t>2022-07-07T7:50:27 AM GMT</t>
  </si>
  <si>
    <t>TUSHAR KAMNANI</t>
  </si>
  <si>
    <t>tusharkamanni26@gmail.com</t>
  </si>
  <si>
    <t>2022-07-07T7:49:35 AM GMT</t>
  </si>
  <si>
    <t>Sabdeep Singh</t>
  </si>
  <si>
    <t>sabdeepsingh1@icloud.com</t>
  </si>
  <si>
    <t>2022-07-07T7:48:24 AM GMT</t>
  </si>
  <si>
    <t>Himanshu Oberoi</t>
  </si>
  <si>
    <t>himanshuoberoi331@gmail.com</t>
  </si>
  <si>
    <t>2022-07-07T7:48:06 AM GMT</t>
  </si>
  <si>
    <t>Sujana  Sultana</t>
  </si>
  <si>
    <t>sujana81292@gmail.com</t>
  </si>
  <si>
    <t>2022-07-07T7:47:50 AM GMT</t>
  </si>
  <si>
    <t xml:space="preserve">Kruthivas  Tambralli </t>
  </si>
  <si>
    <t>tkruthivas@gmail.com</t>
  </si>
  <si>
    <t>2022-07-07T7:47:42 AM GMT</t>
  </si>
  <si>
    <t xml:space="preserve">Amol  Atole </t>
  </si>
  <si>
    <t>amolatole0808@gmail.com</t>
  </si>
  <si>
    <t>2022-07-07T7:45:21 AM GMT</t>
  </si>
  <si>
    <t>Shubham Tiwari</t>
  </si>
  <si>
    <t>shubham.tiwarifs@gmail.com</t>
  </si>
  <si>
    <t>2022-07-07T7:45:02 AM GMT</t>
  </si>
  <si>
    <t>Dhruv Dalia</t>
  </si>
  <si>
    <t>dhruvdalia@gmail.com</t>
  </si>
  <si>
    <t>2022-07-07T7:44:21 AM GMT</t>
  </si>
  <si>
    <t>Smriti T</t>
  </si>
  <si>
    <t>vijaymalini37@gmail.com</t>
  </si>
  <si>
    <t>2022-07-07T7:44:13 AM GMT</t>
  </si>
  <si>
    <t>Sanvi SharmA</t>
  </si>
  <si>
    <t>sanvitex43@gmail.com</t>
  </si>
  <si>
    <t>2022-07-07T7:42:05 AM GMT</t>
  </si>
  <si>
    <t>Passang Lepcha</t>
  </si>
  <si>
    <t>lhamu_passang@yahoo.com</t>
  </si>
  <si>
    <t>2022-07-07T7:41:18 AM GMT</t>
  </si>
  <si>
    <t>Satinder Singh</t>
  </si>
  <si>
    <t>satindersunny12@gmail.com</t>
  </si>
  <si>
    <t>2022-07-07T7:39:58 AM GMT</t>
  </si>
  <si>
    <t>Syed  Adnan</t>
  </si>
  <si>
    <t>syedabduladnan5@gmail.com</t>
  </si>
  <si>
    <t>2022-07-07T7:38:46 AM GMT</t>
  </si>
  <si>
    <t>Rupesh Rai</t>
  </si>
  <si>
    <t>rairupesh54@gmail.com</t>
  </si>
  <si>
    <t>2022-07-07T7:37:51 AM GMT</t>
  </si>
  <si>
    <t>SOHAN YADAV</t>
  </si>
  <si>
    <t>sohanyadav2216@gmail.com</t>
  </si>
  <si>
    <t>Smit Adalaja</t>
  </si>
  <si>
    <t>smitadalaja846@gmail.com</t>
  </si>
  <si>
    <t>2022-07-07T7:37:26 AM GMT</t>
  </si>
  <si>
    <t>Ashish Kumar</t>
  </si>
  <si>
    <t>kingvs.360@gmail.com</t>
  </si>
  <si>
    <t>2022-07-07T7:37:10 AM GMT</t>
  </si>
  <si>
    <t>Abhinav Gupta</t>
  </si>
  <si>
    <t>guptaabhinav@2016gmail.com</t>
  </si>
  <si>
    <t>2022-07-07T7:33:46 AM GMT</t>
  </si>
  <si>
    <t>Ramya S</t>
  </si>
  <si>
    <t>ramyabyatham@gmail.com</t>
  </si>
  <si>
    <t>2022-07-07T7:32:03 AM GMT</t>
  </si>
  <si>
    <t>2022-07-07T7:31:41 AM GMT</t>
  </si>
  <si>
    <t>NIKUNJ GUPTA</t>
  </si>
  <si>
    <t>nikunjguptank00@gmail.com</t>
  </si>
  <si>
    <t>2022-07-07T7:31:32 AM GMT</t>
  </si>
  <si>
    <t>poosarla roopesh</t>
  </si>
  <si>
    <t>poosarlaroopesh111@gmail.com</t>
  </si>
  <si>
    <t>2022-07-07T7:30:57 AM GMT</t>
  </si>
  <si>
    <t>Abigail Dsouza</t>
  </si>
  <si>
    <t>abbydsouza17@gmail.com</t>
  </si>
  <si>
    <t>2022-07-07T7:30:52 AM GMT</t>
  </si>
  <si>
    <t>Turner Bareh</t>
  </si>
  <si>
    <t>turnerbareh2@gmail.com</t>
  </si>
  <si>
    <t>2022-07-07T7:24:36 AM GMT</t>
  </si>
  <si>
    <t>jaiswal.shubhank@gmail.com</t>
  </si>
  <si>
    <t>2022-07-07T7:24:31 AM GMT</t>
  </si>
  <si>
    <t>Aarohi Kulkarni</t>
  </si>
  <si>
    <t>aarohi.kulkarni18@gmail.com</t>
  </si>
  <si>
    <t>2022-07-07T7:24:18 AM GMT</t>
  </si>
  <si>
    <t>Souvik Saha</t>
  </si>
  <si>
    <t>saha.souvik999@gmail.com</t>
  </si>
  <si>
    <t>2022-07-07T7:23:57 AM GMT</t>
  </si>
  <si>
    <t>devdhameliya456@gmail.com</t>
  </si>
  <si>
    <t>2022-07-07T7:22:49 AM GMT</t>
  </si>
  <si>
    <t>Ruchi Chopra</t>
  </si>
  <si>
    <t>ruchi0016@gmail.com</t>
  </si>
  <si>
    <t>2022-07-07T7:22:16 AM GMT</t>
  </si>
  <si>
    <t>Abhed Tyagi</t>
  </si>
  <si>
    <t>abhedtyagi1234@gmail.com</t>
  </si>
  <si>
    <t>2022-07-07T7:19:39 AM GMT</t>
  </si>
  <si>
    <t>Prince Kumar</t>
  </si>
  <si>
    <t>heykukur20@gmail.com</t>
  </si>
  <si>
    <t>2022-07-07T7:19:11 AM GMT</t>
  </si>
  <si>
    <t>Tejas  Thorave</t>
  </si>
  <si>
    <t>thoravetejas@gmail.com</t>
  </si>
  <si>
    <t>2022-07-07T7:18:07 AM GMT</t>
  </si>
  <si>
    <t>Gunraj Singh</t>
  </si>
  <si>
    <t>gunraaj2001@gmail.com</t>
  </si>
  <si>
    <t>2022-07-07T7:14:18 AM GMT</t>
  </si>
  <si>
    <t>Safi Alam</t>
  </si>
  <si>
    <t>safialam.raj@gmail.com</t>
  </si>
  <si>
    <t>2022-07-07T7:14:13 AM GMT</t>
  </si>
  <si>
    <t>Nikhil Shetty</t>
  </si>
  <si>
    <t>nikhilshetti84@gmail.com</t>
  </si>
  <si>
    <t>2022-07-07T7:13:01 AM GMT</t>
  </si>
  <si>
    <t>Sunu saran</t>
  </si>
  <si>
    <t>aadityabishnoi777@gmail.com</t>
  </si>
  <si>
    <t>2022-07-07T7:12:41 AM GMT</t>
  </si>
  <si>
    <t>NAGESHWAR CHAUHAN</t>
  </si>
  <si>
    <t>email2nageshwarthakur@gmail.com</t>
  </si>
  <si>
    <t>2022-07-07T7:11:41 AM GMT</t>
  </si>
  <si>
    <t>Milind Mhatre</t>
  </si>
  <si>
    <t>milindmhatre1997@gmail.com</t>
  </si>
  <si>
    <t>2022-07-07T7:11:29 AM GMT</t>
  </si>
  <si>
    <t>CHETAN U</t>
  </si>
  <si>
    <t>chetansureshu@gmail.com</t>
  </si>
  <si>
    <t>2022-07-07T7:11:27 AM GMT</t>
  </si>
  <si>
    <t>Rakesh Ramesh</t>
  </si>
  <si>
    <t>rakesh.hope1993@gmail.com</t>
  </si>
  <si>
    <t>2022-07-07T7:10:51 AM GMT</t>
  </si>
  <si>
    <t>Masum Ahmed</t>
  </si>
  <si>
    <t>maxxuma786@gmail.com</t>
  </si>
  <si>
    <t>2022-07-07T7:10:47 AM GMT</t>
  </si>
  <si>
    <t>Sambhav Barsaiyan</t>
  </si>
  <si>
    <t>sambhavbarsaiya115@gmail.com</t>
  </si>
  <si>
    <t>2022-07-07T7:10:04 AM GMT</t>
  </si>
  <si>
    <t>Manjunath S</t>
  </si>
  <si>
    <t>msmanjunath95@gmail.com</t>
  </si>
  <si>
    <t>2022-07-07T7:08:25 AM GMT</t>
  </si>
  <si>
    <t>Anshul Jaiswal</t>
  </si>
  <si>
    <t>jaiswalanshul100@gmail.com</t>
  </si>
  <si>
    <t>2022-07-07T7:08:19 AM GMT</t>
  </si>
  <si>
    <t>Ruther Lamin</t>
  </si>
  <si>
    <t>rutherparker17@gmail.com</t>
  </si>
  <si>
    <t>2022-07-07T7:07:56 AM GMT</t>
  </si>
  <si>
    <t>2022-07-07T7:06:27 AM GMT</t>
  </si>
  <si>
    <t>Jasnoor  Kaur</t>
  </si>
  <si>
    <t>2022-07-07T7:06:03 AM GMT</t>
  </si>
  <si>
    <t>Nilson Honhaga</t>
  </si>
  <si>
    <t>nilsonhonhaga8@gmail.com</t>
  </si>
  <si>
    <t>2022-07-07T7:05:15 AM GMT</t>
  </si>
  <si>
    <t>Aleem Shah</t>
  </si>
  <si>
    <t>shahaleem8838@gmail.com</t>
  </si>
  <si>
    <t>2022-07-07T7:05:10 AM GMT</t>
  </si>
  <si>
    <t>Raghav Thakur</t>
  </si>
  <si>
    <t>raghavthakur316@gmail.com</t>
  </si>
  <si>
    <t>2022-07-07T7:04:20 AM GMT</t>
  </si>
  <si>
    <t>Niranjan KS</t>
  </si>
  <si>
    <t>ksniranj@gmail.com</t>
  </si>
  <si>
    <t>2022-07-07T7:03:05 AM GMT</t>
  </si>
  <si>
    <t>Mehul Jingar</t>
  </si>
  <si>
    <t>jungarmehul@gmail.com</t>
  </si>
  <si>
    <t>2022-07-07T7:02:18 AM GMT</t>
  </si>
  <si>
    <t>Shriya Jagadam</t>
  </si>
  <si>
    <t>shriyajagadam@gmail.com</t>
  </si>
  <si>
    <t>2022-07-07T7:01:36 AM GMT</t>
  </si>
  <si>
    <t>Nishant Ahlawat</t>
  </si>
  <si>
    <t>nishuahlawat8700@gmail.com</t>
  </si>
  <si>
    <t>2022-07-07T7:01:27 AM GMT</t>
  </si>
  <si>
    <t>Muguntha   Kumar</t>
  </si>
  <si>
    <t>mugunth0110@gmail.com</t>
  </si>
  <si>
    <t>2022-07-07T7:01:17 AM GMT</t>
  </si>
  <si>
    <t>Nazish Akhtar</t>
  </si>
  <si>
    <t>nazishakhter91@gmail.com</t>
  </si>
  <si>
    <t>Jatin Gogoi Jatin Gogoi</t>
  </si>
  <si>
    <t>jatingogoicivil@gmail.com</t>
  </si>
  <si>
    <t>2022-07-07T7:01:14 AM GMT</t>
  </si>
  <si>
    <t>Sushmitha Jagannath</t>
  </si>
  <si>
    <t>sushmithajjagannath@gmail.com</t>
  </si>
  <si>
    <t>2022-07-07T7:00:56 AM GMT</t>
  </si>
  <si>
    <t>SIYAD Mk</t>
  </si>
  <si>
    <t>bzzyads@gmail.com</t>
  </si>
  <si>
    <t>2022-07-07T7:00:54 AM GMT</t>
  </si>
  <si>
    <t>Abhishek Chaudhary</t>
  </si>
  <si>
    <t>abhishekchaudhary92590@gmail.com</t>
  </si>
  <si>
    <t>2022-07-07T6:59:18 AM GMT</t>
  </si>
  <si>
    <t>Bhushan  Kadu</t>
  </si>
  <si>
    <t>bhushank45@gmail.com</t>
  </si>
  <si>
    <t>2022-07-07T6:58:11 AM GMT</t>
  </si>
  <si>
    <t>Kumara Swamy</t>
  </si>
  <si>
    <t>amulya27032005@gmail.com</t>
  </si>
  <si>
    <t>2022-07-07T6:56:40 AM GMT</t>
  </si>
  <si>
    <t>Akash Sidhu</t>
  </si>
  <si>
    <t>akashsidhu396@gmail.com</t>
  </si>
  <si>
    <t>2022-07-07T6:56:15 AM GMT</t>
  </si>
  <si>
    <t>SAJAD KUMAR</t>
  </si>
  <si>
    <t>sajadsaju1419@gmail.com</t>
  </si>
  <si>
    <t>2022-07-07T6:55:47 AM GMT</t>
  </si>
  <si>
    <t>Chetan Singh</t>
  </si>
  <si>
    <t>schetan321@gmail.com</t>
  </si>
  <si>
    <t>2022-07-07T6:55:07 AM GMT</t>
  </si>
  <si>
    <t>BINDU Verma</t>
  </si>
  <si>
    <t>aanshika888@gmail.com</t>
  </si>
  <si>
    <t>2022-07-07T6:54:20 AM GMT</t>
  </si>
  <si>
    <t>Dadapeer Dadu</t>
  </si>
  <si>
    <t>dadu82348@gmail.com</t>
  </si>
  <si>
    <t>2022-07-07T6:53:56 AM GMT</t>
  </si>
  <si>
    <t>2022-07-07T6:52:34 AM GMT</t>
  </si>
  <si>
    <t>SHUBHAM AGGARWAL</t>
  </si>
  <si>
    <t>aggarwal.shubham533@gmail.com</t>
  </si>
  <si>
    <t>2022-07-07T6:52:17 AM GMT</t>
  </si>
  <si>
    <t>Manisha Rituparna</t>
  </si>
  <si>
    <t>tisha.manisha@gmail.com</t>
  </si>
  <si>
    <t>2022-07-07T6:52:15 AM GMT</t>
  </si>
  <si>
    <t>Ayush Ayush</t>
  </si>
  <si>
    <t>ayush9557sv@gmail.com</t>
  </si>
  <si>
    <t>2022-07-07T6:52:13 AM GMT</t>
  </si>
  <si>
    <t>Sahil Tahlani</t>
  </si>
  <si>
    <t>sam.tahlani@gmail.com</t>
  </si>
  <si>
    <t>2022-07-07T6:52:09 AM GMT</t>
  </si>
  <si>
    <t>Diksha Babbar</t>
  </si>
  <si>
    <t>dikshababbar691@gmail.com</t>
  </si>
  <si>
    <t>2022-07-07T6:49:00 AM GMT</t>
  </si>
  <si>
    <t>Vikas Dahiya</t>
  </si>
  <si>
    <t>Dahiyavishal9@gmail.com</t>
  </si>
  <si>
    <t>2022-07-07T6:48:57 AM GMT</t>
  </si>
  <si>
    <t>Muan Lian</t>
  </si>
  <si>
    <t>gabrieltaitom707@gmail.com</t>
  </si>
  <si>
    <t>2022-07-07T6:48:19 AM GMT</t>
  </si>
  <si>
    <t>2022-07-07T6:47:30 AM GMT</t>
  </si>
  <si>
    <t>Aryan GamingYT Aryan GamingYT</t>
  </si>
  <si>
    <t>gamingytaryan3@gmail.com</t>
  </si>
  <si>
    <t>2022-07-07T6:46:56 AM GMT</t>
  </si>
  <si>
    <t>jagdish Nannaware</t>
  </si>
  <si>
    <t>jagdish03062015@gmail.com</t>
  </si>
  <si>
    <t>2022-07-07T6:46:12 AM GMT</t>
  </si>
  <si>
    <t>Tabishi Lakhanpal</t>
  </si>
  <si>
    <t>tabishi.sharma98@gmail.com</t>
  </si>
  <si>
    <t>2022-07-07T6:45:39 AM GMT</t>
  </si>
  <si>
    <t>Abhi Abhi</t>
  </si>
  <si>
    <t>Abhishekmk8086@gmail.com</t>
  </si>
  <si>
    <t>2022-07-07T6:43:08 AM GMT</t>
  </si>
  <si>
    <t>Binay Kumar</t>
  </si>
  <si>
    <t>rounakdlk@gmail.com</t>
  </si>
  <si>
    <t>2022-07-07T6:42:02 AM GMT</t>
  </si>
  <si>
    <t>Kumuda c</t>
  </si>
  <si>
    <t>kumuda.c7@gmail.com</t>
  </si>
  <si>
    <t>2022-07-07T6:38:50 AM GMT</t>
  </si>
  <si>
    <t>Dev Anand</t>
  </si>
  <si>
    <t>devtr288@gmail.com</t>
  </si>
  <si>
    <t>2022-07-07T6:38:49 AM GMT</t>
  </si>
  <si>
    <t>Shubham Rajole</t>
  </si>
  <si>
    <t>shub7588@gmail.com</t>
  </si>
  <si>
    <t>2022-07-07T6:38:11 AM GMT</t>
  </si>
  <si>
    <t>Tadar  Abo</t>
  </si>
  <si>
    <t>tadarabo437@gmail.com</t>
  </si>
  <si>
    <t>2022-07-07T6:36:51 AM GMT</t>
  </si>
  <si>
    <t>Rohit Bondre</t>
  </si>
  <si>
    <t>rohitbondre0@gmail.com</t>
  </si>
  <si>
    <t>Deepesh Bachani</t>
  </si>
  <si>
    <t>deepashbachani@hotmail.com</t>
  </si>
  <si>
    <t>2022-07-07T6:36:24 AM GMT</t>
  </si>
  <si>
    <t>Dhiraj Lokhande</t>
  </si>
  <si>
    <t>dhirajlokhande00@gmail.com</t>
  </si>
  <si>
    <t>2022-07-07T6:36:04 AM GMT</t>
  </si>
  <si>
    <t>Indraja N</t>
  </si>
  <si>
    <t>indrajakvn98@gmail.com</t>
  </si>
  <si>
    <t>2022-07-07T6:35:51 AM GMT</t>
  </si>
  <si>
    <t>Tanishq Marwaha</t>
  </si>
  <si>
    <t>tanishqmarwaha92@gmail.com</t>
  </si>
  <si>
    <t>2022-07-07T6:35:35 AM GMT</t>
  </si>
  <si>
    <t>Narendra B N</t>
  </si>
  <si>
    <t>naren4897@gmail.com</t>
  </si>
  <si>
    <t>2022-07-07T6:35:31 AM GMT</t>
  </si>
  <si>
    <t>Jhilik Das</t>
  </si>
  <si>
    <t>jhilikdas028@gmail.com</t>
  </si>
  <si>
    <t>2022-07-07T6:31:29 AM GMT</t>
  </si>
  <si>
    <t>SHREYA THAKUR</t>
  </si>
  <si>
    <t>shreyathakur2326@gmail.com</t>
  </si>
  <si>
    <t>2022-07-07T6:30:38 AM GMT</t>
  </si>
  <si>
    <t>rishi4002@gmail.com</t>
  </si>
  <si>
    <t>2022-07-07T6:29:11 AM GMT</t>
  </si>
  <si>
    <t>shivam agarwal</t>
  </si>
  <si>
    <t>shivam.agarwal@puma.com</t>
  </si>
  <si>
    <t>2022-07-07T6:28:29 AM GMT</t>
  </si>
  <si>
    <t>Akshay kumar</t>
  </si>
  <si>
    <t>akshayonly2016@gmail.com</t>
  </si>
  <si>
    <t>2022-07-07T6:27:52 AM GMT</t>
  </si>
  <si>
    <t>Veeneeth Shetty</t>
  </si>
  <si>
    <t>vineeth_shetty@yahoo.co.in</t>
  </si>
  <si>
    <t>2022-07-07T6:26:29 AM GMT</t>
  </si>
  <si>
    <t>Tajinder Singh</t>
  </si>
  <si>
    <t>tajinder.tazz123@gmail.com</t>
  </si>
  <si>
    <t>2022-07-07T6:26:04 AM GMT</t>
  </si>
  <si>
    <t>Ashish Bisht</t>
  </si>
  <si>
    <t>ashishbbisht37@gmail.com</t>
  </si>
  <si>
    <t>2022-07-07T6:24:50 AM GMT</t>
  </si>
  <si>
    <t>SMITA SINGH</t>
  </si>
  <si>
    <t>PARTHAQUAFRESHSMITA@GMAIL.COM</t>
  </si>
  <si>
    <t>2022-07-07T6:21:56 AM GMT</t>
  </si>
  <si>
    <t>Apurva Sawant</t>
  </si>
  <si>
    <t>apurvasawant07@gmail.com</t>
  </si>
  <si>
    <t>2022-07-07T6:21:30 AM GMT</t>
  </si>
  <si>
    <t>Mahendra Jatav</t>
  </si>
  <si>
    <t>mahendra90jatav@gmail.com</t>
  </si>
  <si>
    <t>2022-07-07T6:19:44 AM GMT</t>
  </si>
  <si>
    <t>Basit Zaffar</t>
  </si>
  <si>
    <t>basitzaffar333@gmail.com</t>
  </si>
  <si>
    <t>2022-07-07T6:19:22 AM GMT</t>
  </si>
  <si>
    <t>BhanuPrakash D</t>
  </si>
  <si>
    <t>bhanuprakash.fb@gmail.com</t>
  </si>
  <si>
    <t>2022-07-07T6:19:10 AM GMT</t>
  </si>
  <si>
    <t>Gaurav Raheja</t>
  </si>
  <si>
    <t>rahejagaurav18+puma@gmail.com</t>
  </si>
  <si>
    <t>2022-07-07T6:18:53 AM GMT</t>
  </si>
  <si>
    <t>Manmander Singh Marwaha</t>
  </si>
  <si>
    <t>manmandersingh21@gmail.com</t>
  </si>
  <si>
    <t>2022-07-07T6:14:16 AM GMT</t>
  </si>
  <si>
    <t>SANGITA GUNJAL</t>
  </si>
  <si>
    <t>sangitaappa54@gmail.com</t>
  </si>
  <si>
    <t>2022-07-07T6:14:09 AM GMT</t>
  </si>
  <si>
    <t>Oliver Coelho</t>
  </si>
  <si>
    <t>coelhooliver5800@gmail.com</t>
  </si>
  <si>
    <t>2022-07-07T6:14:04 AM GMT</t>
  </si>
  <si>
    <t>Subham Sharma</t>
  </si>
  <si>
    <t>subham.9sharma@gmail.com</t>
  </si>
  <si>
    <t>2022-07-07T6:13:13 AM GMT</t>
  </si>
  <si>
    <t>Sumer Singh</t>
  </si>
  <si>
    <t>Sumersingh000007@gmail.com</t>
  </si>
  <si>
    <t>2022-07-07T6:11:29 AM GMT</t>
  </si>
  <si>
    <t>Arvind Elango</t>
  </si>
  <si>
    <t>arvinde.krishna@icloud.com</t>
  </si>
  <si>
    <t>2022-07-07T6:10:44 AM GMT</t>
  </si>
  <si>
    <t>Karan Singh</t>
  </si>
  <si>
    <t>askaran1506@gmail.com</t>
  </si>
  <si>
    <t>2022-07-07T6:07:50 AM GMT</t>
  </si>
  <si>
    <t>Mitra G</t>
  </si>
  <si>
    <t>gvsmitra@gmail.com</t>
  </si>
  <si>
    <t>2022-07-07T6:06:42 AM GMT</t>
  </si>
  <si>
    <t>Sumit Dagar</t>
  </si>
  <si>
    <t>antiper129@gmail.com</t>
  </si>
  <si>
    <t>2022-07-07T6:06:32 AM GMT</t>
  </si>
  <si>
    <t>KANIMOZHI KANIMOZHI</t>
  </si>
  <si>
    <t>kani.mozhi4@gmail.com</t>
  </si>
  <si>
    <t>2022-07-07T6:03:11 AM GMT</t>
  </si>
  <si>
    <t>Daman singh</t>
  </si>
  <si>
    <t>singhdaman752@gmail.com</t>
  </si>
  <si>
    <t>2022-07-07T6:02:55 AM GMT</t>
  </si>
  <si>
    <t>Rijul Garg</t>
  </si>
  <si>
    <t>rijulgarg12@gmail.com</t>
  </si>
  <si>
    <t>2022-07-07T6:02:03 AM GMT</t>
  </si>
  <si>
    <t>Ruchir Raizada</t>
  </si>
  <si>
    <t>ruchir.luv@gmail.com</t>
  </si>
  <si>
    <t>2022-07-07T6:01:59 AM GMT</t>
  </si>
  <si>
    <t>Sidhant Sharma</t>
  </si>
  <si>
    <t>sidhant2509@gmail.com</t>
  </si>
  <si>
    <t>2022-07-07T6:00:59 AM GMT</t>
  </si>
  <si>
    <t>Jeneva Loitongbam</t>
  </si>
  <si>
    <t>loitongbamjeneva@gmail.com</t>
  </si>
  <si>
    <t>2022-07-07T5:56:12 AM GMT</t>
  </si>
  <si>
    <t>akash naregal</t>
  </si>
  <si>
    <t>naregalakash58@gmail.com</t>
  </si>
  <si>
    <t>2022-07-07T5:55:56 AM GMT</t>
  </si>
  <si>
    <t>Yesleen Kaur</t>
  </si>
  <si>
    <t>yesleenbindra@gmail.com</t>
  </si>
  <si>
    <t>2022-07-07T5:55:06 AM GMT</t>
  </si>
  <si>
    <t>Faisal Mohi</t>
  </si>
  <si>
    <t>faisalmohithennala@gmail.com</t>
  </si>
  <si>
    <t>2022-07-07T5:54:15 AM GMT</t>
  </si>
  <si>
    <t>Ujjwal Bhandary</t>
  </si>
  <si>
    <t>ujwalbhandary007@gmail.com</t>
  </si>
  <si>
    <t>2022-07-07T5:52:01 AM GMT</t>
  </si>
  <si>
    <t>Banin Shrestha</t>
  </si>
  <si>
    <t>banin.sensha@gmail.com</t>
  </si>
  <si>
    <t>2022-07-07T5:51:28 AM GMT</t>
  </si>
  <si>
    <t>2022-07-07T5:51:21 AM GMT</t>
  </si>
  <si>
    <t>Lidhwan Venky</t>
  </si>
  <si>
    <t>lidhwanle8296@gmail.com</t>
  </si>
  <si>
    <t>2022-07-07T5:50:36 AM GMT</t>
  </si>
  <si>
    <t>2022-07-07T5:49:59 AM GMT</t>
  </si>
  <si>
    <t>2022-07-07T5:49:44 AM GMT</t>
  </si>
  <si>
    <t>ARIKESHWARAN M</t>
  </si>
  <si>
    <t>arikeshwaran@gmail.com</t>
  </si>
  <si>
    <t>2022-07-07T5:47:56 AM GMT</t>
  </si>
  <si>
    <t>Aman Singh</t>
  </si>
  <si>
    <t>myamanthakur@gmail.com</t>
  </si>
  <si>
    <t>2022-07-07T5:45:49 AM GMT</t>
  </si>
  <si>
    <t>Swarupa Kambli</t>
  </si>
  <si>
    <t>mukeshkambli07453@gmail.com</t>
  </si>
  <si>
    <t>2022-07-07T5:45:07 AM GMT</t>
  </si>
  <si>
    <t>Veerapandi P</t>
  </si>
  <si>
    <t>pandiveera72@gmail.com</t>
  </si>
  <si>
    <t>2022-07-07T5:43:40 AM GMT</t>
  </si>
  <si>
    <t>2022-07-07T5:42:40 AM GMT</t>
  </si>
  <si>
    <t>Vinay Dubey</t>
  </si>
  <si>
    <t>vinaydubey1825@gmail.com</t>
  </si>
  <si>
    <t>2022-07-07T5:38:51 AM GMT</t>
  </si>
  <si>
    <t>Mohit arya</t>
  </si>
  <si>
    <t>millinero@gmail.com</t>
  </si>
  <si>
    <t>2022-07-07T5:37:31 AM GMT</t>
  </si>
  <si>
    <t>Ashish Pradhan</t>
  </si>
  <si>
    <t>ashishpradhan0029@gmail.com</t>
  </si>
  <si>
    <t>2022-07-07T5:36:33 AM GMT</t>
  </si>
  <si>
    <t>Paramananda Gogoi</t>
  </si>
  <si>
    <t>gogoiputu03@gmail.com</t>
  </si>
  <si>
    <t>2022-07-07T5:35:48 AM GMT</t>
  </si>
  <si>
    <t>Surya Chauhan</t>
  </si>
  <si>
    <t>suryachauhan75@gmail.com</t>
  </si>
  <si>
    <t>2022-07-07T5:35:25 AM GMT</t>
  </si>
  <si>
    <t>Aswin Kavitha</t>
  </si>
  <si>
    <t>aswinkavitha900@gmail.com</t>
  </si>
  <si>
    <t>2022-07-07T5:34:28 AM GMT</t>
  </si>
  <si>
    <t>Aniket Pathak</t>
  </si>
  <si>
    <t>aniketpathak7@gmail.com</t>
  </si>
  <si>
    <t>2022-07-07T5:33:57 AM GMT</t>
  </si>
  <si>
    <t>anamika suri</t>
  </si>
  <si>
    <t>anamikas84@gmail.com</t>
  </si>
  <si>
    <t>2022-07-07T5:32:44 AM GMT</t>
  </si>
  <si>
    <t>2022-07-07T5:31:10 AM GMT</t>
  </si>
  <si>
    <t>k4karanbhatia2@gmail.com</t>
  </si>
  <si>
    <t>2022-07-07T5:31:02 AM GMT</t>
  </si>
  <si>
    <t>SAKSHAM RAJPUT</t>
  </si>
  <si>
    <t>saksham1111raj@gmail.com</t>
  </si>
  <si>
    <t>2022-07-07T5:30:23 AM GMT</t>
  </si>
  <si>
    <t>2022-07-07T5:27:57 AM GMT</t>
  </si>
  <si>
    <t>Varun P</t>
  </si>
  <si>
    <t>varun250102@gmail.com</t>
  </si>
  <si>
    <t>2022-07-07T5:27:07 AM GMT</t>
  </si>
  <si>
    <t>2022-07-07T5:26:20 AM GMT</t>
  </si>
  <si>
    <t>Debabrata Sahoo</t>
  </si>
  <si>
    <t>debabratasahoo267@gmail.com</t>
  </si>
  <si>
    <t>2022-07-07T5:23:06 AM GMT</t>
  </si>
  <si>
    <t>ketan Raj</t>
  </si>
  <si>
    <t>ketanraj2021@gmail.com</t>
  </si>
  <si>
    <t>2022-07-07T5:22:45 AM GMT</t>
  </si>
  <si>
    <t>jeev singh</t>
  </si>
  <si>
    <t>jivisingh432@gmail.com</t>
  </si>
  <si>
    <t>2022-07-07T5:21:16 AM GMT</t>
  </si>
  <si>
    <t>Suraj KS</t>
  </si>
  <si>
    <t>ks.suraj095@gmail.com</t>
  </si>
  <si>
    <t>2022-07-07T5:21:15 AM GMT</t>
  </si>
  <si>
    <t>Mukul Negi</t>
  </si>
  <si>
    <t>tomknegi@gmail.com</t>
  </si>
  <si>
    <t>2022-07-07T5:19:38 AM GMT</t>
  </si>
  <si>
    <t>2022-07-07T5:19:30 AM GMT</t>
  </si>
  <si>
    <t>ASHAQ RATHER</t>
  </si>
  <si>
    <t>ashaqashaq@gmail.com</t>
  </si>
  <si>
    <t>2022-07-07T5:16:33 AM GMT</t>
  </si>
  <si>
    <t>GARY TOCHHAWNG</t>
  </si>
  <si>
    <t>gary.l.tochhawng97@gmail.com</t>
  </si>
  <si>
    <t>2022-07-07T5:16:02 AM GMT</t>
  </si>
  <si>
    <t>Vibhor Shukla</t>
  </si>
  <si>
    <t>vibhorshukla48@gmail.com</t>
  </si>
  <si>
    <t>2022-07-07T5:14:02 AM GMT</t>
  </si>
  <si>
    <t>Eric Ramdinmawia</t>
  </si>
  <si>
    <t>ramdinmawia82@gmail.com</t>
  </si>
  <si>
    <t>2022-07-07T5:13:03 AM GMT</t>
  </si>
  <si>
    <t>Nidhi patel</t>
  </si>
  <si>
    <t>nidhipatel5173@gmail.com</t>
  </si>
  <si>
    <t>2022-07-07T5:12:57 AM GMT</t>
  </si>
  <si>
    <t>Crescent Tariang</t>
  </si>
  <si>
    <t>ctariang6@gmail.com</t>
  </si>
  <si>
    <t>2022-07-07T5:11:21 AM GMT</t>
  </si>
  <si>
    <t>dhruv sarawagi</t>
  </si>
  <si>
    <t>sanjay9327709592@gmail.com</t>
  </si>
  <si>
    <t>2022-07-07T5:11:07 AM GMT</t>
  </si>
  <si>
    <t>Ritesh Ritesh</t>
  </si>
  <si>
    <t>riteshdhamdhere7@gmail.com</t>
  </si>
  <si>
    <t>2022-07-07T5:09:52 AM GMT</t>
  </si>
  <si>
    <t>Christie Varghese</t>
  </si>
  <si>
    <t>christievanand@gamil.com</t>
  </si>
  <si>
    <t>2022-07-07T5:09:09 AM GMT</t>
  </si>
  <si>
    <t>abhishek lalotra</t>
  </si>
  <si>
    <t>abhisheklalotra111@gmail.com</t>
  </si>
  <si>
    <t>2022-07-07T5:08:56 AM GMT</t>
  </si>
  <si>
    <t xml:space="preserve">Masoom  Singhal </t>
  </si>
  <si>
    <t>singhal.masoombtp@gmail.com</t>
  </si>
  <si>
    <t>2022-07-07T5:08:27 AM GMT</t>
  </si>
  <si>
    <t>Shubham Sharma</t>
  </si>
  <si>
    <t>shubham281785@gmail.com</t>
  </si>
  <si>
    <t>2022-07-07T5:07:51 AM GMT</t>
  </si>
  <si>
    <t>Surendra Bishnoi</t>
  </si>
  <si>
    <t>Surendrajaguwani3235@gmail.com</t>
  </si>
  <si>
    <t>2022-07-07T5:04:21 AM GMT</t>
  </si>
  <si>
    <t>Kunal Bhati</t>
  </si>
  <si>
    <t>bhatikunal9@gmail.com</t>
  </si>
  <si>
    <t>2022-07-07T4:18:26 AM GMT</t>
  </si>
  <si>
    <t>2022-07-07T3:13:29 AM GMT</t>
  </si>
  <si>
    <t>Safvan Abdulla</t>
  </si>
  <si>
    <t>safvanp92@gmail.com</t>
  </si>
  <si>
    <t>2022-07-07T2:54:05 AM GMT</t>
  </si>
  <si>
    <t>Abhi Kumar</t>
  </si>
  <si>
    <t>abhi9837362542@gmail.com</t>
  </si>
  <si>
    <t>2022-07-06T5:38:41 PM GMT</t>
  </si>
  <si>
    <t>2022-07-06T5:26:59 PM GMT</t>
  </si>
  <si>
    <t>Aditya Madhusudan</t>
  </si>
  <si>
    <t>aditya.msudan@gmail.com</t>
  </si>
  <si>
    <t>2022-07-06T5:06:05 PM GMT</t>
  </si>
  <si>
    <t>Akshay Puri</t>
  </si>
  <si>
    <t>dev_puri99@yahoo.com</t>
  </si>
  <si>
    <t>2022-07-06T5:00:56 PM GMT</t>
  </si>
  <si>
    <t>Nikhil KH</t>
  </si>
  <si>
    <t>khnikhil007@gmail.com</t>
  </si>
  <si>
    <t>2022-07-06T4:52:00 PM GMT</t>
  </si>
  <si>
    <t>Amar Hayagriva</t>
  </si>
  <si>
    <t>amarcc86@gmail.com</t>
  </si>
  <si>
    <t>2022-07-06T4:21:44 PM GMT</t>
  </si>
  <si>
    <t>Nilesh Gajre</t>
  </si>
  <si>
    <t>gajre30@gmail.com</t>
  </si>
  <si>
    <t>2022-07-06T3:20:47 PM GMT</t>
  </si>
  <si>
    <t>Himanshu Parve</t>
  </si>
  <si>
    <t>himyaparve@gmail.com</t>
  </si>
  <si>
    <t>2022-07-06T1:05:01 PM GMT</t>
  </si>
  <si>
    <t>angel chadha</t>
  </si>
  <si>
    <t>angelchadha18@gmail.com</t>
  </si>
  <si>
    <t>2022-07-06T11:57:54 AM GMT</t>
  </si>
  <si>
    <t>Pranav Kothawade</t>
  </si>
  <si>
    <t>pranavkothawade378@gmail.com</t>
  </si>
  <si>
    <t>SarojKumar Behera</t>
  </si>
  <si>
    <t>saroj.pintu.pnvg@gmail.com</t>
  </si>
  <si>
    <t>2022-07-06T10:48:59 AM GMT</t>
  </si>
  <si>
    <t>Avinash Thakur</t>
  </si>
  <si>
    <t>avinashthakur.at1@gmail.com</t>
  </si>
  <si>
    <t>2022-07-06T10:31:42 AM GMT</t>
  </si>
  <si>
    <t>2022-07-06T9:24:50 AM GMT</t>
  </si>
  <si>
    <t>Bharath M</t>
  </si>
  <si>
    <t>bhavithiran1998@gmail.com</t>
  </si>
  <si>
    <t>2022-07-06T7:27:05 AM GMT</t>
  </si>
  <si>
    <t>Nishii Gautam</t>
  </si>
  <si>
    <t>nishigautam.nishu2@gmail.com</t>
  </si>
  <si>
    <t>2022-07-06T4:04:24 AM GMT</t>
  </si>
  <si>
    <t>Abhishek Bhardwaj</t>
  </si>
  <si>
    <t>abhishek20.2009@gmail.com</t>
  </si>
  <si>
    <t>2022-07-06T3:50:58 AM GMT</t>
  </si>
  <si>
    <t>2022-07-06T3:05:10 AM GMT</t>
  </si>
  <si>
    <t>Anand  Shukla</t>
  </si>
  <si>
    <t>anandviraat@gmail.com</t>
  </si>
  <si>
    <t>2022-07-05T8:54:20 PM GMT</t>
  </si>
  <si>
    <t>Vishal Agarwal</t>
  </si>
  <si>
    <t>vishalagarwal031@gmail.com</t>
  </si>
  <si>
    <t>Order_Qty</t>
  </si>
  <si>
    <t>status</t>
  </si>
  <si>
    <t>PROCESSING</t>
  </si>
  <si>
    <t>CANCELLED</t>
  </si>
  <si>
    <t>UNFULFILLABLE</t>
  </si>
  <si>
    <t>FULFILLABLE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</si>
</sst>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" fontId="0" fillId="0" borderId="0" xfId="0" applyNumberFormat="1"/>
    <xf numFmtId="14" fontId="0" fillId="0" borderId="0" xfId="0" applyNumberFormat="1"/>
    <xf numFmtId="0" fontId="19" fillId="0" borderId="0" xfId="0" applyFont="1"/>
    <xf numFmtId="4" fontId="19" fillId="0" borderId="0" xfId="0" applyNumberFormat="1" applyFont="1"/>
    <xf numFmtId="3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19050</xdr:rowOff>
        </xdr:from>
        <xdr:to>
          <xdr:col>13</xdr:col>
          <xdr:colOff>25400</xdr:colOff>
          <xdr:row>1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0</xdr:rowOff>
        </xdr:from>
        <xdr:to>
          <xdr:col>10</xdr:col>
          <xdr:colOff>558800</xdr:colOff>
          <xdr:row>1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aw"/>
  <dimension ref="A1:I1680"/>
  <sheetViews>
    <sheetView workbookViewId="0">
      <selection activeCell="J15" sqref="J15"/>
    </sheetView>
  </sheetViews>
  <sheetFormatPr defaultRowHeight="14.5" x14ac:dyDescent="0.35"/>
  <cols>
    <col min="1" max="1" width="14.453125" customWidth="1"/>
    <col min="2" max="2" width="21.6328125" customWidth="1"/>
  </cols>
  <sheetData>
    <row r="1" spans="1:9" ht="28.5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5">
      <c r="A2" s="3">
        <v>103411292</v>
      </c>
      <c r="B2" s="3" t="s">
        <v>4082</v>
      </c>
      <c r="C2" s="3" t="s">
        <v>9</v>
      </c>
      <c r="D2" s="3" t="s">
        <v>5</v>
      </c>
      <c r="E2" s="3" t="s">
        <v>10</v>
      </c>
      <c r="F2" s="3" t="s">
        <v>4083</v>
      </c>
      <c r="G2" s="3" t="s">
        <v>4084</v>
      </c>
      <c r="H2" s="4">
        <v>6839.14</v>
      </c>
      <c r="I2" s="3" t="s">
        <v>11</v>
      </c>
    </row>
    <row r="3" spans="1:9" x14ac:dyDescent="0.35">
      <c r="A3" s="3">
        <v>103411281</v>
      </c>
      <c r="B3" s="3" t="s">
        <v>4085</v>
      </c>
      <c r="C3" s="3" t="s">
        <v>9</v>
      </c>
      <c r="D3" s="3" t="s">
        <v>5</v>
      </c>
      <c r="E3" s="3" t="s">
        <v>10</v>
      </c>
      <c r="F3" s="3" t="s">
        <v>4086</v>
      </c>
      <c r="G3" s="3" t="s">
        <v>4087</v>
      </c>
      <c r="H3" s="4">
        <v>2468.1</v>
      </c>
      <c r="I3" s="3" t="s">
        <v>11</v>
      </c>
    </row>
    <row r="4" spans="1:9" x14ac:dyDescent="0.35">
      <c r="A4" s="3">
        <v>103411274</v>
      </c>
      <c r="B4" s="3" t="s">
        <v>4088</v>
      </c>
      <c r="C4" s="3" t="s">
        <v>9</v>
      </c>
      <c r="D4" s="3" t="s">
        <v>5</v>
      </c>
      <c r="E4" s="3" t="s">
        <v>10</v>
      </c>
      <c r="F4" s="3" t="s">
        <v>4089</v>
      </c>
      <c r="G4" s="3" t="s">
        <v>4090</v>
      </c>
      <c r="H4" s="5">
        <v>5849</v>
      </c>
      <c r="I4" s="3" t="s">
        <v>11</v>
      </c>
    </row>
    <row r="5" spans="1:9" x14ac:dyDescent="0.35">
      <c r="A5" s="3">
        <v>103411272</v>
      </c>
      <c r="B5" s="3" t="s">
        <v>4091</v>
      </c>
      <c r="C5" s="3" t="s">
        <v>9</v>
      </c>
      <c r="D5" s="3" t="s">
        <v>5</v>
      </c>
      <c r="E5" s="3" t="s">
        <v>12</v>
      </c>
      <c r="F5" s="3" t="s">
        <v>4092</v>
      </c>
      <c r="G5" s="3" t="s">
        <v>4093</v>
      </c>
      <c r="H5" s="5">
        <v>1249</v>
      </c>
      <c r="I5" s="3" t="s">
        <v>14</v>
      </c>
    </row>
    <row r="6" spans="1:9" x14ac:dyDescent="0.35">
      <c r="A6" s="3">
        <v>103411192</v>
      </c>
      <c r="B6" s="3" t="s">
        <v>4094</v>
      </c>
      <c r="C6" s="3" t="s">
        <v>9</v>
      </c>
      <c r="D6" s="3" t="s">
        <v>5</v>
      </c>
      <c r="E6" s="3" t="s">
        <v>10</v>
      </c>
      <c r="F6" s="3" t="s">
        <v>4095</v>
      </c>
      <c r="G6" s="3" t="s">
        <v>4096</v>
      </c>
      <c r="H6" s="5">
        <v>9598</v>
      </c>
      <c r="I6" s="3" t="s">
        <v>14</v>
      </c>
    </row>
    <row r="7" spans="1:9" x14ac:dyDescent="0.35">
      <c r="A7" s="3">
        <v>103411270</v>
      </c>
      <c r="B7" s="3" t="s">
        <v>4097</v>
      </c>
      <c r="C7" s="3" t="s">
        <v>9</v>
      </c>
      <c r="D7" s="3" t="s">
        <v>5</v>
      </c>
      <c r="E7" s="3" t="s">
        <v>10</v>
      </c>
      <c r="F7" s="3" t="s">
        <v>4098</v>
      </c>
      <c r="G7" s="3" t="s">
        <v>4099</v>
      </c>
      <c r="H7" s="3">
        <v>616.54999999999995</v>
      </c>
      <c r="I7" s="3" t="s">
        <v>14</v>
      </c>
    </row>
    <row r="8" spans="1:9" x14ac:dyDescent="0.35">
      <c r="A8" s="3">
        <v>103411266</v>
      </c>
      <c r="B8" s="3" t="s">
        <v>4100</v>
      </c>
      <c r="C8" s="3" t="s">
        <v>9</v>
      </c>
      <c r="D8" s="3" t="s">
        <v>5</v>
      </c>
      <c r="E8" s="3" t="s">
        <v>10</v>
      </c>
      <c r="F8" s="3" t="s">
        <v>4101</v>
      </c>
      <c r="G8" s="3" t="s">
        <v>4102</v>
      </c>
      <c r="H8" s="4">
        <v>3051.49</v>
      </c>
      <c r="I8" s="3" t="s">
        <v>14</v>
      </c>
    </row>
    <row r="9" spans="1:9" x14ac:dyDescent="0.35">
      <c r="A9" s="3">
        <v>103411265</v>
      </c>
      <c r="B9" s="3" t="s">
        <v>4103</v>
      </c>
      <c r="C9" s="3" t="s">
        <v>9</v>
      </c>
      <c r="D9" s="3" t="s">
        <v>5</v>
      </c>
      <c r="E9" s="3" t="s">
        <v>10</v>
      </c>
      <c r="F9" s="3" t="s">
        <v>4104</v>
      </c>
      <c r="G9" s="3" t="s">
        <v>4105</v>
      </c>
      <c r="H9" s="3">
        <v>489</v>
      </c>
      <c r="I9" s="3" t="s">
        <v>14</v>
      </c>
    </row>
    <row r="10" spans="1:9" x14ac:dyDescent="0.35">
      <c r="A10" s="3">
        <v>103411188</v>
      </c>
      <c r="B10" s="3" t="s">
        <v>4106</v>
      </c>
      <c r="C10" s="3" t="s">
        <v>9</v>
      </c>
      <c r="D10" s="3" t="s">
        <v>5</v>
      </c>
      <c r="E10" s="3" t="s">
        <v>10</v>
      </c>
      <c r="F10" s="3" t="s">
        <v>4107</v>
      </c>
      <c r="G10" s="3" t="s">
        <v>4108</v>
      </c>
      <c r="H10" s="3">
        <v>350.55</v>
      </c>
      <c r="I10" s="3" t="s">
        <v>14</v>
      </c>
    </row>
    <row r="11" spans="1:9" x14ac:dyDescent="0.35">
      <c r="A11" s="3">
        <v>103411187</v>
      </c>
      <c r="B11" s="3" t="s">
        <v>4109</v>
      </c>
      <c r="C11" s="3" t="s">
        <v>9</v>
      </c>
      <c r="D11" s="3" t="s">
        <v>5</v>
      </c>
      <c r="E11" s="3" t="s">
        <v>10</v>
      </c>
      <c r="F11" s="3" t="s">
        <v>4110</v>
      </c>
      <c r="G11" s="3" t="s">
        <v>4111</v>
      </c>
      <c r="H11" s="5">
        <v>1999</v>
      </c>
      <c r="I11" s="3" t="s">
        <v>14</v>
      </c>
    </row>
    <row r="12" spans="1:9" x14ac:dyDescent="0.35">
      <c r="A12" s="3">
        <v>103411186</v>
      </c>
      <c r="B12" s="3" t="s">
        <v>4112</v>
      </c>
      <c r="C12" s="3" t="s">
        <v>9</v>
      </c>
      <c r="D12" s="3" t="s">
        <v>5</v>
      </c>
      <c r="E12" s="3" t="s">
        <v>10</v>
      </c>
      <c r="F12" s="3" t="s">
        <v>3650</v>
      </c>
      <c r="G12" s="3" t="s">
        <v>3651</v>
      </c>
      <c r="H12" s="4">
        <v>1851.55</v>
      </c>
      <c r="I12" s="3" t="s">
        <v>14</v>
      </c>
    </row>
    <row r="13" spans="1:9" x14ac:dyDescent="0.35">
      <c r="A13" s="3">
        <v>103411161</v>
      </c>
      <c r="B13" s="3" t="s">
        <v>4113</v>
      </c>
      <c r="C13" s="3" t="s">
        <v>9</v>
      </c>
      <c r="D13" s="3" t="s">
        <v>5</v>
      </c>
      <c r="E13" s="3" t="s">
        <v>10</v>
      </c>
      <c r="F13" s="3" t="s">
        <v>4114</v>
      </c>
      <c r="G13" s="3" t="s">
        <v>4115</v>
      </c>
      <c r="H13" s="4">
        <v>6839.05</v>
      </c>
      <c r="I13" s="3" t="s">
        <v>14</v>
      </c>
    </row>
    <row r="14" spans="1:9" x14ac:dyDescent="0.35">
      <c r="A14" s="3">
        <v>103411156</v>
      </c>
      <c r="B14" s="3" t="s">
        <v>4116</v>
      </c>
      <c r="C14" s="3" t="s">
        <v>9</v>
      </c>
      <c r="D14" s="3" t="s">
        <v>5</v>
      </c>
      <c r="E14" s="3" t="s">
        <v>10</v>
      </c>
      <c r="F14" s="3" t="s">
        <v>4117</v>
      </c>
      <c r="G14" s="3" t="s">
        <v>4118</v>
      </c>
      <c r="H14" s="5">
        <v>5199</v>
      </c>
      <c r="I14" s="3" t="s">
        <v>14</v>
      </c>
    </row>
    <row r="15" spans="1:9" x14ac:dyDescent="0.35">
      <c r="A15" s="3">
        <v>103411155</v>
      </c>
      <c r="B15" s="3" t="s">
        <v>4119</v>
      </c>
      <c r="C15" s="3" t="s">
        <v>9</v>
      </c>
      <c r="D15" s="3" t="s">
        <v>5</v>
      </c>
      <c r="E15" s="3" t="s">
        <v>10</v>
      </c>
      <c r="F15" s="3" t="s">
        <v>4120</v>
      </c>
      <c r="G15" s="3" t="s">
        <v>4121</v>
      </c>
      <c r="H15" s="3">
        <v>389</v>
      </c>
      <c r="I15" s="3" t="s">
        <v>14</v>
      </c>
    </row>
    <row r="16" spans="1:9" x14ac:dyDescent="0.35">
      <c r="A16" s="3">
        <v>103411150</v>
      </c>
      <c r="B16" s="3" t="s">
        <v>4122</v>
      </c>
      <c r="C16" s="3" t="s">
        <v>9</v>
      </c>
      <c r="D16" s="3" t="s">
        <v>5</v>
      </c>
      <c r="E16" s="3" t="s">
        <v>12</v>
      </c>
      <c r="F16" s="3" t="s">
        <v>4123</v>
      </c>
      <c r="G16" s="3" t="s">
        <v>4124</v>
      </c>
      <c r="H16" s="3">
        <v>806.55</v>
      </c>
      <c r="I16" s="3" t="s">
        <v>14</v>
      </c>
    </row>
    <row r="17" spans="1:9" x14ac:dyDescent="0.35">
      <c r="A17" s="3">
        <v>103411146</v>
      </c>
      <c r="B17" s="3" t="s">
        <v>4125</v>
      </c>
      <c r="C17" s="3" t="s">
        <v>9</v>
      </c>
      <c r="D17" s="3" t="s">
        <v>5</v>
      </c>
      <c r="E17" s="3" t="s">
        <v>10</v>
      </c>
      <c r="F17" s="3" t="s">
        <v>4126</v>
      </c>
      <c r="G17" s="3" t="s">
        <v>4127</v>
      </c>
      <c r="H17" s="4">
        <v>2374.0500000000002</v>
      </c>
      <c r="I17" s="3" t="s">
        <v>14</v>
      </c>
    </row>
    <row r="18" spans="1:9" x14ac:dyDescent="0.35">
      <c r="A18" s="3">
        <v>103411179</v>
      </c>
      <c r="B18" s="3" t="s">
        <v>4128</v>
      </c>
      <c r="C18" s="3" t="s">
        <v>9</v>
      </c>
      <c r="D18" s="3" t="s">
        <v>5</v>
      </c>
      <c r="E18" s="3" t="s">
        <v>10</v>
      </c>
      <c r="F18" s="3" t="s">
        <v>4129</v>
      </c>
      <c r="G18" s="3" t="s">
        <v>4130</v>
      </c>
      <c r="H18" s="4">
        <v>4143.33</v>
      </c>
      <c r="I18" s="3" t="s">
        <v>14</v>
      </c>
    </row>
    <row r="19" spans="1:9" x14ac:dyDescent="0.35">
      <c r="A19" s="3">
        <v>103411177</v>
      </c>
      <c r="B19" s="3" t="s">
        <v>4131</v>
      </c>
      <c r="C19" s="3" t="s">
        <v>9</v>
      </c>
      <c r="D19" s="3" t="s">
        <v>5</v>
      </c>
      <c r="E19" s="3" t="s">
        <v>12</v>
      </c>
      <c r="F19" s="3" t="s">
        <v>4132</v>
      </c>
      <c r="G19" s="3" t="s">
        <v>4133</v>
      </c>
      <c r="H19" s="5">
        <v>3599</v>
      </c>
      <c r="I19" s="3" t="s">
        <v>14</v>
      </c>
    </row>
    <row r="20" spans="1:9" x14ac:dyDescent="0.35">
      <c r="A20" s="3">
        <v>103411144</v>
      </c>
      <c r="B20" s="3" t="s">
        <v>4134</v>
      </c>
      <c r="C20" s="3" t="s">
        <v>9</v>
      </c>
      <c r="D20" s="3" t="s">
        <v>5</v>
      </c>
      <c r="E20" s="3" t="s">
        <v>12</v>
      </c>
      <c r="F20" s="3" t="s">
        <v>4135</v>
      </c>
      <c r="G20" s="3" t="s">
        <v>4136</v>
      </c>
      <c r="H20" s="5">
        <v>6345</v>
      </c>
      <c r="I20" s="3" t="s">
        <v>14</v>
      </c>
    </row>
    <row r="21" spans="1:9" x14ac:dyDescent="0.35">
      <c r="A21" s="3">
        <v>103411143</v>
      </c>
      <c r="B21" s="3" t="s">
        <v>4137</v>
      </c>
      <c r="C21" s="3" t="s">
        <v>9</v>
      </c>
      <c r="D21" s="3" t="s">
        <v>5</v>
      </c>
      <c r="E21" s="3" t="s">
        <v>10</v>
      </c>
      <c r="F21" s="3" t="s">
        <v>4138</v>
      </c>
      <c r="G21" s="3" t="s">
        <v>4139</v>
      </c>
      <c r="H21" s="4">
        <v>1076.44</v>
      </c>
      <c r="I21" s="3" t="s">
        <v>14</v>
      </c>
    </row>
    <row r="22" spans="1:9" x14ac:dyDescent="0.35">
      <c r="A22" s="3">
        <v>103411142</v>
      </c>
      <c r="B22" s="3" t="s">
        <v>4140</v>
      </c>
      <c r="C22" s="3" t="s">
        <v>9</v>
      </c>
      <c r="D22" s="3" t="s">
        <v>5</v>
      </c>
      <c r="E22" s="3" t="s">
        <v>10</v>
      </c>
      <c r="F22" s="3" t="s">
        <v>4141</v>
      </c>
      <c r="G22" s="3" t="s">
        <v>4142</v>
      </c>
      <c r="H22" s="4">
        <v>3656.55</v>
      </c>
      <c r="I22" s="3" t="s">
        <v>14</v>
      </c>
    </row>
    <row r="23" spans="1:9" x14ac:dyDescent="0.35">
      <c r="A23" s="3">
        <v>103411174</v>
      </c>
      <c r="B23" s="3" t="s">
        <v>4143</v>
      </c>
      <c r="C23" s="3" t="s">
        <v>9</v>
      </c>
      <c r="D23" s="3" t="s">
        <v>5</v>
      </c>
      <c r="E23" s="3" t="s">
        <v>10</v>
      </c>
      <c r="F23" s="3" t="s">
        <v>4144</v>
      </c>
      <c r="G23" s="3" t="s">
        <v>4145</v>
      </c>
      <c r="H23" s="4">
        <v>1063.05</v>
      </c>
      <c r="I23" s="3" t="s">
        <v>14</v>
      </c>
    </row>
    <row r="24" spans="1:9" x14ac:dyDescent="0.35">
      <c r="A24" s="3">
        <v>103411140</v>
      </c>
      <c r="B24" s="3" t="s">
        <v>4146</v>
      </c>
      <c r="C24" s="3" t="s">
        <v>9</v>
      </c>
      <c r="D24" s="3" t="s">
        <v>5</v>
      </c>
      <c r="E24" s="3" t="s">
        <v>10</v>
      </c>
      <c r="F24" s="3" t="s">
        <v>4147</v>
      </c>
      <c r="G24" s="3" t="s">
        <v>4148</v>
      </c>
      <c r="H24" s="4">
        <v>4321.55</v>
      </c>
      <c r="I24" s="3" t="s">
        <v>14</v>
      </c>
    </row>
    <row r="25" spans="1:9" x14ac:dyDescent="0.35">
      <c r="A25" s="3">
        <v>103411138</v>
      </c>
      <c r="B25" s="3" t="s">
        <v>4149</v>
      </c>
      <c r="C25" s="3" t="s">
        <v>9</v>
      </c>
      <c r="D25" s="3" t="s">
        <v>5</v>
      </c>
      <c r="E25" s="3" t="s">
        <v>10</v>
      </c>
      <c r="F25" s="3" t="s">
        <v>4150</v>
      </c>
      <c r="G25" s="3" t="s">
        <v>4151</v>
      </c>
      <c r="H25" s="4">
        <v>1899.05</v>
      </c>
      <c r="I25" s="3" t="s">
        <v>14</v>
      </c>
    </row>
    <row r="26" spans="1:9" x14ac:dyDescent="0.35">
      <c r="A26" s="3">
        <v>103411137</v>
      </c>
      <c r="B26" s="3" t="s">
        <v>4152</v>
      </c>
      <c r="C26" s="3" t="s">
        <v>9</v>
      </c>
      <c r="D26" s="3" t="s">
        <v>5</v>
      </c>
      <c r="E26" s="3" t="s">
        <v>12</v>
      </c>
      <c r="F26" s="3" t="s">
        <v>4153</v>
      </c>
      <c r="G26" s="3" t="s">
        <v>4154</v>
      </c>
      <c r="H26" s="4">
        <v>4439.49</v>
      </c>
      <c r="I26" s="3" t="s">
        <v>14</v>
      </c>
    </row>
    <row r="27" spans="1:9" x14ac:dyDescent="0.35">
      <c r="A27" s="3">
        <v>103411169</v>
      </c>
      <c r="B27" s="3" t="s">
        <v>4152</v>
      </c>
      <c r="C27" s="3" t="s">
        <v>9</v>
      </c>
      <c r="D27" s="3" t="s">
        <v>5</v>
      </c>
      <c r="E27" s="3" t="s">
        <v>10</v>
      </c>
      <c r="F27" s="3" t="s">
        <v>4155</v>
      </c>
      <c r="G27" s="3" t="s">
        <v>4156</v>
      </c>
      <c r="H27" s="3">
        <v>806.55</v>
      </c>
      <c r="I27" s="3" t="s">
        <v>14</v>
      </c>
    </row>
    <row r="28" spans="1:9" x14ac:dyDescent="0.35">
      <c r="A28" s="3">
        <v>103411132</v>
      </c>
      <c r="B28" s="3" t="s">
        <v>4157</v>
      </c>
      <c r="C28" s="3" t="s">
        <v>9</v>
      </c>
      <c r="D28" s="3" t="s">
        <v>5</v>
      </c>
      <c r="E28" s="3" t="s">
        <v>10</v>
      </c>
      <c r="F28" s="3" t="s">
        <v>4158</v>
      </c>
      <c r="G28" s="3" t="s">
        <v>4159</v>
      </c>
      <c r="H28" s="4">
        <v>1025.1400000000001</v>
      </c>
      <c r="I28" s="3" t="s">
        <v>14</v>
      </c>
    </row>
    <row r="29" spans="1:9" x14ac:dyDescent="0.35">
      <c r="A29" s="3">
        <v>103411061</v>
      </c>
      <c r="B29" s="3" t="s">
        <v>4160</v>
      </c>
      <c r="C29" s="3" t="s">
        <v>9</v>
      </c>
      <c r="D29" s="3" t="s">
        <v>5</v>
      </c>
      <c r="E29" s="3" t="s">
        <v>10</v>
      </c>
      <c r="F29" s="3" t="s">
        <v>4161</v>
      </c>
      <c r="G29" s="3" t="s">
        <v>4162</v>
      </c>
      <c r="H29" s="5">
        <v>5849</v>
      </c>
      <c r="I29" s="3" t="s">
        <v>14</v>
      </c>
    </row>
    <row r="30" spans="1:9" x14ac:dyDescent="0.35">
      <c r="A30" s="3">
        <v>103411059</v>
      </c>
      <c r="B30" s="3" t="s">
        <v>4163</v>
      </c>
      <c r="C30" s="3" t="s">
        <v>9</v>
      </c>
      <c r="D30" s="3" t="s">
        <v>5</v>
      </c>
      <c r="E30" s="3" t="s">
        <v>10</v>
      </c>
      <c r="F30" s="3" t="s">
        <v>48</v>
      </c>
      <c r="G30" s="3" t="s">
        <v>49</v>
      </c>
      <c r="H30" s="5">
        <v>3599</v>
      </c>
      <c r="I30" s="3" t="s">
        <v>14</v>
      </c>
    </row>
    <row r="31" spans="1:9" x14ac:dyDescent="0.35">
      <c r="A31" s="3">
        <v>103411126</v>
      </c>
      <c r="B31" s="3" t="s">
        <v>4164</v>
      </c>
      <c r="C31" s="3" t="s">
        <v>9</v>
      </c>
      <c r="D31" s="3" t="s">
        <v>5</v>
      </c>
      <c r="E31" s="3" t="s">
        <v>12</v>
      </c>
      <c r="F31" s="3" t="s">
        <v>4165</v>
      </c>
      <c r="G31" s="3" t="s">
        <v>4166</v>
      </c>
      <c r="H31" s="5">
        <v>1679</v>
      </c>
      <c r="I31" s="3" t="s">
        <v>14</v>
      </c>
    </row>
    <row r="32" spans="1:9" x14ac:dyDescent="0.35">
      <c r="A32" s="3">
        <v>103411124</v>
      </c>
      <c r="B32" s="3" t="s">
        <v>4167</v>
      </c>
      <c r="C32" s="3" t="s">
        <v>9</v>
      </c>
      <c r="D32" s="3" t="s">
        <v>5</v>
      </c>
      <c r="E32" s="3" t="s">
        <v>10</v>
      </c>
      <c r="F32" s="3" t="s">
        <v>4168</v>
      </c>
      <c r="G32" s="3" t="s">
        <v>4169</v>
      </c>
      <c r="H32" s="3">
        <v>635.54999999999995</v>
      </c>
      <c r="I32" s="3" t="s">
        <v>14</v>
      </c>
    </row>
    <row r="33" spans="1:9" x14ac:dyDescent="0.35">
      <c r="A33" s="3">
        <v>103411118</v>
      </c>
      <c r="B33" s="3" t="s">
        <v>4170</v>
      </c>
      <c r="C33" s="3" t="s">
        <v>9</v>
      </c>
      <c r="D33" s="3" t="s">
        <v>5</v>
      </c>
      <c r="E33" s="3" t="s">
        <v>12</v>
      </c>
      <c r="F33" s="3" t="s">
        <v>4171</v>
      </c>
      <c r="G33" s="3" t="s">
        <v>4172</v>
      </c>
      <c r="H33" s="5">
        <v>1869</v>
      </c>
      <c r="I33" s="3" t="s">
        <v>14</v>
      </c>
    </row>
    <row r="34" spans="1:9" x14ac:dyDescent="0.35">
      <c r="A34" s="3">
        <v>103411117</v>
      </c>
      <c r="B34" s="3" t="s">
        <v>4173</v>
      </c>
      <c r="C34" s="3" t="s">
        <v>9</v>
      </c>
      <c r="D34" s="3" t="s">
        <v>5</v>
      </c>
      <c r="E34" s="3" t="s">
        <v>10</v>
      </c>
      <c r="F34" s="3" t="s">
        <v>2855</v>
      </c>
      <c r="G34" s="3" t="s">
        <v>2856</v>
      </c>
      <c r="H34" s="4">
        <v>1682.1</v>
      </c>
      <c r="I34" s="3" t="s">
        <v>14</v>
      </c>
    </row>
    <row r="35" spans="1:9" x14ac:dyDescent="0.35">
      <c r="A35" s="3">
        <v>103411114</v>
      </c>
      <c r="B35" s="3" t="s">
        <v>4174</v>
      </c>
      <c r="C35" s="3" t="s">
        <v>9</v>
      </c>
      <c r="D35" s="3" t="s">
        <v>5</v>
      </c>
      <c r="E35" s="3" t="s">
        <v>10</v>
      </c>
      <c r="F35" s="3" t="s">
        <v>4175</v>
      </c>
      <c r="G35" s="3" t="s">
        <v>4176</v>
      </c>
      <c r="H35" s="4">
        <v>2887.05</v>
      </c>
      <c r="I35" s="3" t="s">
        <v>14</v>
      </c>
    </row>
    <row r="36" spans="1:9" x14ac:dyDescent="0.35">
      <c r="A36" s="3">
        <v>103411112</v>
      </c>
      <c r="B36" s="3" t="s">
        <v>4177</v>
      </c>
      <c r="C36" s="3" t="s">
        <v>9</v>
      </c>
      <c r="D36" s="3" t="s">
        <v>5</v>
      </c>
      <c r="E36" s="3" t="s">
        <v>10</v>
      </c>
      <c r="F36" s="3" t="s">
        <v>1702</v>
      </c>
      <c r="G36" s="3" t="s">
        <v>1703</v>
      </c>
      <c r="H36" s="4">
        <v>2228.27</v>
      </c>
      <c r="I36" s="3" t="s">
        <v>14</v>
      </c>
    </row>
    <row r="37" spans="1:9" x14ac:dyDescent="0.35">
      <c r="A37" s="3">
        <v>103411038</v>
      </c>
      <c r="B37" s="3" t="s">
        <v>4178</v>
      </c>
      <c r="C37" s="3" t="s">
        <v>9</v>
      </c>
      <c r="D37" s="3" t="s">
        <v>5</v>
      </c>
      <c r="E37" s="3" t="s">
        <v>10</v>
      </c>
      <c r="F37" s="3" t="s">
        <v>4179</v>
      </c>
      <c r="G37" s="3" t="s">
        <v>4180</v>
      </c>
      <c r="H37" s="3">
        <v>359</v>
      </c>
      <c r="I37" s="3" t="s">
        <v>14</v>
      </c>
    </row>
    <row r="38" spans="1:9" x14ac:dyDescent="0.35">
      <c r="A38" s="3">
        <v>103411035</v>
      </c>
      <c r="B38" s="3" t="s">
        <v>4181</v>
      </c>
      <c r="C38" s="3" t="s">
        <v>9</v>
      </c>
      <c r="D38" s="3" t="s">
        <v>5</v>
      </c>
      <c r="E38" s="3" t="s">
        <v>10</v>
      </c>
      <c r="F38" s="3" t="s">
        <v>4182</v>
      </c>
      <c r="G38" s="3" t="s">
        <v>4183</v>
      </c>
      <c r="H38" s="4">
        <v>2849.05</v>
      </c>
      <c r="I38" s="3" t="s">
        <v>14</v>
      </c>
    </row>
    <row r="39" spans="1:9" x14ac:dyDescent="0.35">
      <c r="A39" s="3">
        <v>103411034</v>
      </c>
      <c r="B39" s="3" t="s">
        <v>4184</v>
      </c>
      <c r="C39" s="3" t="s">
        <v>9</v>
      </c>
      <c r="D39" s="3" t="s">
        <v>5</v>
      </c>
      <c r="E39" s="3" t="s">
        <v>10</v>
      </c>
      <c r="F39" s="3" t="s">
        <v>4185</v>
      </c>
      <c r="G39" s="3" t="s">
        <v>4186</v>
      </c>
      <c r="H39" s="5">
        <v>2099</v>
      </c>
      <c r="I39" s="3" t="s">
        <v>14</v>
      </c>
    </row>
    <row r="40" spans="1:9" x14ac:dyDescent="0.35">
      <c r="A40" s="3">
        <v>103411033</v>
      </c>
      <c r="B40" s="3" t="s">
        <v>4187</v>
      </c>
      <c r="C40" s="3" t="s">
        <v>9</v>
      </c>
      <c r="D40" s="3" t="s">
        <v>5</v>
      </c>
      <c r="E40" s="3" t="s">
        <v>10</v>
      </c>
      <c r="F40" s="3" t="s">
        <v>4188</v>
      </c>
      <c r="G40" s="3" t="s">
        <v>4189</v>
      </c>
      <c r="H40" s="3">
        <v>350.55</v>
      </c>
      <c r="I40" s="3" t="s">
        <v>14</v>
      </c>
    </row>
    <row r="41" spans="1:9" x14ac:dyDescent="0.35">
      <c r="A41" s="3">
        <v>103411105</v>
      </c>
      <c r="B41" s="3" t="s">
        <v>4190</v>
      </c>
      <c r="C41" s="3" t="s">
        <v>9</v>
      </c>
      <c r="D41" s="3" t="s">
        <v>5</v>
      </c>
      <c r="E41" s="3" t="s">
        <v>10</v>
      </c>
      <c r="F41" s="3" t="s">
        <v>4191</v>
      </c>
      <c r="G41" s="3" t="s">
        <v>4192</v>
      </c>
      <c r="H41" s="5">
        <v>1749</v>
      </c>
      <c r="I41" s="3" t="s">
        <v>14</v>
      </c>
    </row>
    <row r="42" spans="1:9" x14ac:dyDescent="0.35">
      <c r="A42" s="3">
        <v>103411103</v>
      </c>
      <c r="B42" s="3" t="s">
        <v>4193</v>
      </c>
      <c r="C42" s="3" t="s">
        <v>9</v>
      </c>
      <c r="D42" s="3" t="s">
        <v>5</v>
      </c>
      <c r="E42" s="3" t="s">
        <v>10</v>
      </c>
      <c r="F42" s="3" t="s">
        <v>4194</v>
      </c>
      <c r="G42" s="3" t="s">
        <v>4195</v>
      </c>
      <c r="H42" s="4">
        <v>1196.05</v>
      </c>
      <c r="I42" s="3" t="s">
        <v>14</v>
      </c>
    </row>
    <row r="43" spans="1:9" x14ac:dyDescent="0.35">
      <c r="A43" s="3">
        <v>103411101</v>
      </c>
      <c r="B43" s="3" t="s">
        <v>4196</v>
      </c>
      <c r="C43" s="3" t="s">
        <v>9</v>
      </c>
      <c r="D43" s="3" t="s">
        <v>5</v>
      </c>
      <c r="E43" s="3" t="s">
        <v>10</v>
      </c>
      <c r="F43" s="3" t="s">
        <v>4197</v>
      </c>
      <c r="G43" s="3" t="s">
        <v>4198</v>
      </c>
      <c r="H43" s="5">
        <v>2749</v>
      </c>
      <c r="I43" s="3" t="s">
        <v>14</v>
      </c>
    </row>
    <row r="44" spans="1:9" x14ac:dyDescent="0.35">
      <c r="A44" s="3">
        <v>103411099</v>
      </c>
      <c r="B44" s="3" t="s">
        <v>4199</v>
      </c>
      <c r="C44" s="3" t="s">
        <v>9</v>
      </c>
      <c r="D44" s="3" t="s">
        <v>5</v>
      </c>
      <c r="E44" s="3" t="s">
        <v>10</v>
      </c>
      <c r="F44" s="3" t="s">
        <v>4200</v>
      </c>
      <c r="G44" s="3" t="s">
        <v>4201</v>
      </c>
      <c r="H44" s="4">
        <v>1271.0999999999999</v>
      </c>
      <c r="I44" s="3" t="s">
        <v>14</v>
      </c>
    </row>
    <row r="45" spans="1:9" x14ac:dyDescent="0.35">
      <c r="A45" s="3">
        <v>103411098</v>
      </c>
      <c r="B45" s="3" t="s">
        <v>4202</v>
      </c>
      <c r="C45" s="3" t="s">
        <v>9</v>
      </c>
      <c r="D45" s="3" t="s">
        <v>5</v>
      </c>
      <c r="E45" s="3" t="s">
        <v>10</v>
      </c>
      <c r="F45" s="3" t="s">
        <v>4203</v>
      </c>
      <c r="G45" s="3" t="s">
        <v>4204</v>
      </c>
      <c r="H45" s="4">
        <v>3419.05</v>
      </c>
      <c r="I45" s="3" t="s">
        <v>14</v>
      </c>
    </row>
    <row r="46" spans="1:9" x14ac:dyDescent="0.35">
      <c r="A46" s="3">
        <v>103411032</v>
      </c>
      <c r="B46" s="3" t="s">
        <v>4205</v>
      </c>
      <c r="C46" s="3" t="s">
        <v>9</v>
      </c>
      <c r="D46" s="3" t="s">
        <v>5</v>
      </c>
      <c r="E46" s="3" t="s">
        <v>10</v>
      </c>
      <c r="F46" s="3" t="s">
        <v>4206</v>
      </c>
      <c r="G46" s="3" t="s">
        <v>4207</v>
      </c>
      <c r="H46" s="5">
        <v>3848</v>
      </c>
      <c r="I46" s="3" t="s">
        <v>14</v>
      </c>
    </row>
    <row r="47" spans="1:9" x14ac:dyDescent="0.35">
      <c r="A47" s="3">
        <v>103411030</v>
      </c>
      <c r="B47" s="3" t="s">
        <v>4208</v>
      </c>
      <c r="C47" s="3" t="s">
        <v>9</v>
      </c>
      <c r="D47" s="3" t="s">
        <v>5</v>
      </c>
      <c r="E47" s="3" t="s">
        <v>10</v>
      </c>
      <c r="F47" s="3" t="s">
        <v>4209</v>
      </c>
      <c r="G47" s="3" t="s">
        <v>4210</v>
      </c>
      <c r="H47" s="3">
        <v>969</v>
      </c>
      <c r="I47" s="3" t="s">
        <v>14</v>
      </c>
    </row>
    <row r="48" spans="1:9" x14ac:dyDescent="0.35">
      <c r="A48" s="3">
        <v>103411091</v>
      </c>
      <c r="B48" s="3" t="s">
        <v>4211</v>
      </c>
      <c r="C48" s="3" t="s">
        <v>9</v>
      </c>
      <c r="D48" s="3" t="s">
        <v>5</v>
      </c>
      <c r="E48" s="3" t="s">
        <v>12</v>
      </c>
      <c r="F48" s="3" t="s">
        <v>4212</v>
      </c>
      <c r="G48" s="3" t="s">
        <v>4213</v>
      </c>
      <c r="H48" s="5">
        <v>2399</v>
      </c>
      <c r="I48" s="3" t="s">
        <v>14</v>
      </c>
    </row>
    <row r="49" spans="1:9" x14ac:dyDescent="0.35">
      <c r="A49" s="3">
        <v>103411028</v>
      </c>
      <c r="B49" s="3" t="s">
        <v>4214</v>
      </c>
      <c r="C49" s="3" t="s">
        <v>9</v>
      </c>
      <c r="D49" s="3" t="s">
        <v>5</v>
      </c>
      <c r="E49" s="3" t="s">
        <v>10</v>
      </c>
      <c r="F49" s="3" t="s">
        <v>4215</v>
      </c>
      <c r="G49" s="3" t="s">
        <v>4216</v>
      </c>
      <c r="H49" s="5">
        <v>4798</v>
      </c>
      <c r="I49" s="3" t="s">
        <v>14</v>
      </c>
    </row>
    <row r="50" spans="1:9" x14ac:dyDescent="0.35">
      <c r="A50" s="3">
        <v>103411085</v>
      </c>
      <c r="B50" s="3" t="s">
        <v>4217</v>
      </c>
      <c r="C50" s="3" t="s">
        <v>9</v>
      </c>
      <c r="D50" s="3" t="s">
        <v>5</v>
      </c>
      <c r="E50" s="3" t="s">
        <v>10</v>
      </c>
      <c r="F50" s="3" t="s">
        <v>4218</v>
      </c>
      <c r="G50" s="3" t="s">
        <v>4219</v>
      </c>
      <c r="H50" s="4">
        <v>2091.33</v>
      </c>
      <c r="I50" s="3" t="s">
        <v>14</v>
      </c>
    </row>
    <row r="51" spans="1:9" x14ac:dyDescent="0.35">
      <c r="A51" s="3">
        <v>103411024</v>
      </c>
      <c r="B51" s="3" t="s">
        <v>4220</v>
      </c>
      <c r="C51" s="3" t="s">
        <v>9</v>
      </c>
      <c r="D51" s="3" t="s">
        <v>5</v>
      </c>
      <c r="E51" s="3" t="s">
        <v>12</v>
      </c>
      <c r="F51" s="3" t="s">
        <v>4221</v>
      </c>
      <c r="G51" s="3" t="s">
        <v>4222</v>
      </c>
      <c r="H51" s="5">
        <v>1079</v>
      </c>
      <c r="I51" s="3" t="s">
        <v>14</v>
      </c>
    </row>
    <row r="52" spans="1:9" x14ac:dyDescent="0.35">
      <c r="A52" s="3">
        <v>103411023</v>
      </c>
      <c r="B52" s="3" t="s">
        <v>4223</v>
      </c>
      <c r="C52" s="3" t="s">
        <v>9</v>
      </c>
      <c r="D52" s="3" t="s">
        <v>5</v>
      </c>
      <c r="E52" s="3" t="s">
        <v>10</v>
      </c>
      <c r="F52" s="3" t="s">
        <v>4224</v>
      </c>
      <c r="G52" s="3" t="s">
        <v>4225</v>
      </c>
      <c r="H52" s="5">
        <v>1999</v>
      </c>
      <c r="I52" s="3" t="s">
        <v>14</v>
      </c>
    </row>
    <row r="53" spans="1:9" x14ac:dyDescent="0.35">
      <c r="A53" s="3">
        <v>103411078</v>
      </c>
      <c r="B53" s="3" t="s">
        <v>4226</v>
      </c>
      <c r="C53" s="3" t="s">
        <v>9</v>
      </c>
      <c r="D53" s="3" t="s">
        <v>5</v>
      </c>
      <c r="E53" s="3" t="s">
        <v>10</v>
      </c>
      <c r="F53" s="3" t="s">
        <v>4227</v>
      </c>
      <c r="G53" s="3" t="s">
        <v>4228</v>
      </c>
      <c r="H53" s="5">
        <v>1499</v>
      </c>
      <c r="I53" s="3" t="s">
        <v>14</v>
      </c>
    </row>
    <row r="54" spans="1:9" x14ac:dyDescent="0.35">
      <c r="A54" s="3">
        <v>103411076</v>
      </c>
      <c r="B54" s="3" t="s">
        <v>4229</v>
      </c>
      <c r="C54" s="3" t="s">
        <v>9</v>
      </c>
      <c r="D54" s="3" t="s">
        <v>5</v>
      </c>
      <c r="E54" s="3" t="s">
        <v>12</v>
      </c>
      <c r="F54" s="3" t="s">
        <v>4230</v>
      </c>
      <c r="G54" s="3" t="s">
        <v>4213</v>
      </c>
      <c r="H54" s="5">
        <v>1999</v>
      </c>
      <c r="I54" s="3" t="s">
        <v>14</v>
      </c>
    </row>
    <row r="55" spans="1:9" x14ac:dyDescent="0.35">
      <c r="A55" s="3">
        <v>103410962</v>
      </c>
      <c r="B55" s="3" t="s">
        <v>4231</v>
      </c>
      <c r="C55" s="3" t="s">
        <v>9</v>
      </c>
      <c r="D55" s="3" t="s">
        <v>5</v>
      </c>
      <c r="E55" s="3" t="s">
        <v>10</v>
      </c>
      <c r="F55" s="3" t="s">
        <v>4232</v>
      </c>
      <c r="G55" s="3" t="s">
        <v>4233</v>
      </c>
      <c r="H55" s="5">
        <v>1799</v>
      </c>
      <c r="I55" s="3" t="s">
        <v>14</v>
      </c>
    </row>
    <row r="56" spans="1:9" x14ac:dyDescent="0.35">
      <c r="A56" s="3">
        <v>103410958</v>
      </c>
      <c r="B56" s="3" t="s">
        <v>4234</v>
      </c>
      <c r="C56" s="3" t="s">
        <v>9</v>
      </c>
      <c r="D56" s="3" t="s">
        <v>5</v>
      </c>
      <c r="E56" s="3" t="s">
        <v>10</v>
      </c>
      <c r="F56" s="3" t="s">
        <v>4235</v>
      </c>
      <c r="G56" s="3" t="s">
        <v>4236</v>
      </c>
      <c r="H56" s="4">
        <v>2469.0500000000002</v>
      </c>
      <c r="I56" s="3" t="s">
        <v>14</v>
      </c>
    </row>
    <row r="57" spans="1:9" x14ac:dyDescent="0.35">
      <c r="A57" s="3">
        <v>103410953</v>
      </c>
      <c r="B57" s="3" t="s">
        <v>4237</v>
      </c>
      <c r="C57" s="3" t="s">
        <v>9</v>
      </c>
      <c r="D57" s="3" t="s">
        <v>5</v>
      </c>
      <c r="E57" s="3" t="s">
        <v>10</v>
      </c>
      <c r="F57" s="3" t="s">
        <v>4238</v>
      </c>
      <c r="G57" s="3" t="s">
        <v>4239</v>
      </c>
      <c r="H57" s="4">
        <v>3077.14</v>
      </c>
      <c r="I57" s="3" t="s">
        <v>14</v>
      </c>
    </row>
    <row r="58" spans="1:9" x14ac:dyDescent="0.35">
      <c r="A58" s="3">
        <v>103410952</v>
      </c>
      <c r="B58" s="3" t="s">
        <v>4240</v>
      </c>
      <c r="C58" s="3" t="s">
        <v>9</v>
      </c>
      <c r="D58" s="3" t="s">
        <v>5</v>
      </c>
      <c r="E58" s="3" t="s">
        <v>10</v>
      </c>
      <c r="F58" s="3" t="s">
        <v>4241</v>
      </c>
      <c r="G58" s="3" t="s">
        <v>4242</v>
      </c>
      <c r="H58" s="3">
        <v>709</v>
      </c>
      <c r="I58" s="3" t="s">
        <v>14</v>
      </c>
    </row>
    <row r="59" spans="1:9" x14ac:dyDescent="0.35">
      <c r="A59" s="3">
        <v>103411012</v>
      </c>
      <c r="B59" s="3" t="s">
        <v>4243</v>
      </c>
      <c r="C59" s="3" t="s">
        <v>9</v>
      </c>
      <c r="D59" s="3" t="s">
        <v>5</v>
      </c>
      <c r="E59" s="3" t="s">
        <v>10</v>
      </c>
      <c r="F59" s="3" t="s">
        <v>4244</v>
      </c>
      <c r="G59" s="3" t="s">
        <v>4245</v>
      </c>
      <c r="H59" s="4">
        <v>4510.6000000000004</v>
      </c>
      <c r="I59" s="3" t="s">
        <v>14</v>
      </c>
    </row>
    <row r="60" spans="1:9" x14ac:dyDescent="0.35">
      <c r="A60" s="3">
        <v>103410949</v>
      </c>
      <c r="B60" s="3" t="s">
        <v>4246</v>
      </c>
      <c r="C60" s="3" t="s">
        <v>9</v>
      </c>
      <c r="D60" s="3" t="s">
        <v>5</v>
      </c>
      <c r="E60" s="3" t="s">
        <v>10</v>
      </c>
      <c r="F60" s="3" t="s">
        <v>4247</v>
      </c>
      <c r="G60" s="3" t="s">
        <v>4248</v>
      </c>
      <c r="H60" s="4">
        <v>4435.55</v>
      </c>
      <c r="I60" s="3" t="s">
        <v>14</v>
      </c>
    </row>
    <row r="61" spans="1:9" x14ac:dyDescent="0.35">
      <c r="A61" s="3">
        <v>103411011</v>
      </c>
      <c r="B61" s="3" t="s">
        <v>4249</v>
      </c>
      <c r="C61" s="3" t="s">
        <v>9</v>
      </c>
      <c r="D61" s="3" t="s">
        <v>5</v>
      </c>
      <c r="E61" s="3" t="s">
        <v>10</v>
      </c>
      <c r="F61" s="3" t="s">
        <v>4250</v>
      </c>
      <c r="G61" s="3" t="s">
        <v>4251</v>
      </c>
      <c r="H61" s="4">
        <v>1649.29</v>
      </c>
      <c r="I61" s="3" t="s">
        <v>14</v>
      </c>
    </row>
    <row r="62" spans="1:9" x14ac:dyDescent="0.35">
      <c r="A62" s="3">
        <v>103411006</v>
      </c>
      <c r="B62" s="3" t="s">
        <v>4252</v>
      </c>
      <c r="C62" s="3" t="s">
        <v>9</v>
      </c>
      <c r="D62" s="3" t="s">
        <v>5</v>
      </c>
      <c r="E62" s="3" t="s">
        <v>10</v>
      </c>
      <c r="F62" s="3" t="s">
        <v>4253</v>
      </c>
      <c r="G62" s="3" t="s">
        <v>4254</v>
      </c>
      <c r="H62" s="4">
        <v>2222.14</v>
      </c>
      <c r="I62" s="3" t="s">
        <v>14</v>
      </c>
    </row>
    <row r="63" spans="1:9" x14ac:dyDescent="0.35">
      <c r="A63" s="3">
        <v>103411003</v>
      </c>
      <c r="B63" s="3" t="s">
        <v>4255</v>
      </c>
      <c r="C63" s="3" t="s">
        <v>9</v>
      </c>
      <c r="D63" s="3" t="s">
        <v>5</v>
      </c>
      <c r="E63" s="3" t="s">
        <v>10</v>
      </c>
      <c r="F63" s="3" t="s">
        <v>4256</v>
      </c>
      <c r="G63" s="3" t="s">
        <v>4257</v>
      </c>
      <c r="H63" s="5">
        <v>3118</v>
      </c>
      <c r="I63" s="3" t="s">
        <v>14</v>
      </c>
    </row>
    <row r="64" spans="1:9" x14ac:dyDescent="0.35">
      <c r="A64" s="3">
        <v>103411000</v>
      </c>
      <c r="B64" s="3" t="s">
        <v>4258</v>
      </c>
      <c r="C64" s="3" t="s">
        <v>9</v>
      </c>
      <c r="D64" s="3" t="s">
        <v>5</v>
      </c>
      <c r="E64" s="3" t="s">
        <v>10</v>
      </c>
      <c r="F64" s="3" t="s">
        <v>4259</v>
      </c>
      <c r="G64" s="3" t="s">
        <v>4260</v>
      </c>
      <c r="H64" s="3">
        <v>976.6</v>
      </c>
      <c r="I64" s="3" t="s">
        <v>14</v>
      </c>
    </row>
    <row r="65" spans="1:9" x14ac:dyDescent="0.35">
      <c r="A65" s="3">
        <v>103410999</v>
      </c>
      <c r="B65" s="3" t="s">
        <v>4261</v>
      </c>
      <c r="C65" s="3" t="s">
        <v>9</v>
      </c>
      <c r="D65" s="3" t="s">
        <v>5</v>
      </c>
      <c r="E65" s="3" t="s">
        <v>10</v>
      </c>
      <c r="F65" s="3" t="s">
        <v>4262</v>
      </c>
      <c r="G65" s="3" t="s">
        <v>4263</v>
      </c>
      <c r="H65" s="4">
        <v>1661.55</v>
      </c>
      <c r="I65" s="3" t="s">
        <v>14</v>
      </c>
    </row>
    <row r="66" spans="1:9" x14ac:dyDescent="0.35">
      <c r="A66" s="3">
        <v>103410998</v>
      </c>
      <c r="B66" s="3" t="s">
        <v>4264</v>
      </c>
      <c r="C66" s="3" t="s">
        <v>9</v>
      </c>
      <c r="D66" s="3" t="s">
        <v>5</v>
      </c>
      <c r="E66" s="3" t="s">
        <v>10</v>
      </c>
      <c r="F66" s="3" t="s">
        <v>4265</v>
      </c>
      <c r="G66" s="3" t="s">
        <v>4266</v>
      </c>
      <c r="H66" s="4">
        <v>4103.1400000000003</v>
      </c>
      <c r="I66" s="3" t="s">
        <v>14</v>
      </c>
    </row>
    <row r="67" spans="1:9" x14ac:dyDescent="0.35">
      <c r="A67" s="3">
        <v>103410935</v>
      </c>
      <c r="B67" s="3" t="s">
        <v>4267</v>
      </c>
      <c r="C67" s="3" t="s">
        <v>9</v>
      </c>
      <c r="D67" s="3" t="s">
        <v>5</v>
      </c>
      <c r="E67" s="3" t="s">
        <v>12</v>
      </c>
      <c r="F67" s="3" t="s">
        <v>4268</v>
      </c>
      <c r="G67" s="3" t="s">
        <v>4269</v>
      </c>
      <c r="H67" s="5">
        <v>2499</v>
      </c>
      <c r="I67" s="3" t="s">
        <v>14</v>
      </c>
    </row>
    <row r="68" spans="1:9" x14ac:dyDescent="0.35">
      <c r="A68" s="3">
        <v>103410933</v>
      </c>
      <c r="B68" s="3" t="s">
        <v>4270</v>
      </c>
      <c r="C68" s="3" t="s">
        <v>9</v>
      </c>
      <c r="D68" s="3" t="s">
        <v>5</v>
      </c>
      <c r="E68" s="3" t="s">
        <v>12</v>
      </c>
      <c r="F68" s="3" t="s">
        <v>4271</v>
      </c>
      <c r="G68" s="3" t="s">
        <v>4272</v>
      </c>
      <c r="H68" s="3">
        <v>549</v>
      </c>
      <c r="I68" s="3" t="s">
        <v>14</v>
      </c>
    </row>
    <row r="69" spans="1:9" x14ac:dyDescent="0.35">
      <c r="A69" s="3">
        <v>103410930</v>
      </c>
      <c r="B69" s="3" t="s">
        <v>4273</v>
      </c>
      <c r="C69" s="3" t="s">
        <v>9</v>
      </c>
      <c r="D69" s="3" t="s">
        <v>5</v>
      </c>
      <c r="E69" s="3" t="s">
        <v>10</v>
      </c>
      <c r="F69" s="3" t="s">
        <v>4274</v>
      </c>
      <c r="G69" s="3" t="s">
        <v>4275</v>
      </c>
      <c r="H69" s="4">
        <v>2659.05</v>
      </c>
      <c r="I69" s="3" t="s">
        <v>14</v>
      </c>
    </row>
    <row r="70" spans="1:9" x14ac:dyDescent="0.35">
      <c r="A70" s="3">
        <v>103410928</v>
      </c>
      <c r="B70" s="3" t="s">
        <v>4276</v>
      </c>
      <c r="C70" s="3" t="s">
        <v>9</v>
      </c>
      <c r="D70" s="3" t="s">
        <v>5</v>
      </c>
      <c r="E70" s="3" t="s">
        <v>10</v>
      </c>
      <c r="F70" s="3" t="s">
        <v>4277</v>
      </c>
      <c r="G70" s="3" t="s">
        <v>4278</v>
      </c>
      <c r="H70" s="4">
        <v>3473.72</v>
      </c>
      <c r="I70" s="3" t="s">
        <v>14</v>
      </c>
    </row>
    <row r="71" spans="1:9" x14ac:dyDescent="0.35">
      <c r="A71" s="3">
        <v>103410994</v>
      </c>
      <c r="B71" s="3" t="s">
        <v>4279</v>
      </c>
      <c r="C71" s="3" t="s">
        <v>9</v>
      </c>
      <c r="D71" s="3" t="s">
        <v>5</v>
      </c>
      <c r="E71" s="3" t="s">
        <v>10</v>
      </c>
      <c r="F71" s="3" t="s">
        <v>4280</v>
      </c>
      <c r="G71" s="3" t="s">
        <v>4281</v>
      </c>
      <c r="H71" s="4">
        <v>2841.97</v>
      </c>
      <c r="I71" s="3" t="s">
        <v>14</v>
      </c>
    </row>
    <row r="72" spans="1:9" x14ac:dyDescent="0.35">
      <c r="A72" s="3">
        <v>103410919</v>
      </c>
      <c r="B72" s="3" t="s">
        <v>4282</v>
      </c>
      <c r="C72" s="3" t="s">
        <v>9</v>
      </c>
      <c r="D72" s="3" t="s">
        <v>5</v>
      </c>
      <c r="E72" s="3" t="s">
        <v>10</v>
      </c>
      <c r="F72" s="3" t="s">
        <v>4283</v>
      </c>
      <c r="G72" s="3" t="s">
        <v>4284</v>
      </c>
      <c r="H72" s="3">
        <v>868</v>
      </c>
      <c r="I72" s="3" t="s">
        <v>14</v>
      </c>
    </row>
    <row r="73" spans="1:9" x14ac:dyDescent="0.35">
      <c r="A73" s="3">
        <v>103410986</v>
      </c>
      <c r="B73" s="3" t="s">
        <v>4285</v>
      </c>
      <c r="C73" s="3" t="s">
        <v>9</v>
      </c>
      <c r="D73" s="3" t="s">
        <v>5</v>
      </c>
      <c r="E73" s="3" t="s">
        <v>12</v>
      </c>
      <c r="F73" s="3" t="s">
        <v>4286</v>
      </c>
      <c r="G73" s="3" t="s">
        <v>4287</v>
      </c>
      <c r="H73" s="3">
        <v>869</v>
      </c>
      <c r="I73" s="3" t="s">
        <v>14</v>
      </c>
    </row>
    <row r="74" spans="1:9" x14ac:dyDescent="0.35">
      <c r="A74" s="3">
        <v>103410984</v>
      </c>
      <c r="B74" s="3" t="s">
        <v>4288</v>
      </c>
      <c r="C74" s="3" t="s">
        <v>9</v>
      </c>
      <c r="D74" s="3" t="s">
        <v>5</v>
      </c>
      <c r="E74" s="3" t="s">
        <v>10</v>
      </c>
      <c r="F74" s="3" t="s">
        <v>4289</v>
      </c>
      <c r="G74" s="3" t="s">
        <v>4290</v>
      </c>
      <c r="H74" s="3">
        <v>699</v>
      </c>
      <c r="I74" s="3" t="s">
        <v>14</v>
      </c>
    </row>
    <row r="75" spans="1:9" x14ac:dyDescent="0.35">
      <c r="A75" s="3">
        <v>103410913</v>
      </c>
      <c r="B75" s="3" t="s">
        <v>4291</v>
      </c>
      <c r="C75" s="3" t="s">
        <v>9</v>
      </c>
      <c r="D75" s="3" t="s">
        <v>5</v>
      </c>
      <c r="E75" s="3" t="s">
        <v>12</v>
      </c>
      <c r="F75" s="3" t="s">
        <v>4292</v>
      </c>
      <c r="G75" s="3" t="s">
        <v>4293</v>
      </c>
      <c r="H75" s="4">
        <v>1545.84</v>
      </c>
      <c r="I75" s="3" t="s">
        <v>14</v>
      </c>
    </row>
    <row r="76" spans="1:9" x14ac:dyDescent="0.35">
      <c r="A76" s="3">
        <v>103410912</v>
      </c>
      <c r="B76" s="3" t="s">
        <v>4294</v>
      </c>
      <c r="C76" s="3" t="s">
        <v>9</v>
      </c>
      <c r="D76" s="3" t="s">
        <v>5</v>
      </c>
      <c r="E76" s="3" t="s">
        <v>12</v>
      </c>
      <c r="F76" s="3" t="s">
        <v>4295</v>
      </c>
      <c r="G76" s="3" t="s">
        <v>4296</v>
      </c>
      <c r="H76" s="4">
        <v>2800.6</v>
      </c>
      <c r="I76" s="3" t="s">
        <v>14</v>
      </c>
    </row>
    <row r="77" spans="1:9" x14ac:dyDescent="0.35">
      <c r="A77" s="3">
        <v>103410911</v>
      </c>
      <c r="B77" s="3" t="s">
        <v>4297</v>
      </c>
      <c r="C77" s="3" t="s">
        <v>9</v>
      </c>
      <c r="D77" s="3" t="s">
        <v>5</v>
      </c>
      <c r="E77" s="3" t="s">
        <v>12</v>
      </c>
      <c r="F77" s="3" t="s">
        <v>4298</v>
      </c>
      <c r="G77" s="3" t="s">
        <v>4299</v>
      </c>
      <c r="H77" s="5">
        <v>1999</v>
      </c>
      <c r="I77" s="3" t="s">
        <v>14</v>
      </c>
    </row>
    <row r="78" spans="1:9" x14ac:dyDescent="0.35">
      <c r="A78" s="3">
        <v>103410978</v>
      </c>
      <c r="B78" s="3" t="s">
        <v>4300</v>
      </c>
      <c r="C78" s="3" t="s">
        <v>9</v>
      </c>
      <c r="D78" s="3" t="s">
        <v>5</v>
      </c>
      <c r="E78" s="3" t="s">
        <v>10</v>
      </c>
      <c r="F78" s="3" t="s">
        <v>4301</v>
      </c>
      <c r="G78" s="3" t="s">
        <v>4302</v>
      </c>
      <c r="H78" s="4">
        <v>3419.05</v>
      </c>
      <c r="I78" s="3" t="s">
        <v>14</v>
      </c>
    </row>
    <row r="79" spans="1:9" x14ac:dyDescent="0.35">
      <c r="A79" s="3">
        <v>103410977</v>
      </c>
      <c r="B79" s="3" t="s">
        <v>4303</v>
      </c>
      <c r="C79" s="3" t="s">
        <v>9</v>
      </c>
      <c r="D79" s="3" t="s">
        <v>5</v>
      </c>
      <c r="E79" s="3" t="s">
        <v>10</v>
      </c>
      <c r="F79" s="3" t="s">
        <v>4304</v>
      </c>
      <c r="G79" s="3" t="s">
        <v>4305</v>
      </c>
      <c r="H79" s="5">
        <v>2309</v>
      </c>
      <c r="I79" s="3" t="s">
        <v>14</v>
      </c>
    </row>
    <row r="80" spans="1:9" x14ac:dyDescent="0.35">
      <c r="A80" s="3">
        <v>103410905</v>
      </c>
      <c r="B80" s="3" t="s">
        <v>4306</v>
      </c>
      <c r="C80" s="3" t="s">
        <v>9</v>
      </c>
      <c r="D80" s="3" t="s">
        <v>5</v>
      </c>
      <c r="E80" s="3" t="s">
        <v>10</v>
      </c>
      <c r="F80" s="3" t="s">
        <v>4307</v>
      </c>
      <c r="G80" s="3" t="s">
        <v>4308</v>
      </c>
      <c r="H80" s="5">
        <v>1999</v>
      </c>
      <c r="I80" s="3" t="s">
        <v>14</v>
      </c>
    </row>
    <row r="81" spans="1:9" x14ac:dyDescent="0.35">
      <c r="A81" s="3">
        <v>103410975</v>
      </c>
      <c r="B81" s="3" t="s">
        <v>4309</v>
      </c>
      <c r="C81" s="3" t="s">
        <v>9</v>
      </c>
      <c r="D81" s="3" t="s">
        <v>5</v>
      </c>
      <c r="E81" s="3" t="s">
        <v>10</v>
      </c>
      <c r="F81" s="3" t="s">
        <v>4310</v>
      </c>
      <c r="G81" s="3" t="s">
        <v>4311</v>
      </c>
      <c r="H81" s="5">
        <v>1499</v>
      </c>
      <c r="I81" s="3" t="s">
        <v>11</v>
      </c>
    </row>
    <row r="82" spans="1:9" x14ac:dyDescent="0.35">
      <c r="A82" s="3">
        <v>103410900</v>
      </c>
      <c r="B82" s="3" t="s">
        <v>4312</v>
      </c>
      <c r="C82" s="3" t="s">
        <v>9</v>
      </c>
      <c r="D82" s="3" t="s">
        <v>5</v>
      </c>
      <c r="E82" s="3" t="s">
        <v>12</v>
      </c>
      <c r="F82" s="3" t="s">
        <v>4313</v>
      </c>
      <c r="G82" s="3" t="s">
        <v>4314</v>
      </c>
      <c r="H82" s="5">
        <v>2799</v>
      </c>
      <c r="I82" s="3" t="s">
        <v>11</v>
      </c>
    </row>
    <row r="83" spans="1:9" x14ac:dyDescent="0.35">
      <c r="A83" s="3">
        <v>103410968</v>
      </c>
      <c r="B83" s="3" t="s">
        <v>4315</v>
      </c>
      <c r="C83" s="3" t="s">
        <v>9</v>
      </c>
      <c r="D83" s="3" t="s">
        <v>5</v>
      </c>
      <c r="E83" s="3" t="s">
        <v>10</v>
      </c>
      <c r="F83" s="3" t="s">
        <v>4316</v>
      </c>
      <c r="G83" s="3" t="s">
        <v>4317</v>
      </c>
      <c r="H83" s="3">
        <v>493.05</v>
      </c>
      <c r="I83" s="3" t="s">
        <v>11</v>
      </c>
    </row>
    <row r="84" spans="1:9" x14ac:dyDescent="0.35">
      <c r="A84" s="3">
        <v>103410896</v>
      </c>
      <c r="B84" s="3" t="s">
        <v>4318</v>
      </c>
      <c r="C84" s="3" t="s">
        <v>9</v>
      </c>
      <c r="D84" s="3" t="s">
        <v>5</v>
      </c>
      <c r="E84" s="3" t="s">
        <v>12</v>
      </c>
      <c r="F84" s="3" t="s">
        <v>4319</v>
      </c>
      <c r="G84" s="3" t="s">
        <v>4320</v>
      </c>
      <c r="H84" s="5">
        <v>1049</v>
      </c>
      <c r="I84" s="3" t="s">
        <v>11</v>
      </c>
    </row>
    <row r="85" spans="1:9" x14ac:dyDescent="0.35">
      <c r="A85" s="3">
        <v>103410762</v>
      </c>
      <c r="B85" s="3" t="s">
        <v>4321</v>
      </c>
      <c r="C85" s="3" t="s">
        <v>9</v>
      </c>
      <c r="D85" s="3" t="s">
        <v>5</v>
      </c>
      <c r="E85" s="3" t="s">
        <v>10</v>
      </c>
      <c r="F85" s="3" t="s">
        <v>4322</v>
      </c>
      <c r="G85" s="3" t="s">
        <v>4323</v>
      </c>
      <c r="H85" s="5">
        <v>3149</v>
      </c>
      <c r="I85" s="3" t="s">
        <v>11</v>
      </c>
    </row>
    <row r="86" spans="1:9" x14ac:dyDescent="0.35">
      <c r="A86" s="3">
        <v>103410757</v>
      </c>
      <c r="B86" s="3" t="s">
        <v>4324</v>
      </c>
      <c r="C86" s="3" t="s">
        <v>9</v>
      </c>
      <c r="D86" s="3" t="s">
        <v>5</v>
      </c>
      <c r="E86" s="3" t="s">
        <v>10</v>
      </c>
      <c r="F86" s="3" t="s">
        <v>4325</v>
      </c>
      <c r="G86" s="3" t="s">
        <v>4326</v>
      </c>
      <c r="H86" s="3">
        <v>489</v>
      </c>
      <c r="I86" s="3" t="s">
        <v>11</v>
      </c>
    </row>
    <row r="87" spans="1:9" x14ac:dyDescent="0.35">
      <c r="A87" s="3">
        <v>103410894</v>
      </c>
      <c r="B87" s="3" t="s">
        <v>4324</v>
      </c>
      <c r="C87" s="3" t="s">
        <v>9</v>
      </c>
      <c r="D87" s="3" t="s">
        <v>5</v>
      </c>
      <c r="E87" s="3" t="s">
        <v>10</v>
      </c>
      <c r="F87" s="3" t="s">
        <v>4327</v>
      </c>
      <c r="G87" s="3" t="s">
        <v>4328</v>
      </c>
      <c r="H87" s="4">
        <v>1329.05</v>
      </c>
      <c r="I87" s="3" t="s">
        <v>11</v>
      </c>
    </row>
    <row r="88" spans="1:9" x14ac:dyDescent="0.35">
      <c r="A88" s="3">
        <v>103410755</v>
      </c>
      <c r="B88" s="3" t="s">
        <v>4329</v>
      </c>
      <c r="C88" s="3" t="s">
        <v>9</v>
      </c>
      <c r="D88" s="3" t="s">
        <v>5</v>
      </c>
      <c r="E88" s="3" t="s">
        <v>10</v>
      </c>
      <c r="F88" s="3" t="s">
        <v>4330</v>
      </c>
      <c r="G88" s="3" t="s">
        <v>4331</v>
      </c>
      <c r="H88" s="4">
        <v>4872.6000000000004</v>
      </c>
      <c r="I88" s="3" t="s">
        <v>11</v>
      </c>
    </row>
    <row r="89" spans="1:9" x14ac:dyDescent="0.35">
      <c r="A89" s="3">
        <v>103410891</v>
      </c>
      <c r="B89" s="3" t="s">
        <v>4332</v>
      </c>
      <c r="C89" s="3" t="s">
        <v>9</v>
      </c>
      <c r="D89" s="3" t="s">
        <v>5</v>
      </c>
      <c r="E89" s="3" t="s">
        <v>10</v>
      </c>
      <c r="F89" s="3" t="s">
        <v>4333</v>
      </c>
      <c r="G89" s="3" t="s">
        <v>4334</v>
      </c>
      <c r="H89" s="3">
        <v>468.4</v>
      </c>
      <c r="I89" s="3" t="s">
        <v>11</v>
      </c>
    </row>
    <row r="90" spans="1:9" x14ac:dyDescent="0.35">
      <c r="A90" s="3">
        <v>103410883</v>
      </c>
      <c r="B90" s="3" t="s">
        <v>4335</v>
      </c>
      <c r="C90" s="3" t="s">
        <v>9</v>
      </c>
      <c r="D90" s="3" t="s">
        <v>5</v>
      </c>
      <c r="E90" s="3" t="s">
        <v>10</v>
      </c>
      <c r="F90" s="3" t="s">
        <v>4336</v>
      </c>
      <c r="G90" s="3" t="s">
        <v>4337</v>
      </c>
      <c r="H90" s="3">
        <v>819</v>
      </c>
      <c r="I90" s="3" t="s">
        <v>11</v>
      </c>
    </row>
    <row r="91" spans="1:9" x14ac:dyDescent="0.35">
      <c r="A91" s="3">
        <v>103410746</v>
      </c>
      <c r="B91" s="3" t="s">
        <v>4338</v>
      </c>
      <c r="C91" s="3" t="s">
        <v>9</v>
      </c>
      <c r="D91" s="3" t="s">
        <v>5</v>
      </c>
      <c r="E91" s="3" t="s">
        <v>10</v>
      </c>
      <c r="F91" s="3" t="s">
        <v>3900</v>
      </c>
      <c r="G91" s="3" t="s">
        <v>3901</v>
      </c>
      <c r="H91" s="4">
        <v>4244.6000000000004</v>
      </c>
      <c r="I91" s="3" t="s">
        <v>11</v>
      </c>
    </row>
    <row r="92" spans="1:9" x14ac:dyDescent="0.35">
      <c r="A92" s="3">
        <v>103410875</v>
      </c>
      <c r="B92" s="3" t="s">
        <v>4339</v>
      </c>
      <c r="C92" s="3" t="s">
        <v>9</v>
      </c>
      <c r="D92" s="3" t="s">
        <v>5</v>
      </c>
      <c r="E92" s="3" t="s">
        <v>10</v>
      </c>
      <c r="F92" s="3" t="s">
        <v>4340</v>
      </c>
      <c r="G92" s="3" t="s">
        <v>4341</v>
      </c>
      <c r="H92" s="4">
        <v>2222.14</v>
      </c>
      <c r="I92" s="3" t="s">
        <v>11</v>
      </c>
    </row>
    <row r="93" spans="1:9" x14ac:dyDescent="0.35">
      <c r="A93" s="3">
        <v>103410745</v>
      </c>
      <c r="B93" s="3" t="s">
        <v>4342</v>
      </c>
      <c r="C93" s="3" t="s">
        <v>9</v>
      </c>
      <c r="D93" s="3" t="s">
        <v>5</v>
      </c>
      <c r="E93" s="3" t="s">
        <v>10</v>
      </c>
      <c r="F93" s="3" t="s">
        <v>4343</v>
      </c>
      <c r="G93" s="3" t="s">
        <v>4344</v>
      </c>
      <c r="H93" s="4">
        <v>3418.1</v>
      </c>
      <c r="I93" s="3" t="s">
        <v>11</v>
      </c>
    </row>
    <row r="94" spans="1:9" x14ac:dyDescent="0.35">
      <c r="A94" s="3">
        <v>103410742</v>
      </c>
      <c r="B94" s="3" t="s">
        <v>4345</v>
      </c>
      <c r="C94" s="3" t="s">
        <v>9</v>
      </c>
      <c r="D94" s="3" t="s">
        <v>5</v>
      </c>
      <c r="E94" s="3" t="s">
        <v>10</v>
      </c>
      <c r="F94" s="3" t="s">
        <v>4346</v>
      </c>
      <c r="G94" s="3" t="s">
        <v>4347</v>
      </c>
      <c r="H94" s="4">
        <v>3704.05</v>
      </c>
      <c r="I94" s="3" t="s">
        <v>11</v>
      </c>
    </row>
    <row r="95" spans="1:9" x14ac:dyDescent="0.35">
      <c r="A95" s="3">
        <v>103410874</v>
      </c>
      <c r="B95" s="3" t="s">
        <v>4348</v>
      </c>
      <c r="C95" s="3" t="s">
        <v>9</v>
      </c>
      <c r="D95" s="3" t="s">
        <v>5</v>
      </c>
      <c r="E95" s="3" t="s">
        <v>10</v>
      </c>
      <c r="F95" s="3" t="s">
        <v>4349</v>
      </c>
      <c r="G95" s="3" t="s">
        <v>4350</v>
      </c>
      <c r="H95" s="3">
        <v>799</v>
      </c>
      <c r="I95" s="3" t="s">
        <v>11</v>
      </c>
    </row>
    <row r="96" spans="1:9" x14ac:dyDescent="0.35">
      <c r="A96" s="3">
        <v>103410733</v>
      </c>
      <c r="B96" s="3" t="s">
        <v>4351</v>
      </c>
      <c r="C96" s="3" t="s">
        <v>9</v>
      </c>
      <c r="D96" s="3" t="s">
        <v>5</v>
      </c>
      <c r="E96" s="3" t="s">
        <v>10</v>
      </c>
      <c r="F96" s="3" t="s">
        <v>640</v>
      </c>
      <c r="G96" s="3" t="s">
        <v>4352</v>
      </c>
      <c r="H96" s="4">
        <v>2699.25</v>
      </c>
      <c r="I96" s="3" t="s">
        <v>11</v>
      </c>
    </row>
    <row r="97" spans="1:9" x14ac:dyDescent="0.35">
      <c r="A97" s="3">
        <v>103410861</v>
      </c>
      <c r="B97" s="3" t="s">
        <v>4353</v>
      </c>
      <c r="C97" s="3" t="s">
        <v>9</v>
      </c>
      <c r="D97" s="3" t="s">
        <v>5</v>
      </c>
      <c r="E97" s="3" t="s">
        <v>12</v>
      </c>
      <c r="F97" s="3" t="s">
        <v>4354</v>
      </c>
      <c r="G97" s="3" t="s">
        <v>4355</v>
      </c>
      <c r="H97" s="3">
        <v>849</v>
      </c>
      <c r="I97" s="3" t="s">
        <v>11</v>
      </c>
    </row>
    <row r="98" spans="1:9" x14ac:dyDescent="0.35">
      <c r="A98" s="3">
        <v>103410732</v>
      </c>
      <c r="B98" s="3" t="s">
        <v>4356</v>
      </c>
      <c r="C98" s="3" t="s">
        <v>9</v>
      </c>
      <c r="D98" s="3" t="s">
        <v>5</v>
      </c>
      <c r="E98" s="3" t="s">
        <v>10</v>
      </c>
      <c r="F98" s="3" t="s">
        <v>4357</v>
      </c>
      <c r="G98" s="3" t="s">
        <v>4358</v>
      </c>
      <c r="H98" s="3">
        <v>549</v>
      </c>
      <c r="I98" s="3" t="s">
        <v>11</v>
      </c>
    </row>
    <row r="99" spans="1:9" x14ac:dyDescent="0.35">
      <c r="A99" s="3">
        <v>103410858</v>
      </c>
      <c r="B99" s="3" t="s">
        <v>4359</v>
      </c>
      <c r="C99" s="3" t="s">
        <v>9</v>
      </c>
      <c r="D99" s="3" t="s">
        <v>5</v>
      </c>
      <c r="E99" s="3" t="s">
        <v>10</v>
      </c>
      <c r="F99" s="3" t="s">
        <v>337</v>
      </c>
      <c r="G99" s="3" t="s">
        <v>4360</v>
      </c>
      <c r="H99" s="4">
        <v>4654.05</v>
      </c>
      <c r="I99" s="3" t="s">
        <v>11</v>
      </c>
    </row>
    <row r="100" spans="1:9" x14ac:dyDescent="0.35">
      <c r="A100" s="3">
        <v>103410728</v>
      </c>
      <c r="B100" s="3" t="s">
        <v>4361</v>
      </c>
      <c r="C100" s="3" t="s">
        <v>9</v>
      </c>
      <c r="D100" s="3" t="s">
        <v>5</v>
      </c>
      <c r="E100" s="3" t="s">
        <v>12</v>
      </c>
      <c r="F100" s="3" t="s">
        <v>4362</v>
      </c>
      <c r="G100" s="3" t="s">
        <v>4363</v>
      </c>
      <c r="H100" s="4">
        <v>2249.6</v>
      </c>
      <c r="I100" s="3" t="s">
        <v>11</v>
      </c>
    </row>
    <row r="101" spans="1:9" x14ac:dyDescent="0.35">
      <c r="A101" s="3">
        <v>103410854</v>
      </c>
      <c r="B101" s="3" t="s">
        <v>4364</v>
      </c>
      <c r="C101" s="3" t="s">
        <v>9</v>
      </c>
      <c r="D101" s="3" t="s">
        <v>5</v>
      </c>
      <c r="E101" s="3" t="s">
        <v>10</v>
      </c>
      <c r="F101" s="3" t="s">
        <v>4365</v>
      </c>
      <c r="G101" s="3" t="s">
        <v>4366</v>
      </c>
      <c r="H101" s="5">
        <v>3499</v>
      </c>
      <c r="I101" s="3" t="s">
        <v>11</v>
      </c>
    </row>
    <row r="102" spans="1:9" x14ac:dyDescent="0.35">
      <c r="A102" s="3">
        <v>103410725</v>
      </c>
      <c r="B102" s="3" t="s">
        <v>4367</v>
      </c>
      <c r="C102" s="3" t="s">
        <v>9</v>
      </c>
      <c r="D102" s="3" t="s">
        <v>5</v>
      </c>
      <c r="E102" s="3" t="s">
        <v>10</v>
      </c>
      <c r="F102" s="3" t="s">
        <v>4368</v>
      </c>
      <c r="G102" s="3" t="s">
        <v>4369</v>
      </c>
      <c r="H102" s="3">
        <v>449</v>
      </c>
      <c r="I102" s="3" t="s">
        <v>11</v>
      </c>
    </row>
    <row r="103" spans="1:9" x14ac:dyDescent="0.35">
      <c r="A103" s="3">
        <v>103410724</v>
      </c>
      <c r="B103" s="3" t="s">
        <v>4370</v>
      </c>
      <c r="C103" s="3" t="s">
        <v>9</v>
      </c>
      <c r="D103" s="3" t="s">
        <v>5</v>
      </c>
      <c r="E103" s="3" t="s">
        <v>12</v>
      </c>
      <c r="F103" s="3" t="s">
        <v>4371</v>
      </c>
      <c r="G103" s="3" t="s">
        <v>4372</v>
      </c>
      <c r="H103" s="4">
        <v>1281.55</v>
      </c>
      <c r="I103" s="3" t="s">
        <v>11</v>
      </c>
    </row>
    <row r="104" spans="1:9" x14ac:dyDescent="0.35">
      <c r="A104" s="3">
        <v>103410720</v>
      </c>
      <c r="B104" s="3" t="s">
        <v>4373</v>
      </c>
      <c r="C104" s="3" t="s">
        <v>9</v>
      </c>
      <c r="D104" s="3" t="s">
        <v>5</v>
      </c>
      <c r="E104" s="3" t="s">
        <v>10</v>
      </c>
      <c r="F104" s="3" t="s">
        <v>4374</v>
      </c>
      <c r="G104" s="3" t="s">
        <v>4375</v>
      </c>
      <c r="H104" s="4">
        <v>1424.05</v>
      </c>
      <c r="I104" s="3" t="s">
        <v>11</v>
      </c>
    </row>
    <row r="105" spans="1:9" x14ac:dyDescent="0.35">
      <c r="A105" s="3">
        <v>103410838</v>
      </c>
      <c r="B105" s="3" t="s">
        <v>4376</v>
      </c>
      <c r="C105" s="3" t="s">
        <v>9</v>
      </c>
      <c r="D105" s="3" t="s">
        <v>5</v>
      </c>
      <c r="E105" s="3" t="s">
        <v>10</v>
      </c>
      <c r="F105" s="3" t="s">
        <v>4377</v>
      </c>
      <c r="G105" s="3" t="s">
        <v>4378</v>
      </c>
      <c r="H105" s="4">
        <v>2991.64</v>
      </c>
      <c r="I105" s="3" t="s">
        <v>11</v>
      </c>
    </row>
    <row r="106" spans="1:9" x14ac:dyDescent="0.35">
      <c r="A106" s="3">
        <v>103410837</v>
      </c>
      <c r="B106" s="3" t="s">
        <v>4379</v>
      </c>
      <c r="C106" s="3" t="s">
        <v>9</v>
      </c>
      <c r="D106" s="3" t="s">
        <v>5</v>
      </c>
      <c r="E106" s="3" t="s">
        <v>10</v>
      </c>
      <c r="F106" s="3" t="s">
        <v>4380</v>
      </c>
      <c r="G106" s="3" t="s">
        <v>4381</v>
      </c>
      <c r="H106" s="5">
        <v>1148</v>
      </c>
      <c r="I106" s="3" t="s">
        <v>11</v>
      </c>
    </row>
    <row r="107" spans="1:9" x14ac:dyDescent="0.35">
      <c r="A107" s="3">
        <v>103410834</v>
      </c>
      <c r="B107" s="3" t="s">
        <v>4382</v>
      </c>
      <c r="C107" s="3" t="s">
        <v>9</v>
      </c>
      <c r="D107" s="3" t="s">
        <v>5</v>
      </c>
      <c r="E107" s="3" t="s">
        <v>10</v>
      </c>
      <c r="F107" s="3" t="s">
        <v>4383</v>
      </c>
      <c r="G107" s="3" t="s">
        <v>4384</v>
      </c>
      <c r="H107" s="5">
        <v>2778</v>
      </c>
      <c r="I107" s="3" t="s">
        <v>11</v>
      </c>
    </row>
    <row r="108" spans="1:9" x14ac:dyDescent="0.35">
      <c r="A108" s="3">
        <v>103410708</v>
      </c>
      <c r="B108" s="3" t="s">
        <v>4385</v>
      </c>
      <c r="C108" s="3" t="s">
        <v>9</v>
      </c>
      <c r="D108" s="3" t="s">
        <v>5</v>
      </c>
      <c r="E108" s="3" t="s">
        <v>10</v>
      </c>
      <c r="F108" s="3" t="s">
        <v>4386</v>
      </c>
      <c r="G108" s="3" t="s">
        <v>4387</v>
      </c>
      <c r="H108" s="4">
        <v>1129.55</v>
      </c>
      <c r="I108" s="3" t="s">
        <v>11</v>
      </c>
    </row>
    <row r="109" spans="1:9" x14ac:dyDescent="0.35">
      <c r="A109" s="3">
        <v>103410706</v>
      </c>
      <c r="B109" s="3" t="s">
        <v>4388</v>
      </c>
      <c r="C109" s="3" t="s">
        <v>9</v>
      </c>
      <c r="D109" s="3" t="s">
        <v>5</v>
      </c>
      <c r="E109" s="3" t="s">
        <v>10</v>
      </c>
      <c r="F109" s="3" t="s">
        <v>4389</v>
      </c>
      <c r="G109" s="3" t="s">
        <v>4390</v>
      </c>
      <c r="H109" s="3">
        <v>701.1</v>
      </c>
      <c r="I109" s="3" t="s">
        <v>11</v>
      </c>
    </row>
    <row r="110" spans="1:9" x14ac:dyDescent="0.35">
      <c r="A110" s="3">
        <v>103410704</v>
      </c>
      <c r="B110" s="3" t="s">
        <v>4391</v>
      </c>
      <c r="C110" s="3" t="s">
        <v>9</v>
      </c>
      <c r="D110" s="3" t="s">
        <v>5</v>
      </c>
      <c r="E110" s="3" t="s">
        <v>10</v>
      </c>
      <c r="F110" s="3" t="s">
        <v>4392</v>
      </c>
      <c r="G110" s="3" t="s">
        <v>4393</v>
      </c>
      <c r="H110" s="5">
        <v>1199</v>
      </c>
      <c r="I110" s="3" t="s">
        <v>11</v>
      </c>
    </row>
    <row r="111" spans="1:9" x14ac:dyDescent="0.35">
      <c r="A111" s="3">
        <v>103410703</v>
      </c>
      <c r="B111" s="3" t="s">
        <v>4394</v>
      </c>
      <c r="C111" s="3" t="s">
        <v>9</v>
      </c>
      <c r="D111" s="3" t="s">
        <v>5</v>
      </c>
      <c r="E111" s="3" t="s">
        <v>10</v>
      </c>
      <c r="F111" s="3" t="s">
        <v>4395</v>
      </c>
      <c r="G111" s="3" t="s">
        <v>4396</v>
      </c>
      <c r="H111" s="5">
        <v>2338</v>
      </c>
      <c r="I111" s="3" t="s">
        <v>11</v>
      </c>
    </row>
    <row r="112" spans="1:9" x14ac:dyDescent="0.35">
      <c r="A112" s="3">
        <v>103410828</v>
      </c>
      <c r="B112" s="3" t="s">
        <v>4397</v>
      </c>
      <c r="C112" s="3" t="s">
        <v>9</v>
      </c>
      <c r="D112" s="3" t="s">
        <v>5</v>
      </c>
      <c r="E112" s="3" t="s">
        <v>10</v>
      </c>
      <c r="F112" s="3" t="s">
        <v>4398</v>
      </c>
      <c r="G112" s="3" t="s">
        <v>4399</v>
      </c>
      <c r="H112" s="3">
        <v>999</v>
      </c>
      <c r="I112" s="3" t="s">
        <v>11</v>
      </c>
    </row>
    <row r="113" spans="1:9" x14ac:dyDescent="0.35">
      <c r="A113" s="3">
        <v>103410827</v>
      </c>
      <c r="B113" s="3" t="s">
        <v>4400</v>
      </c>
      <c r="C113" s="3" t="s">
        <v>9</v>
      </c>
      <c r="D113" s="3" t="s">
        <v>5</v>
      </c>
      <c r="E113" s="3" t="s">
        <v>10</v>
      </c>
      <c r="F113" s="3" t="s">
        <v>4401</v>
      </c>
      <c r="G113" s="3" t="s">
        <v>4402</v>
      </c>
      <c r="H113" s="4">
        <v>1918.05</v>
      </c>
      <c r="I113" s="3" t="s">
        <v>11</v>
      </c>
    </row>
    <row r="114" spans="1:9" x14ac:dyDescent="0.35">
      <c r="A114" s="3">
        <v>103410823</v>
      </c>
      <c r="B114" s="3" t="s">
        <v>4403</v>
      </c>
      <c r="C114" s="3" t="s">
        <v>9</v>
      </c>
      <c r="D114" s="3" t="s">
        <v>5</v>
      </c>
      <c r="E114" s="3" t="s">
        <v>10</v>
      </c>
      <c r="F114" s="3" t="s">
        <v>4404</v>
      </c>
      <c r="G114" s="3" t="s">
        <v>4405</v>
      </c>
      <c r="H114" s="4">
        <v>1851.55</v>
      </c>
      <c r="I114" s="3" t="s">
        <v>11</v>
      </c>
    </row>
    <row r="115" spans="1:9" x14ac:dyDescent="0.35">
      <c r="A115" s="3">
        <v>103410699</v>
      </c>
      <c r="B115" s="3" t="s">
        <v>4406</v>
      </c>
      <c r="C115" s="3" t="s">
        <v>9</v>
      </c>
      <c r="D115" s="3" t="s">
        <v>5</v>
      </c>
      <c r="E115" s="3" t="s">
        <v>10</v>
      </c>
      <c r="F115" s="3" t="s">
        <v>4407</v>
      </c>
      <c r="G115" s="3" t="s">
        <v>4408</v>
      </c>
      <c r="H115" s="4">
        <v>14367.8</v>
      </c>
      <c r="I115" s="3" t="s">
        <v>11</v>
      </c>
    </row>
    <row r="116" spans="1:9" x14ac:dyDescent="0.35">
      <c r="A116" s="3">
        <v>103410819</v>
      </c>
      <c r="B116" s="3" t="s">
        <v>4409</v>
      </c>
      <c r="C116" s="3" t="s">
        <v>9</v>
      </c>
      <c r="D116" s="3" t="s">
        <v>5</v>
      </c>
      <c r="E116" s="3" t="s">
        <v>10</v>
      </c>
      <c r="F116" s="3" t="s">
        <v>4410</v>
      </c>
      <c r="G116" s="3" t="s">
        <v>4411</v>
      </c>
      <c r="H116" s="4">
        <v>2345.5500000000002</v>
      </c>
      <c r="I116" s="3" t="s">
        <v>11</v>
      </c>
    </row>
    <row r="117" spans="1:9" x14ac:dyDescent="0.35">
      <c r="A117" s="3">
        <v>103410818</v>
      </c>
      <c r="B117" s="3" t="s">
        <v>4412</v>
      </c>
      <c r="C117" s="3" t="s">
        <v>9</v>
      </c>
      <c r="D117" s="3" t="s">
        <v>5</v>
      </c>
      <c r="E117" s="3" t="s">
        <v>10</v>
      </c>
      <c r="F117" s="3" t="s">
        <v>2937</v>
      </c>
      <c r="G117" s="3" t="s">
        <v>2938</v>
      </c>
      <c r="H117" s="4">
        <v>4939.05</v>
      </c>
      <c r="I117" s="3" t="s">
        <v>11</v>
      </c>
    </row>
    <row r="118" spans="1:9" x14ac:dyDescent="0.35">
      <c r="A118" s="3">
        <v>103410697</v>
      </c>
      <c r="B118" s="3" t="s">
        <v>4413</v>
      </c>
      <c r="C118" s="3" t="s">
        <v>9</v>
      </c>
      <c r="D118" s="3" t="s">
        <v>5</v>
      </c>
      <c r="E118" s="3" t="s">
        <v>12</v>
      </c>
      <c r="F118" s="3" t="s">
        <v>4414</v>
      </c>
      <c r="G118" s="3" t="s">
        <v>2260</v>
      </c>
      <c r="H118" s="3">
        <v>768.55</v>
      </c>
      <c r="I118" s="3" t="s">
        <v>11</v>
      </c>
    </row>
    <row r="119" spans="1:9" x14ac:dyDescent="0.35">
      <c r="A119" s="3">
        <v>103410809</v>
      </c>
      <c r="B119" s="3" t="s">
        <v>4415</v>
      </c>
      <c r="C119" s="3" t="s">
        <v>9</v>
      </c>
      <c r="D119" s="3" t="s">
        <v>5</v>
      </c>
      <c r="E119" s="3" t="s">
        <v>12</v>
      </c>
      <c r="F119" s="3" t="s">
        <v>4416</v>
      </c>
      <c r="G119" s="3" t="s">
        <v>4417</v>
      </c>
      <c r="H119" s="5">
        <v>1499</v>
      </c>
      <c r="I119" s="3" t="s">
        <v>11</v>
      </c>
    </row>
    <row r="120" spans="1:9" x14ac:dyDescent="0.35">
      <c r="A120" s="3">
        <v>103410691</v>
      </c>
      <c r="B120" s="3" t="s">
        <v>4418</v>
      </c>
      <c r="C120" s="3" t="s">
        <v>9</v>
      </c>
      <c r="D120" s="3" t="s">
        <v>5</v>
      </c>
      <c r="E120" s="3" t="s">
        <v>10</v>
      </c>
      <c r="F120" s="3" t="s">
        <v>4419</v>
      </c>
      <c r="G120" s="3" t="s">
        <v>4420</v>
      </c>
      <c r="H120" s="3">
        <v>799</v>
      </c>
      <c r="I120" s="3" t="s">
        <v>11</v>
      </c>
    </row>
    <row r="121" spans="1:9" x14ac:dyDescent="0.35">
      <c r="A121" s="3">
        <v>103410805</v>
      </c>
      <c r="B121" s="3" t="s">
        <v>4421</v>
      </c>
      <c r="C121" s="3" t="s">
        <v>9</v>
      </c>
      <c r="D121" s="3" t="s">
        <v>5</v>
      </c>
      <c r="E121" s="3" t="s">
        <v>10</v>
      </c>
      <c r="F121" s="3" t="s">
        <v>4422</v>
      </c>
      <c r="G121" s="3" t="s">
        <v>4423</v>
      </c>
      <c r="H121" s="4">
        <v>3324.05</v>
      </c>
      <c r="I121" s="3" t="s">
        <v>11</v>
      </c>
    </row>
    <row r="122" spans="1:9" x14ac:dyDescent="0.35">
      <c r="A122" s="3">
        <v>103410690</v>
      </c>
      <c r="B122" s="3" t="s">
        <v>4424</v>
      </c>
      <c r="C122" s="3" t="s">
        <v>9</v>
      </c>
      <c r="D122" s="3" t="s">
        <v>5</v>
      </c>
      <c r="E122" s="3" t="s">
        <v>10</v>
      </c>
      <c r="F122" s="3" t="s">
        <v>4425</v>
      </c>
      <c r="G122" s="3" t="s">
        <v>4426</v>
      </c>
      <c r="H122" s="4">
        <v>4178.1000000000004</v>
      </c>
      <c r="I122" s="3" t="s">
        <v>11</v>
      </c>
    </row>
    <row r="123" spans="1:9" x14ac:dyDescent="0.35">
      <c r="A123" s="3">
        <v>103410688</v>
      </c>
      <c r="B123" s="3" t="s">
        <v>4427</v>
      </c>
      <c r="C123" s="3" t="s">
        <v>9</v>
      </c>
      <c r="D123" s="3" t="s">
        <v>5</v>
      </c>
      <c r="E123" s="3" t="s">
        <v>10</v>
      </c>
      <c r="F123" s="3" t="s">
        <v>4428</v>
      </c>
      <c r="G123" s="3" t="s">
        <v>4429</v>
      </c>
      <c r="H123" s="5">
        <v>3569</v>
      </c>
      <c r="I123" s="3" t="s">
        <v>11</v>
      </c>
    </row>
    <row r="124" spans="1:9" x14ac:dyDescent="0.35">
      <c r="A124" s="3">
        <v>103410797</v>
      </c>
      <c r="B124" s="3" t="s">
        <v>4430</v>
      </c>
      <c r="C124" s="3" t="s">
        <v>9</v>
      </c>
      <c r="D124" s="3" t="s">
        <v>5</v>
      </c>
      <c r="E124" s="3" t="s">
        <v>10</v>
      </c>
      <c r="F124" s="3" t="s">
        <v>4431</v>
      </c>
      <c r="G124" s="3" t="s">
        <v>4432</v>
      </c>
      <c r="H124" s="4">
        <v>1352.85</v>
      </c>
      <c r="I124" s="3" t="s">
        <v>11</v>
      </c>
    </row>
    <row r="125" spans="1:9" x14ac:dyDescent="0.35">
      <c r="A125" s="3">
        <v>103410684</v>
      </c>
      <c r="B125" s="3" t="s">
        <v>4433</v>
      </c>
      <c r="C125" s="3" t="s">
        <v>9</v>
      </c>
      <c r="D125" s="3" t="s">
        <v>5</v>
      </c>
      <c r="E125" s="3" t="s">
        <v>10</v>
      </c>
      <c r="F125" s="3" t="s">
        <v>4434</v>
      </c>
      <c r="G125" s="3" t="s">
        <v>4435</v>
      </c>
      <c r="H125" s="5">
        <v>3499</v>
      </c>
      <c r="I125" s="3" t="s">
        <v>11</v>
      </c>
    </row>
    <row r="126" spans="1:9" x14ac:dyDescent="0.35">
      <c r="A126" s="3">
        <v>103410792</v>
      </c>
      <c r="B126" s="3" t="s">
        <v>4436</v>
      </c>
      <c r="C126" s="3" t="s">
        <v>9</v>
      </c>
      <c r="D126" s="3" t="s">
        <v>5</v>
      </c>
      <c r="E126" s="3" t="s">
        <v>12</v>
      </c>
      <c r="F126" s="3" t="s">
        <v>4437</v>
      </c>
      <c r="G126" s="3" t="s">
        <v>4438</v>
      </c>
      <c r="H126" s="4">
        <v>1578.47</v>
      </c>
      <c r="I126" s="3" t="s">
        <v>11</v>
      </c>
    </row>
    <row r="127" spans="1:9" x14ac:dyDescent="0.35">
      <c r="A127" s="3">
        <v>103410790</v>
      </c>
      <c r="B127" s="3" t="s">
        <v>4439</v>
      </c>
      <c r="C127" s="3" t="s">
        <v>9</v>
      </c>
      <c r="D127" s="3" t="s">
        <v>5</v>
      </c>
      <c r="E127" s="3" t="s">
        <v>10</v>
      </c>
      <c r="F127" s="3" t="s">
        <v>4440</v>
      </c>
      <c r="G127" s="3" t="s">
        <v>4441</v>
      </c>
      <c r="H127" s="5">
        <v>3599</v>
      </c>
      <c r="I127" s="3" t="s">
        <v>11</v>
      </c>
    </row>
    <row r="128" spans="1:9" x14ac:dyDescent="0.35">
      <c r="A128" s="3">
        <v>103410683</v>
      </c>
      <c r="B128" s="3" t="s">
        <v>4439</v>
      </c>
      <c r="C128" s="3" t="s">
        <v>9</v>
      </c>
      <c r="D128" s="3" t="s">
        <v>5</v>
      </c>
      <c r="E128" s="3" t="s">
        <v>12</v>
      </c>
      <c r="F128" s="3" t="s">
        <v>4442</v>
      </c>
      <c r="G128" s="3" t="s">
        <v>4443</v>
      </c>
      <c r="H128" s="4">
        <v>3474.15</v>
      </c>
      <c r="I128" s="3" t="s">
        <v>11</v>
      </c>
    </row>
    <row r="129" spans="1:9" x14ac:dyDescent="0.35">
      <c r="A129" s="3">
        <v>103410789</v>
      </c>
      <c r="B129" s="3" t="s">
        <v>4444</v>
      </c>
      <c r="C129" s="3" t="s">
        <v>9</v>
      </c>
      <c r="D129" s="3" t="s">
        <v>5</v>
      </c>
      <c r="E129" s="3" t="s">
        <v>10</v>
      </c>
      <c r="F129" s="3" t="s">
        <v>4445</v>
      </c>
      <c r="G129" s="3" t="s">
        <v>4446</v>
      </c>
      <c r="H129" s="3">
        <v>806.55</v>
      </c>
      <c r="I129" s="3" t="s">
        <v>11</v>
      </c>
    </row>
    <row r="130" spans="1:9" x14ac:dyDescent="0.35">
      <c r="A130" s="3">
        <v>103410786</v>
      </c>
      <c r="B130" s="3" t="s">
        <v>4447</v>
      </c>
      <c r="C130" s="3" t="s">
        <v>9</v>
      </c>
      <c r="D130" s="3" t="s">
        <v>5</v>
      </c>
      <c r="E130" s="3" t="s">
        <v>10</v>
      </c>
      <c r="F130" s="3" t="s">
        <v>4448</v>
      </c>
      <c r="G130" s="3" t="s">
        <v>4449</v>
      </c>
      <c r="H130" s="5">
        <v>1499</v>
      </c>
      <c r="I130" s="3" t="s">
        <v>11</v>
      </c>
    </row>
    <row r="131" spans="1:9" x14ac:dyDescent="0.35">
      <c r="A131" s="3">
        <v>103410682</v>
      </c>
      <c r="B131" s="3" t="s">
        <v>4450</v>
      </c>
      <c r="C131" s="3" t="s">
        <v>9</v>
      </c>
      <c r="D131" s="3" t="s">
        <v>5</v>
      </c>
      <c r="E131" s="3" t="s">
        <v>10</v>
      </c>
      <c r="F131" s="3" t="s">
        <v>4451</v>
      </c>
      <c r="G131" s="3" t="s">
        <v>4452</v>
      </c>
      <c r="H131" s="4">
        <v>1424.05</v>
      </c>
      <c r="I131" s="3" t="s">
        <v>11</v>
      </c>
    </row>
    <row r="132" spans="1:9" x14ac:dyDescent="0.35">
      <c r="A132" s="3">
        <v>103410779</v>
      </c>
      <c r="B132" s="3" t="s">
        <v>4453</v>
      </c>
      <c r="C132" s="3" t="s">
        <v>9</v>
      </c>
      <c r="D132" s="3" t="s">
        <v>5</v>
      </c>
      <c r="E132" s="3" t="s">
        <v>12</v>
      </c>
      <c r="F132" s="3" t="s">
        <v>4454</v>
      </c>
      <c r="G132" s="3" t="s">
        <v>4455</v>
      </c>
      <c r="H132" s="4">
        <v>2222.1</v>
      </c>
      <c r="I132" s="3" t="s">
        <v>11</v>
      </c>
    </row>
    <row r="133" spans="1:9" x14ac:dyDescent="0.35">
      <c r="A133" s="3">
        <v>103410774</v>
      </c>
      <c r="B133" s="3" t="s">
        <v>4456</v>
      </c>
      <c r="C133" s="3" t="s">
        <v>9</v>
      </c>
      <c r="D133" s="3" t="s">
        <v>5</v>
      </c>
      <c r="E133" s="3" t="s">
        <v>10</v>
      </c>
      <c r="F133" s="3" t="s">
        <v>4457</v>
      </c>
      <c r="G133" s="3" t="s">
        <v>4458</v>
      </c>
      <c r="H133" s="3">
        <v>987.05</v>
      </c>
      <c r="I133" s="3" t="s">
        <v>11</v>
      </c>
    </row>
    <row r="134" spans="1:9" x14ac:dyDescent="0.35">
      <c r="A134" s="3">
        <v>103410674</v>
      </c>
      <c r="B134" s="3" t="s">
        <v>4459</v>
      </c>
      <c r="C134" s="3" t="s">
        <v>9</v>
      </c>
      <c r="D134" s="3" t="s">
        <v>5</v>
      </c>
      <c r="E134" s="3" t="s">
        <v>10</v>
      </c>
      <c r="F134" s="3" t="s">
        <v>4460</v>
      </c>
      <c r="G134" s="3" t="s">
        <v>4461</v>
      </c>
      <c r="H134" s="3">
        <v>969</v>
      </c>
      <c r="I134" s="3" t="s">
        <v>11</v>
      </c>
    </row>
    <row r="135" spans="1:9" x14ac:dyDescent="0.35">
      <c r="A135" s="3">
        <v>103410765</v>
      </c>
      <c r="B135" s="3" t="s">
        <v>4462</v>
      </c>
      <c r="C135" s="3" t="s">
        <v>9</v>
      </c>
      <c r="D135" s="3" t="s">
        <v>5</v>
      </c>
      <c r="E135" s="3" t="s">
        <v>10</v>
      </c>
      <c r="F135" s="3" t="s">
        <v>4463</v>
      </c>
      <c r="G135" s="3" t="s">
        <v>4464</v>
      </c>
      <c r="H135" s="5">
        <v>1439</v>
      </c>
      <c r="I135" s="3" t="s">
        <v>11</v>
      </c>
    </row>
    <row r="136" spans="1:9" x14ac:dyDescent="0.35">
      <c r="A136" s="3">
        <v>103410663</v>
      </c>
      <c r="B136" s="3" t="s">
        <v>4465</v>
      </c>
      <c r="C136" s="3" t="s">
        <v>9</v>
      </c>
      <c r="D136" s="3" t="s">
        <v>5</v>
      </c>
      <c r="E136" s="3" t="s">
        <v>12</v>
      </c>
      <c r="F136" s="3" t="s">
        <v>4466</v>
      </c>
      <c r="G136" s="3" t="s">
        <v>4467</v>
      </c>
      <c r="H136" s="5">
        <v>2749</v>
      </c>
      <c r="I136" s="3" t="s">
        <v>11</v>
      </c>
    </row>
    <row r="137" spans="1:9" x14ac:dyDescent="0.35">
      <c r="A137" s="3">
        <v>103410670</v>
      </c>
      <c r="B137" s="3" t="s">
        <v>4468</v>
      </c>
      <c r="C137" s="3" t="s">
        <v>9</v>
      </c>
      <c r="D137" s="3" t="s">
        <v>5</v>
      </c>
      <c r="E137" s="3" t="s">
        <v>10</v>
      </c>
      <c r="F137" s="3" t="s">
        <v>4469</v>
      </c>
      <c r="G137" s="3" t="s">
        <v>4470</v>
      </c>
      <c r="H137" s="3">
        <v>673.55</v>
      </c>
      <c r="I137" s="3" t="s">
        <v>11</v>
      </c>
    </row>
    <row r="138" spans="1:9" x14ac:dyDescent="0.35">
      <c r="A138" s="3">
        <v>103410660</v>
      </c>
      <c r="B138" s="3" t="s">
        <v>4471</v>
      </c>
      <c r="C138" s="3" t="s">
        <v>9</v>
      </c>
      <c r="D138" s="3" t="s">
        <v>5</v>
      </c>
      <c r="E138" s="3" t="s">
        <v>10</v>
      </c>
      <c r="F138" s="3" t="s">
        <v>4472</v>
      </c>
      <c r="G138" s="3" t="s">
        <v>4473</v>
      </c>
      <c r="H138" s="3">
        <v>419</v>
      </c>
      <c r="I138" s="3" t="s">
        <v>11</v>
      </c>
    </row>
    <row r="139" spans="1:9" x14ac:dyDescent="0.35">
      <c r="A139" s="3">
        <v>103410659</v>
      </c>
      <c r="B139" s="3" t="s">
        <v>4474</v>
      </c>
      <c r="C139" s="3" t="s">
        <v>9</v>
      </c>
      <c r="D139" s="3" t="s">
        <v>5</v>
      </c>
      <c r="E139" s="3" t="s">
        <v>10</v>
      </c>
      <c r="F139" s="3" t="s">
        <v>1589</v>
      </c>
      <c r="G139" s="3" t="s">
        <v>1590</v>
      </c>
      <c r="H139" s="5">
        <v>2199</v>
      </c>
      <c r="I139" s="3" t="s">
        <v>11</v>
      </c>
    </row>
    <row r="140" spans="1:9" x14ac:dyDescent="0.35">
      <c r="A140" s="3">
        <v>103410561</v>
      </c>
      <c r="B140" s="3" t="s">
        <v>4475</v>
      </c>
      <c r="C140" s="3" t="s">
        <v>9</v>
      </c>
      <c r="D140" s="3" t="s">
        <v>5</v>
      </c>
      <c r="E140" s="3" t="s">
        <v>10</v>
      </c>
      <c r="F140" s="3" t="s">
        <v>4476</v>
      </c>
      <c r="G140" s="3" t="s">
        <v>4477</v>
      </c>
      <c r="H140" s="4">
        <v>4102.29</v>
      </c>
      <c r="I140" s="3" t="s">
        <v>11</v>
      </c>
    </row>
    <row r="141" spans="1:9" x14ac:dyDescent="0.35">
      <c r="A141" s="3">
        <v>103410654</v>
      </c>
      <c r="B141" s="3" t="s">
        <v>4478</v>
      </c>
      <c r="C141" s="3" t="s">
        <v>9</v>
      </c>
      <c r="D141" s="3" t="s">
        <v>5</v>
      </c>
      <c r="E141" s="3" t="s">
        <v>10</v>
      </c>
      <c r="F141" s="3" t="s">
        <v>4479</v>
      </c>
      <c r="G141" s="3" t="s">
        <v>4480</v>
      </c>
      <c r="H141" s="4">
        <v>2991.55</v>
      </c>
      <c r="I141" s="3" t="s">
        <v>11</v>
      </c>
    </row>
    <row r="142" spans="1:9" x14ac:dyDescent="0.35">
      <c r="A142" s="3">
        <v>103410653</v>
      </c>
      <c r="B142" s="3" t="s">
        <v>4481</v>
      </c>
      <c r="C142" s="3" t="s">
        <v>9</v>
      </c>
      <c r="D142" s="3" t="s">
        <v>5</v>
      </c>
      <c r="E142" s="3" t="s">
        <v>10</v>
      </c>
      <c r="F142" s="3" t="s">
        <v>4482</v>
      </c>
      <c r="G142" s="3" t="s">
        <v>4483</v>
      </c>
      <c r="H142" s="5">
        <v>1348</v>
      </c>
      <c r="I142" s="3" t="s">
        <v>11</v>
      </c>
    </row>
    <row r="143" spans="1:9" x14ac:dyDescent="0.35">
      <c r="A143" s="3">
        <v>103410652</v>
      </c>
      <c r="B143" s="3" t="s">
        <v>4484</v>
      </c>
      <c r="C143" s="3" t="s">
        <v>9</v>
      </c>
      <c r="D143" s="3" t="s">
        <v>5</v>
      </c>
      <c r="E143" s="3" t="s">
        <v>10</v>
      </c>
      <c r="F143" s="3" t="s">
        <v>4485</v>
      </c>
      <c r="G143" s="3" t="s">
        <v>4486</v>
      </c>
      <c r="H143" s="4">
        <v>3989.05</v>
      </c>
      <c r="I143" s="3" t="s">
        <v>11</v>
      </c>
    </row>
    <row r="144" spans="1:9" x14ac:dyDescent="0.35">
      <c r="A144" s="3">
        <v>103410560</v>
      </c>
      <c r="B144" s="3" t="s">
        <v>4487</v>
      </c>
      <c r="C144" s="3" t="s">
        <v>9</v>
      </c>
      <c r="D144" s="3" t="s">
        <v>5</v>
      </c>
      <c r="E144" s="3" t="s">
        <v>10</v>
      </c>
      <c r="F144" s="3" t="s">
        <v>4488</v>
      </c>
      <c r="G144" s="3" t="s">
        <v>4489</v>
      </c>
      <c r="H144" s="5">
        <v>2378</v>
      </c>
      <c r="I144" s="3" t="s">
        <v>11</v>
      </c>
    </row>
    <row r="145" spans="1:9" x14ac:dyDescent="0.35">
      <c r="A145" s="3">
        <v>103410640</v>
      </c>
      <c r="B145" s="3" t="s">
        <v>4490</v>
      </c>
      <c r="C145" s="3" t="s">
        <v>9</v>
      </c>
      <c r="D145" s="3" t="s">
        <v>5</v>
      </c>
      <c r="E145" s="3" t="s">
        <v>10</v>
      </c>
      <c r="F145" s="3" t="s">
        <v>4491</v>
      </c>
      <c r="G145" s="3" t="s">
        <v>4492</v>
      </c>
      <c r="H145" s="4">
        <v>1984.6</v>
      </c>
      <c r="I145" s="3" t="s">
        <v>11</v>
      </c>
    </row>
    <row r="146" spans="1:9" x14ac:dyDescent="0.35">
      <c r="A146" s="3">
        <v>103410558</v>
      </c>
      <c r="B146" s="3" t="s">
        <v>4493</v>
      </c>
      <c r="C146" s="3" t="s">
        <v>9</v>
      </c>
      <c r="D146" s="3" t="s">
        <v>5</v>
      </c>
      <c r="E146" s="3" t="s">
        <v>10</v>
      </c>
      <c r="F146" s="3" t="s">
        <v>4494</v>
      </c>
      <c r="G146" s="3" t="s">
        <v>4495</v>
      </c>
      <c r="H146" s="4">
        <v>2659.05</v>
      </c>
      <c r="I146" s="3" t="s">
        <v>11</v>
      </c>
    </row>
    <row r="147" spans="1:9" x14ac:dyDescent="0.35">
      <c r="A147" s="3">
        <v>103410634</v>
      </c>
      <c r="B147" s="3" t="s">
        <v>4496</v>
      </c>
      <c r="C147" s="3" t="s">
        <v>9</v>
      </c>
      <c r="D147" s="3" t="s">
        <v>5</v>
      </c>
      <c r="E147" s="3" t="s">
        <v>10</v>
      </c>
      <c r="F147" s="3" t="s">
        <v>4316</v>
      </c>
      <c r="G147" s="3" t="s">
        <v>4317</v>
      </c>
      <c r="H147" s="3">
        <v>550.04999999999995</v>
      </c>
      <c r="I147" s="3" t="s">
        <v>11</v>
      </c>
    </row>
    <row r="148" spans="1:9" x14ac:dyDescent="0.35">
      <c r="A148" s="3">
        <v>103410554</v>
      </c>
      <c r="B148" s="3" t="s">
        <v>4497</v>
      </c>
      <c r="C148" s="3" t="s">
        <v>9</v>
      </c>
      <c r="D148" s="3" t="s">
        <v>5</v>
      </c>
      <c r="E148" s="3" t="s">
        <v>12</v>
      </c>
      <c r="F148" s="3" t="s">
        <v>4498</v>
      </c>
      <c r="G148" s="3" t="s">
        <v>4499</v>
      </c>
      <c r="H148" s="5">
        <v>1679</v>
      </c>
      <c r="I148" s="3" t="s">
        <v>11</v>
      </c>
    </row>
    <row r="149" spans="1:9" x14ac:dyDescent="0.35">
      <c r="A149" s="3">
        <v>103410630</v>
      </c>
      <c r="B149" s="3" t="s">
        <v>4500</v>
      </c>
      <c r="C149" s="3" t="s">
        <v>9</v>
      </c>
      <c r="D149" s="3" t="s">
        <v>5</v>
      </c>
      <c r="E149" s="3" t="s">
        <v>10</v>
      </c>
      <c r="F149" s="3" t="s">
        <v>4501</v>
      </c>
      <c r="G149" s="3" t="s">
        <v>4502</v>
      </c>
      <c r="H149" s="4">
        <v>2350.39</v>
      </c>
      <c r="I149" s="3" t="s">
        <v>11</v>
      </c>
    </row>
    <row r="150" spans="1:9" x14ac:dyDescent="0.35">
      <c r="A150" s="3">
        <v>103410628</v>
      </c>
      <c r="B150" s="3" t="s">
        <v>4503</v>
      </c>
      <c r="C150" s="3" t="s">
        <v>9</v>
      </c>
      <c r="D150" s="3" t="s">
        <v>5</v>
      </c>
      <c r="E150" s="3" t="s">
        <v>10</v>
      </c>
      <c r="F150" s="3" t="s">
        <v>4504</v>
      </c>
      <c r="G150" s="3" t="s">
        <v>4505</v>
      </c>
      <c r="H150" s="4">
        <v>3989.05</v>
      </c>
      <c r="I150" s="3" t="s">
        <v>11</v>
      </c>
    </row>
    <row r="151" spans="1:9" x14ac:dyDescent="0.35">
      <c r="A151" s="3">
        <v>103410549</v>
      </c>
      <c r="B151" s="3" t="s">
        <v>4506</v>
      </c>
      <c r="C151" s="3" t="s">
        <v>9</v>
      </c>
      <c r="D151" s="3" t="s">
        <v>5</v>
      </c>
      <c r="E151" s="3" t="s">
        <v>10</v>
      </c>
      <c r="F151" s="3" t="s">
        <v>4507</v>
      </c>
      <c r="G151" s="3" t="s">
        <v>4508</v>
      </c>
      <c r="H151" s="5">
        <v>2199</v>
      </c>
      <c r="I151" s="3" t="s">
        <v>11</v>
      </c>
    </row>
    <row r="152" spans="1:9" x14ac:dyDescent="0.35">
      <c r="A152" s="3">
        <v>103410619</v>
      </c>
      <c r="B152" s="3" t="s">
        <v>4509</v>
      </c>
      <c r="C152" s="3" t="s">
        <v>9</v>
      </c>
      <c r="D152" s="3" t="s">
        <v>5</v>
      </c>
      <c r="E152" s="3" t="s">
        <v>10</v>
      </c>
      <c r="F152" s="3" t="s">
        <v>4510</v>
      </c>
      <c r="G152" s="3" t="s">
        <v>4511</v>
      </c>
      <c r="H152" s="4">
        <v>3248.1</v>
      </c>
      <c r="I152" s="3" t="s">
        <v>11</v>
      </c>
    </row>
    <row r="153" spans="1:9" x14ac:dyDescent="0.35">
      <c r="A153" s="3">
        <v>103410545</v>
      </c>
      <c r="B153" s="3" t="s">
        <v>4512</v>
      </c>
      <c r="C153" s="3" t="s">
        <v>9</v>
      </c>
      <c r="D153" s="3" t="s">
        <v>5</v>
      </c>
      <c r="E153" s="3" t="s">
        <v>10</v>
      </c>
      <c r="F153" s="3" t="s">
        <v>4513</v>
      </c>
      <c r="G153" s="3" t="s">
        <v>4514</v>
      </c>
      <c r="H153" s="4">
        <v>3134.05</v>
      </c>
      <c r="I153" s="3" t="s">
        <v>11</v>
      </c>
    </row>
    <row r="154" spans="1:9" x14ac:dyDescent="0.35">
      <c r="A154" s="3">
        <v>103410605</v>
      </c>
      <c r="B154" s="3" t="s">
        <v>4515</v>
      </c>
      <c r="C154" s="3" t="s">
        <v>9</v>
      </c>
      <c r="D154" s="3" t="s">
        <v>5</v>
      </c>
      <c r="E154" s="3" t="s">
        <v>10</v>
      </c>
      <c r="F154" s="3" t="s">
        <v>4516</v>
      </c>
      <c r="G154" s="3" t="s">
        <v>4517</v>
      </c>
      <c r="H154" s="4">
        <v>4994.1499999999996</v>
      </c>
      <c r="I154" s="3" t="s">
        <v>11</v>
      </c>
    </row>
    <row r="155" spans="1:9" x14ac:dyDescent="0.35">
      <c r="A155" s="3">
        <v>103410539</v>
      </c>
      <c r="B155" s="3" t="s">
        <v>4518</v>
      </c>
      <c r="C155" s="3" t="s">
        <v>9</v>
      </c>
      <c r="D155" s="3" t="s">
        <v>5</v>
      </c>
      <c r="E155" s="3" t="s">
        <v>10</v>
      </c>
      <c r="F155" s="3" t="s">
        <v>4519</v>
      </c>
      <c r="G155" s="3" t="s">
        <v>4520</v>
      </c>
      <c r="H155" s="4">
        <v>6564.69</v>
      </c>
      <c r="I155" s="3" t="s">
        <v>11</v>
      </c>
    </row>
    <row r="156" spans="1:9" x14ac:dyDescent="0.35">
      <c r="A156" s="3">
        <v>103410603</v>
      </c>
      <c r="B156" s="3" t="s">
        <v>4521</v>
      </c>
      <c r="C156" s="3" t="s">
        <v>9</v>
      </c>
      <c r="D156" s="3" t="s">
        <v>5</v>
      </c>
      <c r="E156" s="3" t="s">
        <v>12</v>
      </c>
      <c r="F156" s="3" t="s">
        <v>4522</v>
      </c>
      <c r="G156" s="3" t="s">
        <v>4523</v>
      </c>
      <c r="H156" s="3">
        <v>899</v>
      </c>
      <c r="I156" s="3" t="s">
        <v>11</v>
      </c>
    </row>
    <row r="157" spans="1:9" x14ac:dyDescent="0.35">
      <c r="A157" s="3">
        <v>103410596</v>
      </c>
      <c r="B157" s="3" t="s">
        <v>4524</v>
      </c>
      <c r="C157" s="3" t="s">
        <v>9</v>
      </c>
      <c r="D157" s="3" t="s">
        <v>5</v>
      </c>
      <c r="E157" s="3" t="s">
        <v>10</v>
      </c>
      <c r="F157" s="3" t="s">
        <v>4525</v>
      </c>
      <c r="G157" s="3" t="s">
        <v>4526</v>
      </c>
      <c r="H157" s="4">
        <v>1262.5999999999999</v>
      </c>
      <c r="I157" s="3" t="s">
        <v>11</v>
      </c>
    </row>
    <row r="158" spans="1:9" x14ac:dyDescent="0.35">
      <c r="A158" s="3">
        <v>103410597</v>
      </c>
      <c r="B158" s="3" t="s">
        <v>4524</v>
      </c>
      <c r="C158" s="3" t="s">
        <v>9</v>
      </c>
      <c r="D158" s="3" t="s">
        <v>5</v>
      </c>
      <c r="E158" s="3" t="s">
        <v>10</v>
      </c>
      <c r="F158" s="3" t="s">
        <v>4527</v>
      </c>
      <c r="G158" s="3" t="s">
        <v>4528</v>
      </c>
      <c r="H158" s="5">
        <v>2527</v>
      </c>
      <c r="I158" s="3" t="s">
        <v>11</v>
      </c>
    </row>
    <row r="159" spans="1:9" x14ac:dyDescent="0.35">
      <c r="A159" s="3">
        <v>103410594</v>
      </c>
      <c r="B159" s="3" t="s">
        <v>4529</v>
      </c>
      <c r="C159" s="3" t="s">
        <v>9</v>
      </c>
      <c r="D159" s="3" t="s">
        <v>5</v>
      </c>
      <c r="E159" s="3" t="s">
        <v>10</v>
      </c>
      <c r="F159" s="3" t="s">
        <v>4530</v>
      </c>
      <c r="G159" s="3" t="s">
        <v>4531</v>
      </c>
      <c r="H159" s="3">
        <v>759.05</v>
      </c>
      <c r="I159" s="3" t="s">
        <v>11</v>
      </c>
    </row>
    <row r="160" spans="1:9" x14ac:dyDescent="0.35">
      <c r="A160" s="3">
        <v>103410534</v>
      </c>
      <c r="B160" s="3" t="s">
        <v>4532</v>
      </c>
      <c r="C160" s="3" t="s">
        <v>9</v>
      </c>
      <c r="D160" s="3" t="s">
        <v>5</v>
      </c>
      <c r="E160" s="3" t="s">
        <v>10</v>
      </c>
      <c r="F160" s="3" t="s">
        <v>4533</v>
      </c>
      <c r="G160" s="3" t="s">
        <v>4534</v>
      </c>
      <c r="H160" s="4">
        <v>1880.14</v>
      </c>
      <c r="I160" s="3" t="s">
        <v>11</v>
      </c>
    </row>
    <row r="161" spans="1:9" x14ac:dyDescent="0.35">
      <c r="A161" s="3">
        <v>103410592</v>
      </c>
      <c r="B161" s="3" t="s">
        <v>4535</v>
      </c>
      <c r="C161" s="3" t="s">
        <v>9</v>
      </c>
      <c r="D161" s="3" t="s">
        <v>5</v>
      </c>
      <c r="E161" s="3" t="s">
        <v>10</v>
      </c>
      <c r="F161" s="3" t="s">
        <v>4536</v>
      </c>
      <c r="G161" s="3" t="s">
        <v>4537</v>
      </c>
      <c r="H161" s="3">
        <v>825.55</v>
      </c>
      <c r="I161" s="3" t="s">
        <v>11</v>
      </c>
    </row>
    <row r="162" spans="1:9" x14ac:dyDescent="0.35">
      <c r="A162" s="3">
        <v>103410589</v>
      </c>
      <c r="B162" s="3" t="s">
        <v>4538</v>
      </c>
      <c r="C162" s="3" t="s">
        <v>9</v>
      </c>
      <c r="D162" s="3" t="s">
        <v>5</v>
      </c>
      <c r="E162" s="3" t="s">
        <v>10</v>
      </c>
      <c r="F162" s="3" t="s">
        <v>4539</v>
      </c>
      <c r="G162" s="3" t="s">
        <v>4540</v>
      </c>
      <c r="H162" s="3">
        <v>946.72</v>
      </c>
      <c r="I162" s="3" t="s">
        <v>11</v>
      </c>
    </row>
    <row r="163" spans="1:9" x14ac:dyDescent="0.35">
      <c r="A163" s="3">
        <v>103410531</v>
      </c>
      <c r="B163" s="3" t="s">
        <v>4541</v>
      </c>
      <c r="C163" s="3" t="s">
        <v>9</v>
      </c>
      <c r="D163" s="3" t="s">
        <v>5</v>
      </c>
      <c r="E163" s="3" t="s">
        <v>10</v>
      </c>
      <c r="F163" s="3" t="s">
        <v>4542</v>
      </c>
      <c r="G163" s="3" t="s">
        <v>4543</v>
      </c>
      <c r="H163" s="5">
        <v>4199</v>
      </c>
      <c r="I163" s="3" t="s">
        <v>11</v>
      </c>
    </row>
    <row r="164" spans="1:9" x14ac:dyDescent="0.35">
      <c r="A164" s="3">
        <v>103410519</v>
      </c>
      <c r="B164" s="3" t="s">
        <v>4544</v>
      </c>
      <c r="C164" s="3" t="s">
        <v>9</v>
      </c>
      <c r="D164" s="3" t="s">
        <v>5</v>
      </c>
      <c r="E164" s="3" t="s">
        <v>10</v>
      </c>
      <c r="F164" s="3" t="s">
        <v>4545</v>
      </c>
      <c r="G164" s="3" t="s">
        <v>4546</v>
      </c>
      <c r="H164" s="3">
        <v>969</v>
      </c>
      <c r="I164" s="3" t="s">
        <v>11</v>
      </c>
    </row>
    <row r="165" spans="1:9" x14ac:dyDescent="0.35">
      <c r="A165" s="3">
        <v>103410515</v>
      </c>
      <c r="B165" s="3" t="s">
        <v>4547</v>
      </c>
      <c r="C165" s="3" t="s">
        <v>9</v>
      </c>
      <c r="D165" s="3" t="s">
        <v>5</v>
      </c>
      <c r="E165" s="3" t="s">
        <v>10</v>
      </c>
      <c r="F165" s="3" t="s">
        <v>4244</v>
      </c>
      <c r="G165" s="3" t="s">
        <v>4548</v>
      </c>
      <c r="H165" s="4">
        <v>1172.3499999999999</v>
      </c>
      <c r="I165" s="3" t="s">
        <v>11</v>
      </c>
    </row>
    <row r="166" spans="1:9" x14ac:dyDescent="0.35">
      <c r="A166" s="3">
        <v>103410513</v>
      </c>
      <c r="B166" s="3" t="s">
        <v>4549</v>
      </c>
      <c r="C166" s="3" t="s">
        <v>9</v>
      </c>
      <c r="D166" s="3" t="s">
        <v>5</v>
      </c>
      <c r="E166" s="3" t="s">
        <v>10</v>
      </c>
      <c r="F166" s="3" t="s">
        <v>4550</v>
      </c>
      <c r="G166" s="3" t="s">
        <v>4551</v>
      </c>
      <c r="H166" s="4">
        <v>2699.25</v>
      </c>
      <c r="I166" s="3" t="s">
        <v>11</v>
      </c>
    </row>
    <row r="167" spans="1:9" x14ac:dyDescent="0.35">
      <c r="A167" s="3">
        <v>103410568</v>
      </c>
      <c r="B167" s="3" t="s">
        <v>4552</v>
      </c>
      <c r="C167" s="3" t="s">
        <v>9</v>
      </c>
      <c r="D167" s="3" t="s">
        <v>5</v>
      </c>
      <c r="E167" s="3" t="s">
        <v>10</v>
      </c>
      <c r="F167" s="3" t="s">
        <v>4553</v>
      </c>
      <c r="G167" s="3" t="s">
        <v>4554</v>
      </c>
      <c r="H167" s="3">
        <v>597.64</v>
      </c>
      <c r="I167" s="3" t="s">
        <v>11</v>
      </c>
    </row>
    <row r="168" spans="1:9" x14ac:dyDescent="0.35">
      <c r="A168" s="3">
        <v>103410565</v>
      </c>
      <c r="B168" s="3" t="s">
        <v>4555</v>
      </c>
      <c r="C168" s="3" t="s">
        <v>9</v>
      </c>
      <c r="D168" s="3" t="s">
        <v>5</v>
      </c>
      <c r="E168" s="3" t="s">
        <v>10</v>
      </c>
      <c r="F168" s="3" t="s">
        <v>4556</v>
      </c>
      <c r="G168" s="3" t="s">
        <v>4557</v>
      </c>
      <c r="H168" s="3">
        <v>521.54999999999995</v>
      </c>
      <c r="I168" s="3" t="s">
        <v>11</v>
      </c>
    </row>
    <row r="169" spans="1:9" x14ac:dyDescent="0.35">
      <c r="A169" s="3">
        <v>103410506</v>
      </c>
      <c r="B169" s="3" t="s">
        <v>4558</v>
      </c>
      <c r="C169" s="3" t="s">
        <v>9</v>
      </c>
      <c r="D169" s="3" t="s">
        <v>5</v>
      </c>
      <c r="E169" s="3" t="s">
        <v>10</v>
      </c>
      <c r="F169" s="3" t="s">
        <v>4559</v>
      </c>
      <c r="G169" s="3" t="s">
        <v>4560</v>
      </c>
      <c r="H169" s="4">
        <v>4939.05</v>
      </c>
      <c r="I169" s="3" t="s">
        <v>11</v>
      </c>
    </row>
    <row r="170" spans="1:9" x14ac:dyDescent="0.35">
      <c r="A170" s="3">
        <v>103410460</v>
      </c>
      <c r="B170" s="3" t="s">
        <v>4561</v>
      </c>
      <c r="C170" s="3" t="s">
        <v>9</v>
      </c>
      <c r="D170" s="3" t="s">
        <v>5</v>
      </c>
      <c r="E170" s="3" t="s">
        <v>10</v>
      </c>
      <c r="F170" s="3" t="s">
        <v>4562</v>
      </c>
      <c r="G170" s="3" t="s">
        <v>4563</v>
      </c>
      <c r="H170" s="5">
        <v>1079</v>
      </c>
      <c r="I170" s="3" t="s">
        <v>11</v>
      </c>
    </row>
    <row r="171" spans="1:9" x14ac:dyDescent="0.35">
      <c r="A171" s="3">
        <v>103410502</v>
      </c>
      <c r="B171" s="3" t="s">
        <v>4564</v>
      </c>
      <c r="C171" s="3" t="s">
        <v>9</v>
      </c>
      <c r="D171" s="3" t="s">
        <v>5</v>
      </c>
      <c r="E171" s="3" t="s">
        <v>10</v>
      </c>
      <c r="F171" s="3" t="s">
        <v>4565</v>
      </c>
      <c r="G171" s="3" t="s">
        <v>4566</v>
      </c>
      <c r="H171" s="5">
        <v>2817</v>
      </c>
      <c r="I171" s="3" t="s">
        <v>11</v>
      </c>
    </row>
    <row r="172" spans="1:9" x14ac:dyDescent="0.35">
      <c r="A172" s="3">
        <v>103410496</v>
      </c>
      <c r="B172" s="3" t="s">
        <v>4567</v>
      </c>
      <c r="C172" s="3" t="s">
        <v>9</v>
      </c>
      <c r="D172" s="3" t="s">
        <v>5</v>
      </c>
      <c r="E172" s="3" t="s">
        <v>10</v>
      </c>
      <c r="F172" s="3" t="s">
        <v>4568</v>
      </c>
      <c r="G172" s="3" t="s">
        <v>4569</v>
      </c>
      <c r="H172" s="3">
        <v>521.54999999999995</v>
      </c>
      <c r="I172" s="3" t="s">
        <v>11</v>
      </c>
    </row>
    <row r="173" spans="1:9" x14ac:dyDescent="0.35">
      <c r="A173" s="3">
        <v>103410455</v>
      </c>
      <c r="B173" s="3" t="s">
        <v>4570</v>
      </c>
      <c r="C173" s="3" t="s">
        <v>9</v>
      </c>
      <c r="D173" s="3" t="s">
        <v>5</v>
      </c>
      <c r="E173" s="3" t="s">
        <v>10</v>
      </c>
      <c r="F173" s="3" t="s">
        <v>4571</v>
      </c>
      <c r="G173" s="3" t="s">
        <v>4572</v>
      </c>
      <c r="H173" s="4">
        <v>1623.55</v>
      </c>
      <c r="I173" s="3" t="s">
        <v>11</v>
      </c>
    </row>
    <row r="174" spans="1:9" x14ac:dyDescent="0.35">
      <c r="A174" s="3">
        <v>103410450</v>
      </c>
      <c r="B174" s="3" t="s">
        <v>4573</v>
      </c>
      <c r="C174" s="3" t="s">
        <v>9</v>
      </c>
      <c r="D174" s="3" t="s">
        <v>5</v>
      </c>
      <c r="E174" s="3" t="s">
        <v>10</v>
      </c>
      <c r="F174" s="3" t="s">
        <v>4574</v>
      </c>
      <c r="G174" s="3" t="s">
        <v>4575</v>
      </c>
      <c r="H174" s="3">
        <v>635.54999999999995</v>
      </c>
      <c r="I174" s="3" t="s">
        <v>11</v>
      </c>
    </row>
    <row r="175" spans="1:9" x14ac:dyDescent="0.35">
      <c r="A175" s="3">
        <v>103410490</v>
      </c>
      <c r="B175" s="3" t="s">
        <v>4576</v>
      </c>
      <c r="C175" s="3" t="s">
        <v>9</v>
      </c>
      <c r="D175" s="3" t="s">
        <v>5</v>
      </c>
      <c r="E175" s="3" t="s">
        <v>10</v>
      </c>
      <c r="F175" s="3" t="s">
        <v>4577</v>
      </c>
      <c r="G175" s="3" t="s">
        <v>4578</v>
      </c>
      <c r="H175" s="4">
        <v>2777.89</v>
      </c>
      <c r="I175" s="3" t="s">
        <v>11</v>
      </c>
    </row>
    <row r="176" spans="1:9" x14ac:dyDescent="0.35">
      <c r="A176" s="3">
        <v>103410449</v>
      </c>
      <c r="B176" s="3" t="s">
        <v>4579</v>
      </c>
      <c r="C176" s="3" t="s">
        <v>9</v>
      </c>
      <c r="D176" s="3" t="s">
        <v>5</v>
      </c>
      <c r="E176" s="3" t="s">
        <v>10</v>
      </c>
      <c r="F176" s="3" t="s">
        <v>4580</v>
      </c>
      <c r="G176" s="3" t="s">
        <v>4581</v>
      </c>
      <c r="H176" s="4">
        <v>1631.72</v>
      </c>
      <c r="I176" s="3" t="s">
        <v>11</v>
      </c>
    </row>
    <row r="177" spans="1:9" x14ac:dyDescent="0.35">
      <c r="A177" s="3">
        <v>103410489</v>
      </c>
      <c r="B177" s="3" t="s">
        <v>4582</v>
      </c>
      <c r="C177" s="3" t="s">
        <v>9</v>
      </c>
      <c r="D177" s="3" t="s">
        <v>5</v>
      </c>
      <c r="E177" s="3" t="s">
        <v>10</v>
      </c>
      <c r="F177" s="3" t="s">
        <v>4583</v>
      </c>
      <c r="G177" s="3" t="s">
        <v>4584</v>
      </c>
      <c r="H177" s="4">
        <v>1424.05</v>
      </c>
      <c r="I177" s="3" t="s">
        <v>11</v>
      </c>
    </row>
    <row r="178" spans="1:9" x14ac:dyDescent="0.35">
      <c r="A178" s="3">
        <v>103410481</v>
      </c>
      <c r="B178" s="3" t="s">
        <v>4585</v>
      </c>
      <c r="C178" s="3" t="s">
        <v>9</v>
      </c>
      <c r="D178" s="3" t="s">
        <v>5</v>
      </c>
      <c r="E178" s="3" t="s">
        <v>10</v>
      </c>
      <c r="F178" s="3" t="s">
        <v>4586</v>
      </c>
      <c r="G178" s="3" t="s">
        <v>4587</v>
      </c>
      <c r="H178" s="3">
        <v>749</v>
      </c>
      <c r="I178" s="3" t="s">
        <v>11</v>
      </c>
    </row>
    <row r="179" spans="1:9" x14ac:dyDescent="0.35">
      <c r="A179" s="3">
        <v>103410444</v>
      </c>
      <c r="B179" s="3" t="s">
        <v>4588</v>
      </c>
      <c r="C179" s="3" t="s">
        <v>9</v>
      </c>
      <c r="D179" s="3" t="s">
        <v>5</v>
      </c>
      <c r="E179" s="3" t="s">
        <v>10</v>
      </c>
      <c r="F179" s="3" t="s">
        <v>4589</v>
      </c>
      <c r="G179" s="3" t="s">
        <v>4590</v>
      </c>
      <c r="H179" s="4">
        <v>2564.14</v>
      </c>
      <c r="I179" s="3" t="s">
        <v>11</v>
      </c>
    </row>
    <row r="180" spans="1:9" x14ac:dyDescent="0.35">
      <c r="A180" s="3">
        <v>103410480</v>
      </c>
      <c r="B180" s="3" t="s">
        <v>4591</v>
      </c>
      <c r="C180" s="3" t="s">
        <v>9</v>
      </c>
      <c r="D180" s="3" t="s">
        <v>5</v>
      </c>
      <c r="E180" s="3" t="s">
        <v>10</v>
      </c>
      <c r="F180" s="3" t="s">
        <v>4592</v>
      </c>
      <c r="G180" s="3" t="s">
        <v>4593</v>
      </c>
      <c r="H180" s="5">
        <v>2499</v>
      </c>
      <c r="I180" s="3" t="s">
        <v>11</v>
      </c>
    </row>
    <row r="181" spans="1:9" x14ac:dyDescent="0.35">
      <c r="A181" s="3">
        <v>103410478</v>
      </c>
      <c r="B181" s="3" t="s">
        <v>4594</v>
      </c>
      <c r="C181" s="3" t="s">
        <v>9</v>
      </c>
      <c r="D181" s="3" t="s">
        <v>5</v>
      </c>
      <c r="E181" s="3" t="s">
        <v>10</v>
      </c>
      <c r="F181" s="3" t="s">
        <v>4595</v>
      </c>
      <c r="G181" s="3" t="s">
        <v>4596</v>
      </c>
      <c r="H181" s="5">
        <v>2999</v>
      </c>
      <c r="I181" s="3" t="s">
        <v>11</v>
      </c>
    </row>
    <row r="182" spans="1:9" x14ac:dyDescent="0.35">
      <c r="A182" s="3">
        <v>103410438</v>
      </c>
      <c r="B182" s="3" t="s">
        <v>4597</v>
      </c>
      <c r="C182" s="3" t="s">
        <v>9</v>
      </c>
      <c r="D182" s="3" t="s">
        <v>5</v>
      </c>
      <c r="E182" s="3" t="s">
        <v>10</v>
      </c>
      <c r="F182" s="3" t="s">
        <v>4598</v>
      </c>
      <c r="G182" s="3" t="s">
        <v>4599</v>
      </c>
      <c r="H182" s="5">
        <v>4799</v>
      </c>
      <c r="I182" s="3" t="s">
        <v>11</v>
      </c>
    </row>
    <row r="183" spans="1:9" x14ac:dyDescent="0.35">
      <c r="A183" s="3">
        <v>103410434</v>
      </c>
      <c r="B183" s="3" t="s">
        <v>4600</v>
      </c>
      <c r="C183" s="3" t="s">
        <v>9</v>
      </c>
      <c r="D183" s="3" t="s">
        <v>5</v>
      </c>
      <c r="E183" s="3" t="s">
        <v>10</v>
      </c>
      <c r="F183" s="3" t="s">
        <v>4601</v>
      </c>
      <c r="G183" s="3" t="s">
        <v>4602</v>
      </c>
      <c r="H183" s="5">
        <v>2599</v>
      </c>
      <c r="I183" s="3" t="s">
        <v>11</v>
      </c>
    </row>
    <row r="184" spans="1:9" x14ac:dyDescent="0.35">
      <c r="A184" s="3">
        <v>103410469</v>
      </c>
      <c r="B184" s="3" t="s">
        <v>4603</v>
      </c>
      <c r="C184" s="3" t="s">
        <v>9</v>
      </c>
      <c r="D184" s="3" t="s">
        <v>5</v>
      </c>
      <c r="E184" s="3" t="s">
        <v>10</v>
      </c>
      <c r="F184" s="3" t="s">
        <v>4604</v>
      </c>
      <c r="G184" s="3" t="s">
        <v>4605</v>
      </c>
      <c r="H184" s="5">
        <v>2399</v>
      </c>
      <c r="I184" s="3" t="s">
        <v>11</v>
      </c>
    </row>
    <row r="185" spans="1:9" x14ac:dyDescent="0.35">
      <c r="A185" s="3">
        <v>103410420</v>
      </c>
      <c r="B185" s="3" t="s">
        <v>4606</v>
      </c>
      <c r="C185" s="3" t="s">
        <v>9</v>
      </c>
      <c r="D185" s="3" t="s">
        <v>5</v>
      </c>
      <c r="E185" s="3" t="s">
        <v>10</v>
      </c>
      <c r="F185" s="3" t="s">
        <v>4607</v>
      </c>
      <c r="G185" s="3" t="s">
        <v>4608</v>
      </c>
      <c r="H185" s="3">
        <v>550.04999999999995</v>
      </c>
      <c r="I185" s="3" t="s">
        <v>11</v>
      </c>
    </row>
    <row r="186" spans="1:9" x14ac:dyDescent="0.35">
      <c r="A186" s="3">
        <v>103410467</v>
      </c>
      <c r="B186" s="3" t="s">
        <v>4609</v>
      </c>
      <c r="C186" s="3" t="s">
        <v>9</v>
      </c>
      <c r="D186" s="3" t="s">
        <v>5</v>
      </c>
      <c r="E186" s="3" t="s">
        <v>10</v>
      </c>
      <c r="F186" s="3" t="s">
        <v>4610</v>
      </c>
      <c r="G186" s="3" t="s">
        <v>4611</v>
      </c>
      <c r="H186" s="3">
        <v>740.05</v>
      </c>
      <c r="I186" s="3" t="s">
        <v>11</v>
      </c>
    </row>
    <row r="187" spans="1:9" x14ac:dyDescent="0.35">
      <c r="A187" s="3">
        <v>103410355</v>
      </c>
      <c r="B187" s="3" t="s">
        <v>4612</v>
      </c>
      <c r="C187" s="3" t="s">
        <v>9</v>
      </c>
      <c r="D187" s="3" t="s">
        <v>5</v>
      </c>
      <c r="E187" s="3" t="s">
        <v>12</v>
      </c>
      <c r="F187" s="3" t="s">
        <v>4613</v>
      </c>
      <c r="G187" s="3" t="s">
        <v>4614</v>
      </c>
      <c r="H187" s="5">
        <v>1938</v>
      </c>
      <c r="I187" s="3" t="s">
        <v>11</v>
      </c>
    </row>
    <row r="188" spans="1:9" x14ac:dyDescent="0.35">
      <c r="A188" s="3">
        <v>103410413</v>
      </c>
      <c r="B188" s="3" t="s">
        <v>4615</v>
      </c>
      <c r="C188" s="3" t="s">
        <v>9</v>
      </c>
      <c r="D188" s="3" t="s">
        <v>5</v>
      </c>
      <c r="E188" s="3" t="s">
        <v>10</v>
      </c>
      <c r="F188" s="3" t="s">
        <v>4616</v>
      </c>
      <c r="G188" s="3" t="s">
        <v>4617</v>
      </c>
      <c r="H188" s="4">
        <v>1139.05</v>
      </c>
      <c r="I188" s="3" t="s">
        <v>11</v>
      </c>
    </row>
    <row r="189" spans="1:9" x14ac:dyDescent="0.35">
      <c r="A189" s="3">
        <v>103410409</v>
      </c>
      <c r="B189" s="3" t="s">
        <v>4618</v>
      </c>
      <c r="C189" s="3" t="s">
        <v>9</v>
      </c>
      <c r="D189" s="3" t="s">
        <v>5</v>
      </c>
      <c r="E189" s="3" t="s">
        <v>10</v>
      </c>
      <c r="F189" s="3" t="s">
        <v>4619</v>
      </c>
      <c r="G189" s="3" t="s">
        <v>4620</v>
      </c>
      <c r="H189" s="4">
        <v>2611.5500000000002</v>
      </c>
      <c r="I189" s="3" t="s">
        <v>11</v>
      </c>
    </row>
    <row r="190" spans="1:9" x14ac:dyDescent="0.35">
      <c r="A190" s="3">
        <v>103410353</v>
      </c>
      <c r="B190" s="3" t="s">
        <v>4621</v>
      </c>
      <c r="C190" s="3" t="s">
        <v>9</v>
      </c>
      <c r="D190" s="3" t="s">
        <v>5</v>
      </c>
      <c r="E190" s="3" t="s">
        <v>10</v>
      </c>
      <c r="F190" s="3" t="s">
        <v>4622</v>
      </c>
      <c r="G190" s="3" t="s">
        <v>4623</v>
      </c>
      <c r="H190" s="5">
        <v>4568</v>
      </c>
      <c r="I190" s="3" t="s">
        <v>11</v>
      </c>
    </row>
    <row r="191" spans="1:9" x14ac:dyDescent="0.35">
      <c r="A191" s="3">
        <v>103410351</v>
      </c>
      <c r="B191" s="3" t="s">
        <v>4624</v>
      </c>
      <c r="C191" s="3" t="s">
        <v>9</v>
      </c>
      <c r="D191" s="3" t="s">
        <v>5</v>
      </c>
      <c r="E191" s="3" t="s">
        <v>10</v>
      </c>
      <c r="F191" s="3" t="s">
        <v>4625</v>
      </c>
      <c r="G191" s="3" t="s">
        <v>4626</v>
      </c>
      <c r="H191" s="5">
        <v>2399</v>
      </c>
      <c r="I191" s="3" t="s">
        <v>11</v>
      </c>
    </row>
    <row r="192" spans="1:9" x14ac:dyDescent="0.35">
      <c r="A192" s="3">
        <v>103410347</v>
      </c>
      <c r="B192" s="3" t="s">
        <v>4627</v>
      </c>
      <c r="C192" s="3" t="s">
        <v>9</v>
      </c>
      <c r="D192" s="3" t="s">
        <v>5</v>
      </c>
      <c r="E192" s="3" t="s">
        <v>10</v>
      </c>
      <c r="F192" s="3" t="s">
        <v>4628</v>
      </c>
      <c r="G192" s="3" t="s">
        <v>4629</v>
      </c>
      <c r="H192" s="5">
        <v>1269</v>
      </c>
      <c r="I192" s="3" t="s">
        <v>11</v>
      </c>
    </row>
    <row r="193" spans="1:9" x14ac:dyDescent="0.35">
      <c r="A193" s="3">
        <v>103410346</v>
      </c>
      <c r="B193" s="3" t="s">
        <v>4630</v>
      </c>
      <c r="C193" s="3" t="s">
        <v>9</v>
      </c>
      <c r="D193" s="3" t="s">
        <v>5</v>
      </c>
      <c r="E193" s="3" t="s">
        <v>10</v>
      </c>
      <c r="F193" s="3" t="s">
        <v>4631</v>
      </c>
      <c r="G193" s="3" t="s">
        <v>4632</v>
      </c>
      <c r="H193" s="4">
        <v>1538.05</v>
      </c>
      <c r="I193" s="3" t="s">
        <v>11</v>
      </c>
    </row>
    <row r="194" spans="1:9" x14ac:dyDescent="0.35">
      <c r="A194" s="3">
        <v>103410344</v>
      </c>
      <c r="B194" s="3" t="s">
        <v>4633</v>
      </c>
      <c r="C194" s="3" t="s">
        <v>9</v>
      </c>
      <c r="D194" s="3" t="s">
        <v>5</v>
      </c>
      <c r="E194" s="3" t="s">
        <v>10</v>
      </c>
      <c r="F194" s="3" t="s">
        <v>4634</v>
      </c>
      <c r="G194" s="3" t="s">
        <v>4635</v>
      </c>
      <c r="H194" s="5">
        <v>1499</v>
      </c>
      <c r="I194" s="3" t="s">
        <v>11</v>
      </c>
    </row>
    <row r="195" spans="1:9" x14ac:dyDescent="0.35">
      <c r="A195" s="3">
        <v>103410395</v>
      </c>
      <c r="B195" s="3" t="s">
        <v>4636</v>
      </c>
      <c r="C195" s="3" t="s">
        <v>9</v>
      </c>
      <c r="D195" s="3" t="s">
        <v>5</v>
      </c>
      <c r="E195" s="3" t="s">
        <v>10</v>
      </c>
      <c r="F195" s="3" t="s">
        <v>4637</v>
      </c>
      <c r="G195" s="3" t="s">
        <v>4638</v>
      </c>
      <c r="H195" s="4">
        <v>1850.6</v>
      </c>
      <c r="I195" s="3" t="s">
        <v>11</v>
      </c>
    </row>
    <row r="196" spans="1:9" x14ac:dyDescent="0.35">
      <c r="A196" s="3">
        <v>103410390</v>
      </c>
      <c r="B196" s="3" t="s">
        <v>4639</v>
      </c>
      <c r="C196" s="3" t="s">
        <v>9</v>
      </c>
      <c r="D196" s="3" t="s">
        <v>5</v>
      </c>
      <c r="E196" s="3" t="s">
        <v>10</v>
      </c>
      <c r="F196" s="3" t="s">
        <v>4640</v>
      </c>
      <c r="G196" s="3" t="s">
        <v>4641</v>
      </c>
      <c r="H196" s="4">
        <v>3039.05</v>
      </c>
      <c r="I196" s="3" t="s">
        <v>11</v>
      </c>
    </row>
    <row r="197" spans="1:9" x14ac:dyDescent="0.35">
      <c r="A197" s="3">
        <v>103410388</v>
      </c>
      <c r="B197" s="3" t="s">
        <v>4642</v>
      </c>
      <c r="C197" s="3" t="s">
        <v>9</v>
      </c>
      <c r="D197" s="3" t="s">
        <v>5</v>
      </c>
      <c r="E197" s="3" t="s">
        <v>10</v>
      </c>
      <c r="F197" s="3" t="s">
        <v>1791</v>
      </c>
      <c r="G197" s="3" t="s">
        <v>1792</v>
      </c>
      <c r="H197" s="4">
        <v>2659.05</v>
      </c>
      <c r="I197" s="3" t="s">
        <v>11</v>
      </c>
    </row>
    <row r="198" spans="1:9" x14ac:dyDescent="0.35">
      <c r="A198" s="3">
        <v>103410342</v>
      </c>
      <c r="B198" s="3" t="s">
        <v>4643</v>
      </c>
      <c r="C198" s="3" t="s">
        <v>9</v>
      </c>
      <c r="D198" s="3" t="s">
        <v>5</v>
      </c>
      <c r="E198" s="3" t="s">
        <v>10</v>
      </c>
      <c r="F198" s="3" t="s">
        <v>4644</v>
      </c>
      <c r="G198" s="3" t="s">
        <v>4645</v>
      </c>
      <c r="H198" s="5">
        <v>1999</v>
      </c>
      <c r="I198" s="3" t="s">
        <v>11</v>
      </c>
    </row>
    <row r="199" spans="1:9" x14ac:dyDescent="0.35">
      <c r="A199" s="3">
        <v>103410384</v>
      </c>
      <c r="B199" s="3" t="s">
        <v>4646</v>
      </c>
      <c r="C199" s="3" t="s">
        <v>9</v>
      </c>
      <c r="D199" s="3" t="s">
        <v>5</v>
      </c>
      <c r="E199" s="3" t="s">
        <v>10</v>
      </c>
      <c r="F199" s="3" t="s">
        <v>4283</v>
      </c>
      <c r="G199" s="3" t="s">
        <v>4284</v>
      </c>
      <c r="H199" s="5">
        <v>3108</v>
      </c>
      <c r="I199" s="3" t="s">
        <v>11</v>
      </c>
    </row>
    <row r="200" spans="1:9" x14ac:dyDescent="0.35">
      <c r="A200" s="3">
        <v>103410383</v>
      </c>
      <c r="B200" s="3" t="s">
        <v>4647</v>
      </c>
      <c r="C200" s="3" t="s">
        <v>9</v>
      </c>
      <c r="D200" s="3" t="s">
        <v>5</v>
      </c>
      <c r="E200" s="3" t="s">
        <v>10</v>
      </c>
      <c r="F200" s="3" t="s">
        <v>879</v>
      </c>
      <c r="G200" s="3" t="s">
        <v>880</v>
      </c>
      <c r="H200" s="4">
        <v>4511.6000000000004</v>
      </c>
      <c r="I200" s="3" t="s">
        <v>11</v>
      </c>
    </row>
    <row r="201" spans="1:9" x14ac:dyDescent="0.35">
      <c r="A201" s="3">
        <v>103410336</v>
      </c>
      <c r="B201" s="3" t="s">
        <v>4648</v>
      </c>
      <c r="C201" s="3" t="s">
        <v>9</v>
      </c>
      <c r="D201" s="3" t="s">
        <v>5</v>
      </c>
      <c r="E201" s="3" t="s">
        <v>10</v>
      </c>
      <c r="F201" s="3" t="s">
        <v>4649</v>
      </c>
      <c r="G201" s="3" t="s">
        <v>4650</v>
      </c>
      <c r="H201" s="4">
        <v>1879.29</v>
      </c>
      <c r="I201" s="3" t="s">
        <v>11</v>
      </c>
    </row>
    <row r="202" spans="1:9" x14ac:dyDescent="0.35">
      <c r="A202" s="3">
        <v>103410332</v>
      </c>
      <c r="B202" s="3" t="s">
        <v>4651</v>
      </c>
      <c r="C202" s="3" t="s">
        <v>9</v>
      </c>
      <c r="D202" s="3" t="s">
        <v>5</v>
      </c>
      <c r="E202" s="3" t="s">
        <v>10</v>
      </c>
      <c r="F202" s="3" t="s">
        <v>4652</v>
      </c>
      <c r="G202" s="3" t="s">
        <v>4653</v>
      </c>
      <c r="H202" s="4">
        <v>1578.47</v>
      </c>
      <c r="I202" s="3" t="s">
        <v>11</v>
      </c>
    </row>
    <row r="203" spans="1:9" x14ac:dyDescent="0.35">
      <c r="A203" s="3">
        <v>103410370</v>
      </c>
      <c r="B203" s="3" t="s">
        <v>4654</v>
      </c>
      <c r="C203" s="3" t="s">
        <v>9</v>
      </c>
      <c r="D203" s="3" t="s">
        <v>5</v>
      </c>
      <c r="E203" s="3" t="s">
        <v>12</v>
      </c>
      <c r="F203" s="3" t="s">
        <v>4655</v>
      </c>
      <c r="G203" s="3" t="s">
        <v>4656</v>
      </c>
      <c r="H203" s="4">
        <v>1234.05</v>
      </c>
      <c r="I203" s="3" t="s">
        <v>11</v>
      </c>
    </row>
    <row r="204" spans="1:9" x14ac:dyDescent="0.35">
      <c r="A204" s="3">
        <v>103410328</v>
      </c>
      <c r="B204" s="3" t="s">
        <v>4657</v>
      </c>
      <c r="C204" s="3" t="s">
        <v>9</v>
      </c>
      <c r="D204" s="3" t="s">
        <v>5</v>
      </c>
      <c r="E204" s="3" t="s">
        <v>10</v>
      </c>
      <c r="F204" s="3" t="s">
        <v>4658</v>
      </c>
      <c r="G204" s="3" t="s">
        <v>4659</v>
      </c>
      <c r="H204" s="4">
        <v>1632.1</v>
      </c>
      <c r="I204" s="3" t="s">
        <v>11</v>
      </c>
    </row>
    <row r="205" spans="1:9" x14ac:dyDescent="0.35">
      <c r="A205" s="3">
        <v>103410325</v>
      </c>
      <c r="B205" s="3" t="s">
        <v>4660</v>
      </c>
      <c r="C205" s="3" t="s">
        <v>9</v>
      </c>
      <c r="D205" s="3" t="s">
        <v>5</v>
      </c>
      <c r="E205" s="3" t="s">
        <v>10</v>
      </c>
      <c r="F205" s="3" t="s">
        <v>4333</v>
      </c>
      <c r="G205" s="3" t="s">
        <v>4334</v>
      </c>
      <c r="H205" s="4">
        <v>2165.1</v>
      </c>
      <c r="I205" s="3" t="s">
        <v>11</v>
      </c>
    </row>
    <row r="206" spans="1:9" x14ac:dyDescent="0.35">
      <c r="A206" s="3">
        <v>103410324</v>
      </c>
      <c r="B206" s="3" t="s">
        <v>4661</v>
      </c>
      <c r="C206" s="3" t="s">
        <v>9</v>
      </c>
      <c r="D206" s="3" t="s">
        <v>5</v>
      </c>
      <c r="E206" s="3" t="s">
        <v>10</v>
      </c>
      <c r="F206" s="3" t="s">
        <v>4662</v>
      </c>
      <c r="G206" s="3" t="s">
        <v>4663</v>
      </c>
      <c r="H206" s="4">
        <v>2849.05</v>
      </c>
      <c r="I206" s="3" t="s">
        <v>11</v>
      </c>
    </row>
    <row r="207" spans="1:9" x14ac:dyDescent="0.35">
      <c r="A207" s="3">
        <v>103410316</v>
      </c>
      <c r="B207" s="3" t="s">
        <v>4664</v>
      </c>
      <c r="C207" s="3" t="s">
        <v>9</v>
      </c>
      <c r="D207" s="3" t="s">
        <v>5</v>
      </c>
      <c r="E207" s="3" t="s">
        <v>10</v>
      </c>
      <c r="F207" s="3" t="s">
        <v>4665</v>
      </c>
      <c r="G207" s="3" t="s">
        <v>4666</v>
      </c>
      <c r="H207" s="5">
        <v>5898</v>
      </c>
      <c r="I207" s="3" t="s">
        <v>11</v>
      </c>
    </row>
    <row r="208" spans="1:9" x14ac:dyDescent="0.35">
      <c r="A208" s="3">
        <v>103410254</v>
      </c>
      <c r="B208" s="3" t="s">
        <v>4667</v>
      </c>
      <c r="C208" s="3" t="s">
        <v>9</v>
      </c>
      <c r="D208" s="3" t="s">
        <v>5</v>
      </c>
      <c r="E208" s="3" t="s">
        <v>10</v>
      </c>
      <c r="F208" s="3" t="s">
        <v>4668</v>
      </c>
      <c r="G208" s="3" t="s">
        <v>4669</v>
      </c>
      <c r="H208" s="5">
        <v>5599</v>
      </c>
      <c r="I208" s="3" t="s">
        <v>11</v>
      </c>
    </row>
    <row r="209" spans="1:9" x14ac:dyDescent="0.35">
      <c r="A209" s="3">
        <v>103410250</v>
      </c>
      <c r="B209" s="3" t="s">
        <v>4670</v>
      </c>
      <c r="C209" s="3" t="s">
        <v>9</v>
      </c>
      <c r="D209" s="3" t="s">
        <v>5</v>
      </c>
      <c r="E209" s="3" t="s">
        <v>10</v>
      </c>
      <c r="F209" s="3" t="s">
        <v>4671</v>
      </c>
      <c r="G209" s="3" t="s">
        <v>4672</v>
      </c>
      <c r="H209" s="5">
        <v>3149</v>
      </c>
      <c r="I209" s="3" t="s">
        <v>11</v>
      </c>
    </row>
    <row r="210" spans="1:9" x14ac:dyDescent="0.35">
      <c r="A210" s="3">
        <v>103410312</v>
      </c>
      <c r="B210" s="3" t="s">
        <v>4673</v>
      </c>
      <c r="C210" s="3" t="s">
        <v>9</v>
      </c>
      <c r="D210" s="3" t="s">
        <v>5</v>
      </c>
      <c r="E210" s="3" t="s">
        <v>10</v>
      </c>
      <c r="F210" s="3" t="s">
        <v>4674</v>
      </c>
      <c r="G210" s="3" t="s">
        <v>4675</v>
      </c>
      <c r="H210" s="4">
        <v>3212.1</v>
      </c>
      <c r="I210" s="3" t="s">
        <v>11</v>
      </c>
    </row>
    <row r="211" spans="1:9" x14ac:dyDescent="0.35">
      <c r="A211" s="3">
        <v>103410311</v>
      </c>
      <c r="B211" s="3" t="s">
        <v>4676</v>
      </c>
      <c r="C211" s="3" t="s">
        <v>9</v>
      </c>
      <c r="D211" s="3" t="s">
        <v>5</v>
      </c>
      <c r="E211" s="3" t="s">
        <v>10</v>
      </c>
      <c r="F211" s="3" t="s">
        <v>4677</v>
      </c>
      <c r="G211" s="3" t="s">
        <v>4678</v>
      </c>
      <c r="H211" s="3">
        <v>549</v>
      </c>
      <c r="I211" s="3" t="s">
        <v>11</v>
      </c>
    </row>
    <row r="212" spans="1:9" x14ac:dyDescent="0.35">
      <c r="A212" s="3">
        <v>103410243</v>
      </c>
      <c r="B212" s="3" t="s">
        <v>4679</v>
      </c>
      <c r="C212" s="3" t="s">
        <v>9</v>
      </c>
      <c r="D212" s="3" t="s">
        <v>5</v>
      </c>
      <c r="E212" s="3" t="s">
        <v>10</v>
      </c>
      <c r="F212" s="3" t="s">
        <v>4680</v>
      </c>
      <c r="G212" s="3" t="s">
        <v>4681</v>
      </c>
      <c r="H212" s="5">
        <v>4799</v>
      </c>
      <c r="I212" s="3" t="s">
        <v>11</v>
      </c>
    </row>
    <row r="213" spans="1:9" x14ac:dyDescent="0.35">
      <c r="A213" s="3">
        <v>103410303</v>
      </c>
      <c r="B213" s="3" t="s">
        <v>4682</v>
      </c>
      <c r="C213" s="3" t="s">
        <v>9</v>
      </c>
      <c r="D213" s="3" t="s">
        <v>5</v>
      </c>
      <c r="E213" s="3" t="s">
        <v>10</v>
      </c>
      <c r="F213" s="3" t="s">
        <v>4683</v>
      </c>
      <c r="G213" s="3" t="s">
        <v>4684</v>
      </c>
      <c r="H213" s="5">
        <v>2099</v>
      </c>
      <c r="I213" s="3" t="s">
        <v>11</v>
      </c>
    </row>
    <row r="214" spans="1:9" x14ac:dyDescent="0.35">
      <c r="A214" s="3">
        <v>103410300</v>
      </c>
      <c r="B214" s="3" t="s">
        <v>4685</v>
      </c>
      <c r="C214" s="3" t="s">
        <v>9</v>
      </c>
      <c r="D214" s="3" t="s">
        <v>5</v>
      </c>
      <c r="E214" s="3" t="s">
        <v>10</v>
      </c>
      <c r="F214" s="3" t="s">
        <v>854</v>
      </c>
      <c r="G214" s="3" t="s">
        <v>855</v>
      </c>
      <c r="H214" s="3">
        <v>978</v>
      </c>
      <c r="I214" s="3" t="s">
        <v>11</v>
      </c>
    </row>
    <row r="215" spans="1:9" x14ac:dyDescent="0.35">
      <c r="A215" s="3">
        <v>103410237</v>
      </c>
      <c r="B215" s="3" t="s">
        <v>4686</v>
      </c>
      <c r="C215" s="3" t="s">
        <v>9</v>
      </c>
      <c r="D215" s="3" t="s">
        <v>5</v>
      </c>
      <c r="E215" s="3" t="s">
        <v>10</v>
      </c>
      <c r="F215" s="3" t="s">
        <v>3312</v>
      </c>
      <c r="G215" s="3" t="s">
        <v>4687</v>
      </c>
      <c r="H215" s="5">
        <v>2498</v>
      </c>
      <c r="I215" s="3" t="s">
        <v>11</v>
      </c>
    </row>
    <row r="216" spans="1:9" x14ac:dyDescent="0.35">
      <c r="A216" s="3">
        <v>103410236</v>
      </c>
      <c r="B216" s="3" t="s">
        <v>4688</v>
      </c>
      <c r="C216" s="3" t="s">
        <v>9</v>
      </c>
      <c r="D216" s="3" t="s">
        <v>5</v>
      </c>
      <c r="E216" s="3" t="s">
        <v>10</v>
      </c>
      <c r="F216" s="3" t="s">
        <v>4689</v>
      </c>
      <c r="G216" s="3" t="s">
        <v>4690</v>
      </c>
      <c r="H216" s="3">
        <v>315.49</v>
      </c>
      <c r="I216" s="3" t="s">
        <v>11</v>
      </c>
    </row>
    <row r="217" spans="1:9" x14ac:dyDescent="0.35">
      <c r="A217" s="3">
        <v>103410293</v>
      </c>
      <c r="B217" s="3" t="s">
        <v>4691</v>
      </c>
      <c r="C217" s="3" t="s">
        <v>9</v>
      </c>
      <c r="D217" s="3" t="s">
        <v>5</v>
      </c>
      <c r="E217" s="3" t="s">
        <v>10</v>
      </c>
      <c r="F217" s="3" t="s">
        <v>4674</v>
      </c>
      <c r="G217" s="3" t="s">
        <v>4675</v>
      </c>
      <c r="H217" s="4">
        <v>3212.1</v>
      </c>
      <c r="I217" s="3" t="s">
        <v>11</v>
      </c>
    </row>
    <row r="218" spans="1:9" x14ac:dyDescent="0.35">
      <c r="A218" s="3">
        <v>103410229</v>
      </c>
      <c r="B218" s="3" t="s">
        <v>4692</v>
      </c>
      <c r="C218" s="3" t="s">
        <v>9</v>
      </c>
      <c r="D218" s="3" t="s">
        <v>5</v>
      </c>
      <c r="E218" s="3" t="s">
        <v>10</v>
      </c>
      <c r="F218" s="3" t="s">
        <v>4693</v>
      </c>
      <c r="G218" s="3" t="s">
        <v>4694</v>
      </c>
      <c r="H218" s="4">
        <v>1918.05</v>
      </c>
      <c r="I218" s="3" t="s">
        <v>11</v>
      </c>
    </row>
    <row r="219" spans="1:9" x14ac:dyDescent="0.35">
      <c r="A219" s="3">
        <v>103410228</v>
      </c>
      <c r="B219" s="3" t="s">
        <v>4695</v>
      </c>
      <c r="C219" s="3" t="s">
        <v>9</v>
      </c>
      <c r="D219" s="3" t="s">
        <v>5</v>
      </c>
      <c r="E219" s="3" t="s">
        <v>10</v>
      </c>
      <c r="F219" s="3" t="s">
        <v>2500</v>
      </c>
      <c r="G219" s="3" t="s">
        <v>2501</v>
      </c>
      <c r="H219" s="5">
        <v>2919</v>
      </c>
      <c r="I219" s="3" t="s">
        <v>11</v>
      </c>
    </row>
    <row r="220" spans="1:9" x14ac:dyDescent="0.35">
      <c r="A220" s="3">
        <v>103410226</v>
      </c>
      <c r="B220" s="3" t="s">
        <v>4696</v>
      </c>
      <c r="C220" s="3" t="s">
        <v>9</v>
      </c>
      <c r="D220" s="3" t="s">
        <v>5</v>
      </c>
      <c r="E220" s="3" t="s">
        <v>10</v>
      </c>
      <c r="F220" s="3" t="s">
        <v>4697</v>
      </c>
      <c r="G220" s="3" t="s">
        <v>4698</v>
      </c>
      <c r="H220" s="4">
        <v>3333.64</v>
      </c>
      <c r="I220" s="3" t="s">
        <v>11</v>
      </c>
    </row>
    <row r="221" spans="1:9" x14ac:dyDescent="0.35">
      <c r="A221" s="3">
        <v>103410278</v>
      </c>
      <c r="B221" s="3" t="s">
        <v>4699</v>
      </c>
      <c r="C221" s="3" t="s">
        <v>9</v>
      </c>
      <c r="D221" s="3" t="s">
        <v>5</v>
      </c>
      <c r="E221" s="3" t="s">
        <v>10</v>
      </c>
      <c r="F221" s="3" t="s">
        <v>4700</v>
      </c>
      <c r="G221" s="3" t="s">
        <v>4701</v>
      </c>
      <c r="H221" s="4">
        <v>1709.14</v>
      </c>
      <c r="I221" s="3" t="s">
        <v>11</v>
      </c>
    </row>
    <row r="222" spans="1:9" x14ac:dyDescent="0.35">
      <c r="A222" s="3">
        <v>103410277</v>
      </c>
      <c r="B222" s="3" t="s">
        <v>4702</v>
      </c>
      <c r="C222" s="3" t="s">
        <v>9</v>
      </c>
      <c r="D222" s="3" t="s">
        <v>5</v>
      </c>
      <c r="E222" s="3" t="s">
        <v>10</v>
      </c>
      <c r="F222" s="3" t="s">
        <v>4703</v>
      </c>
      <c r="G222" s="3" t="s">
        <v>4704</v>
      </c>
      <c r="H222" s="4">
        <v>5385.64</v>
      </c>
      <c r="I222" s="3" t="s">
        <v>11</v>
      </c>
    </row>
    <row r="223" spans="1:9" x14ac:dyDescent="0.35">
      <c r="A223" s="3">
        <v>103410217</v>
      </c>
      <c r="B223" s="3" t="s">
        <v>4705</v>
      </c>
      <c r="C223" s="3" t="s">
        <v>9</v>
      </c>
      <c r="D223" s="3" t="s">
        <v>5</v>
      </c>
      <c r="E223" s="3" t="s">
        <v>10</v>
      </c>
      <c r="F223" s="3" t="s">
        <v>4706</v>
      </c>
      <c r="G223" s="3" t="s">
        <v>4707</v>
      </c>
      <c r="H223" s="4">
        <v>1300.55</v>
      </c>
      <c r="I223" s="3" t="s">
        <v>11</v>
      </c>
    </row>
    <row r="224" spans="1:9" x14ac:dyDescent="0.35">
      <c r="A224" s="3">
        <v>103410273</v>
      </c>
      <c r="B224" s="3" t="s">
        <v>4708</v>
      </c>
      <c r="C224" s="3" t="s">
        <v>9</v>
      </c>
      <c r="D224" s="3" t="s">
        <v>5</v>
      </c>
      <c r="E224" s="3" t="s">
        <v>10</v>
      </c>
      <c r="F224" s="3" t="s">
        <v>4709</v>
      </c>
      <c r="G224" s="3" t="s">
        <v>4710</v>
      </c>
      <c r="H224" s="4">
        <v>2611.5500000000002</v>
      </c>
      <c r="I224" s="3" t="s">
        <v>11</v>
      </c>
    </row>
    <row r="225" spans="1:9" x14ac:dyDescent="0.35">
      <c r="A225" s="3">
        <v>103410213</v>
      </c>
      <c r="B225" s="3" t="s">
        <v>4711</v>
      </c>
      <c r="C225" s="3" t="s">
        <v>9</v>
      </c>
      <c r="D225" s="3" t="s">
        <v>5</v>
      </c>
      <c r="E225" s="3" t="s">
        <v>10</v>
      </c>
      <c r="F225" s="3" t="s">
        <v>1871</v>
      </c>
      <c r="G225" s="3" t="s">
        <v>1872</v>
      </c>
      <c r="H225" s="5">
        <v>1499</v>
      </c>
      <c r="I225" s="3" t="s">
        <v>11</v>
      </c>
    </row>
    <row r="226" spans="1:9" x14ac:dyDescent="0.35">
      <c r="A226" s="3">
        <v>103410266</v>
      </c>
      <c r="B226" s="3" t="s">
        <v>4712</v>
      </c>
      <c r="C226" s="3" t="s">
        <v>9</v>
      </c>
      <c r="D226" s="3" t="s">
        <v>5</v>
      </c>
      <c r="E226" s="3" t="s">
        <v>10</v>
      </c>
      <c r="F226" s="3" t="s">
        <v>4713</v>
      </c>
      <c r="G226" s="3" t="s">
        <v>4714</v>
      </c>
      <c r="H226" s="4">
        <v>1470.6</v>
      </c>
      <c r="I226" s="3" t="s">
        <v>11</v>
      </c>
    </row>
    <row r="227" spans="1:9" x14ac:dyDescent="0.35">
      <c r="A227" s="3">
        <v>103410059</v>
      </c>
      <c r="B227" s="3" t="s">
        <v>4715</v>
      </c>
      <c r="C227" s="3" t="s">
        <v>9</v>
      </c>
      <c r="D227" s="3" t="s">
        <v>5</v>
      </c>
      <c r="E227" s="3" t="s">
        <v>10</v>
      </c>
      <c r="F227" s="3" t="s">
        <v>4716</v>
      </c>
      <c r="G227" s="3" t="s">
        <v>4717</v>
      </c>
      <c r="H227" s="5">
        <v>1499</v>
      </c>
      <c r="I227" s="3" t="s">
        <v>11</v>
      </c>
    </row>
    <row r="228" spans="1:9" x14ac:dyDescent="0.35">
      <c r="A228" s="3">
        <v>103410057</v>
      </c>
      <c r="B228" s="3" t="s">
        <v>4718</v>
      </c>
      <c r="C228" s="3" t="s">
        <v>9</v>
      </c>
      <c r="D228" s="3" t="s">
        <v>5</v>
      </c>
      <c r="E228" s="3" t="s">
        <v>10</v>
      </c>
      <c r="F228" s="3" t="s">
        <v>4719</v>
      </c>
      <c r="G228" s="3" t="s">
        <v>4720</v>
      </c>
      <c r="H228" s="4">
        <v>1775.55</v>
      </c>
      <c r="I228" s="3" t="s">
        <v>11</v>
      </c>
    </row>
    <row r="229" spans="1:9" x14ac:dyDescent="0.35">
      <c r="A229" s="3">
        <v>103410195</v>
      </c>
      <c r="B229" s="3" t="s">
        <v>4721</v>
      </c>
      <c r="C229" s="3" t="s">
        <v>9</v>
      </c>
      <c r="D229" s="3" t="s">
        <v>5</v>
      </c>
      <c r="E229" s="3" t="s">
        <v>10</v>
      </c>
      <c r="F229" s="3" t="s">
        <v>4722</v>
      </c>
      <c r="G229" s="3" t="s">
        <v>4723</v>
      </c>
      <c r="H229" s="5">
        <v>1999</v>
      </c>
      <c r="I229" s="3" t="s">
        <v>11</v>
      </c>
    </row>
    <row r="230" spans="1:9" x14ac:dyDescent="0.35">
      <c r="A230" s="3">
        <v>103410048</v>
      </c>
      <c r="B230" s="3" t="s">
        <v>4724</v>
      </c>
      <c r="C230" s="3" t="s">
        <v>9</v>
      </c>
      <c r="D230" s="3" t="s">
        <v>5</v>
      </c>
      <c r="E230" s="3" t="s">
        <v>10</v>
      </c>
      <c r="F230" s="3" t="s">
        <v>4725</v>
      </c>
      <c r="G230" s="3" t="s">
        <v>4726</v>
      </c>
      <c r="H230" s="5">
        <v>1918</v>
      </c>
      <c r="I230" s="3" t="s">
        <v>11</v>
      </c>
    </row>
    <row r="231" spans="1:9" x14ac:dyDescent="0.35">
      <c r="A231" s="3">
        <v>103410047</v>
      </c>
      <c r="B231" s="3" t="s">
        <v>4727</v>
      </c>
      <c r="C231" s="3" t="s">
        <v>9</v>
      </c>
      <c r="D231" s="3" t="s">
        <v>5</v>
      </c>
      <c r="E231" s="3" t="s">
        <v>10</v>
      </c>
      <c r="F231" s="3" t="s">
        <v>4728</v>
      </c>
      <c r="G231" s="3" t="s">
        <v>4729</v>
      </c>
      <c r="H231" s="3">
        <v>768.55</v>
      </c>
      <c r="I231" s="3" t="s">
        <v>11</v>
      </c>
    </row>
    <row r="232" spans="1:9" x14ac:dyDescent="0.35">
      <c r="A232" s="3">
        <v>103410184</v>
      </c>
      <c r="B232" s="3" t="s">
        <v>4730</v>
      </c>
      <c r="C232" s="3" t="s">
        <v>9</v>
      </c>
      <c r="D232" s="3" t="s">
        <v>5</v>
      </c>
      <c r="E232" s="3" t="s">
        <v>10</v>
      </c>
      <c r="F232" s="3" t="s">
        <v>4731</v>
      </c>
      <c r="G232" s="3" t="s">
        <v>4732</v>
      </c>
      <c r="H232" s="4">
        <v>2339.1</v>
      </c>
      <c r="I232" s="3" t="s">
        <v>11</v>
      </c>
    </row>
    <row r="233" spans="1:9" x14ac:dyDescent="0.35">
      <c r="A233" s="3">
        <v>103410183</v>
      </c>
      <c r="B233" s="3" t="s">
        <v>4733</v>
      </c>
      <c r="C233" s="3" t="s">
        <v>9</v>
      </c>
      <c r="D233" s="3" t="s">
        <v>5</v>
      </c>
      <c r="E233" s="3" t="s">
        <v>10</v>
      </c>
      <c r="F233" s="3" t="s">
        <v>4734</v>
      </c>
      <c r="G233" s="3" t="s">
        <v>4735</v>
      </c>
      <c r="H233" s="5">
        <v>2469</v>
      </c>
      <c r="I233" s="3" t="s">
        <v>11</v>
      </c>
    </row>
    <row r="234" spans="1:9" x14ac:dyDescent="0.35">
      <c r="A234" s="3">
        <v>103410041</v>
      </c>
      <c r="B234" s="3" t="s">
        <v>4736</v>
      </c>
      <c r="C234" s="3" t="s">
        <v>9</v>
      </c>
      <c r="D234" s="3" t="s">
        <v>5</v>
      </c>
      <c r="E234" s="3" t="s">
        <v>10</v>
      </c>
      <c r="F234" s="3" t="s">
        <v>4737</v>
      </c>
      <c r="G234" s="3" t="s">
        <v>4738</v>
      </c>
      <c r="H234" s="4">
        <v>4103.1400000000003</v>
      </c>
      <c r="I234" s="3" t="s">
        <v>11</v>
      </c>
    </row>
    <row r="235" spans="1:9" x14ac:dyDescent="0.35">
      <c r="A235" s="3">
        <v>103410177</v>
      </c>
      <c r="B235" s="3" t="s">
        <v>4739</v>
      </c>
      <c r="C235" s="3" t="s">
        <v>9</v>
      </c>
      <c r="D235" s="3" t="s">
        <v>5</v>
      </c>
      <c r="E235" s="3" t="s">
        <v>10</v>
      </c>
      <c r="F235" s="3" t="s">
        <v>4740</v>
      </c>
      <c r="G235" s="3" t="s">
        <v>4741</v>
      </c>
      <c r="H235" s="4">
        <v>2849.05</v>
      </c>
      <c r="I235" s="3" t="s">
        <v>11</v>
      </c>
    </row>
    <row r="236" spans="1:9" x14ac:dyDescent="0.35">
      <c r="A236" s="3">
        <v>103410175</v>
      </c>
      <c r="B236" s="3" t="s">
        <v>4742</v>
      </c>
      <c r="C236" s="3" t="s">
        <v>9</v>
      </c>
      <c r="D236" s="3" t="s">
        <v>5</v>
      </c>
      <c r="E236" s="3" t="s">
        <v>12</v>
      </c>
      <c r="F236" s="3" t="s">
        <v>4743</v>
      </c>
      <c r="G236" s="3" t="s">
        <v>4744</v>
      </c>
      <c r="H236" s="5">
        <v>1798</v>
      </c>
      <c r="I236" s="3" t="s">
        <v>11</v>
      </c>
    </row>
    <row r="237" spans="1:9" x14ac:dyDescent="0.35">
      <c r="A237" s="3">
        <v>103410174</v>
      </c>
      <c r="B237" s="3" t="s">
        <v>4745</v>
      </c>
      <c r="C237" s="3" t="s">
        <v>9</v>
      </c>
      <c r="D237" s="3" t="s">
        <v>5</v>
      </c>
      <c r="E237" s="3" t="s">
        <v>12</v>
      </c>
      <c r="F237" s="3" t="s">
        <v>4746</v>
      </c>
      <c r="G237" s="3" t="s">
        <v>4747</v>
      </c>
      <c r="H237" s="3">
        <v>799</v>
      </c>
      <c r="I237" s="3" t="s">
        <v>11</v>
      </c>
    </row>
    <row r="238" spans="1:9" x14ac:dyDescent="0.35">
      <c r="A238" s="3">
        <v>103410035</v>
      </c>
      <c r="B238" s="3" t="s">
        <v>4748</v>
      </c>
      <c r="C238" s="3" t="s">
        <v>9</v>
      </c>
      <c r="D238" s="3" t="s">
        <v>5</v>
      </c>
      <c r="E238" s="3" t="s">
        <v>10</v>
      </c>
      <c r="F238" s="3" t="s">
        <v>4749</v>
      </c>
      <c r="G238" s="3" t="s">
        <v>4750</v>
      </c>
      <c r="H238" s="5">
        <v>2238</v>
      </c>
      <c r="I238" s="3" t="s">
        <v>11</v>
      </c>
    </row>
    <row r="239" spans="1:9" x14ac:dyDescent="0.35">
      <c r="A239" s="3">
        <v>103410029</v>
      </c>
      <c r="B239" s="3" t="s">
        <v>24</v>
      </c>
      <c r="C239" s="3" t="s">
        <v>9</v>
      </c>
      <c r="D239" s="3" t="s">
        <v>5</v>
      </c>
      <c r="E239" s="3" t="s">
        <v>10</v>
      </c>
      <c r="F239" s="3" t="s">
        <v>25</v>
      </c>
      <c r="G239" s="3" t="s">
        <v>26</v>
      </c>
      <c r="H239" s="5">
        <v>4999</v>
      </c>
      <c r="I239" s="3" t="s">
        <v>11</v>
      </c>
    </row>
    <row r="240" spans="1:9" x14ac:dyDescent="0.35">
      <c r="A240" s="3">
        <v>103410164</v>
      </c>
      <c r="B240" s="3" t="s">
        <v>4751</v>
      </c>
      <c r="C240" s="3" t="s">
        <v>9</v>
      </c>
      <c r="D240" s="3" t="s">
        <v>5</v>
      </c>
      <c r="E240" s="3" t="s">
        <v>10</v>
      </c>
      <c r="F240" s="3" t="s">
        <v>4752</v>
      </c>
      <c r="G240" s="3" t="s">
        <v>4753</v>
      </c>
      <c r="H240" s="4">
        <v>2991.64</v>
      </c>
      <c r="I240" s="3" t="s">
        <v>11</v>
      </c>
    </row>
    <row r="241" spans="1:9" x14ac:dyDescent="0.35">
      <c r="A241" s="3">
        <v>103410026</v>
      </c>
      <c r="B241" s="3" t="s">
        <v>27</v>
      </c>
      <c r="C241" s="3" t="s">
        <v>9</v>
      </c>
      <c r="D241" s="3" t="s">
        <v>5</v>
      </c>
      <c r="E241" s="3" t="s">
        <v>10</v>
      </c>
      <c r="F241" s="3" t="s">
        <v>25</v>
      </c>
      <c r="G241" s="3" t="s">
        <v>26</v>
      </c>
      <c r="H241" s="5">
        <v>4999</v>
      </c>
      <c r="I241" s="3" t="s">
        <v>11</v>
      </c>
    </row>
    <row r="242" spans="1:9" x14ac:dyDescent="0.35">
      <c r="A242" s="3">
        <v>103410160</v>
      </c>
      <c r="B242" s="3" t="s">
        <v>28</v>
      </c>
      <c r="C242" s="3" t="s">
        <v>9</v>
      </c>
      <c r="D242" s="3" t="s">
        <v>5</v>
      </c>
      <c r="E242" s="3" t="s">
        <v>10</v>
      </c>
      <c r="F242" s="3" t="s">
        <v>29</v>
      </c>
      <c r="G242" s="3" t="s">
        <v>30</v>
      </c>
      <c r="H242" s="4">
        <v>2757.37</v>
      </c>
      <c r="I242" s="3" t="s">
        <v>11</v>
      </c>
    </row>
    <row r="243" spans="1:9" x14ac:dyDescent="0.35">
      <c r="A243" s="3">
        <v>103410020</v>
      </c>
      <c r="B243" s="3" t="s">
        <v>31</v>
      </c>
      <c r="C243" s="3" t="s">
        <v>9</v>
      </c>
      <c r="D243" s="3" t="s">
        <v>5</v>
      </c>
      <c r="E243" s="3" t="s">
        <v>10</v>
      </c>
      <c r="F243" s="3" t="s">
        <v>25</v>
      </c>
      <c r="G243" s="3" t="s">
        <v>26</v>
      </c>
      <c r="H243" s="5">
        <v>4999</v>
      </c>
      <c r="I243" s="3" t="s">
        <v>11</v>
      </c>
    </row>
    <row r="244" spans="1:9" x14ac:dyDescent="0.35">
      <c r="A244" s="3">
        <v>103410019</v>
      </c>
      <c r="B244" s="3" t="s">
        <v>32</v>
      </c>
      <c r="C244" s="3" t="s">
        <v>9</v>
      </c>
      <c r="D244" s="3" t="s">
        <v>5</v>
      </c>
      <c r="E244" s="3" t="s">
        <v>10</v>
      </c>
      <c r="F244" s="3" t="s">
        <v>33</v>
      </c>
      <c r="G244" s="3" t="s">
        <v>34</v>
      </c>
      <c r="H244" s="5">
        <v>1269</v>
      </c>
      <c r="I244" s="3" t="s">
        <v>11</v>
      </c>
    </row>
    <row r="245" spans="1:9" x14ac:dyDescent="0.35">
      <c r="A245" s="3">
        <v>103410158</v>
      </c>
      <c r="B245" s="3" t="s">
        <v>35</v>
      </c>
      <c r="C245" s="3" t="s">
        <v>9</v>
      </c>
      <c r="D245" s="3" t="s">
        <v>5</v>
      </c>
      <c r="E245" s="3" t="s">
        <v>10</v>
      </c>
      <c r="F245" s="3" t="s">
        <v>36</v>
      </c>
      <c r="G245" s="3" t="s">
        <v>37</v>
      </c>
      <c r="H245" s="4">
        <v>4859.1000000000004</v>
      </c>
      <c r="I245" s="3" t="s">
        <v>11</v>
      </c>
    </row>
    <row r="246" spans="1:9" x14ac:dyDescent="0.35">
      <c r="A246" s="3">
        <v>103410017</v>
      </c>
      <c r="B246" s="3" t="s">
        <v>38</v>
      </c>
      <c r="C246" s="3" t="s">
        <v>9</v>
      </c>
      <c r="D246" s="3" t="s">
        <v>5</v>
      </c>
      <c r="E246" s="3" t="s">
        <v>10</v>
      </c>
      <c r="F246" s="3" t="s">
        <v>39</v>
      </c>
      <c r="G246" s="3" t="s">
        <v>40</v>
      </c>
      <c r="H246" s="4">
        <v>5603.1</v>
      </c>
      <c r="I246" s="3" t="s">
        <v>11</v>
      </c>
    </row>
    <row r="247" spans="1:9" x14ac:dyDescent="0.35">
      <c r="A247" s="3">
        <v>103410013</v>
      </c>
      <c r="B247" s="3" t="s">
        <v>41</v>
      </c>
      <c r="C247" s="3" t="s">
        <v>9</v>
      </c>
      <c r="D247" s="3" t="s">
        <v>5</v>
      </c>
      <c r="E247" s="3" t="s">
        <v>10</v>
      </c>
      <c r="F247" s="3" t="s">
        <v>42</v>
      </c>
      <c r="G247" s="3" t="s">
        <v>43</v>
      </c>
      <c r="H247" s="5">
        <v>3849</v>
      </c>
      <c r="I247" s="3" t="s">
        <v>11</v>
      </c>
    </row>
    <row r="248" spans="1:9" x14ac:dyDescent="0.35">
      <c r="A248" s="3">
        <v>103410010</v>
      </c>
      <c r="B248" s="3" t="s">
        <v>44</v>
      </c>
      <c r="C248" s="3" t="s">
        <v>9</v>
      </c>
      <c r="D248" s="3" t="s">
        <v>5</v>
      </c>
      <c r="E248" s="3" t="s">
        <v>12</v>
      </c>
      <c r="F248" s="3" t="s">
        <v>45</v>
      </c>
      <c r="G248" s="3" t="s">
        <v>46</v>
      </c>
      <c r="H248" s="4">
        <v>6613.2</v>
      </c>
      <c r="I248" s="3" t="s">
        <v>11</v>
      </c>
    </row>
    <row r="249" spans="1:9" x14ac:dyDescent="0.35">
      <c r="A249" s="3">
        <v>103410008</v>
      </c>
      <c r="B249" s="3" t="s">
        <v>47</v>
      </c>
      <c r="C249" s="3" t="s">
        <v>9</v>
      </c>
      <c r="D249" s="3" t="s">
        <v>5</v>
      </c>
      <c r="E249" s="3" t="s">
        <v>10</v>
      </c>
      <c r="F249" s="3" t="s">
        <v>48</v>
      </c>
      <c r="G249" s="3" t="s">
        <v>49</v>
      </c>
      <c r="H249" s="5">
        <v>3599</v>
      </c>
      <c r="I249" s="3" t="s">
        <v>11</v>
      </c>
    </row>
    <row r="250" spans="1:9" x14ac:dyDescent="0.35">
      <c r="A250" s="3">
        <v>103410007</v>
      </c>
      <c r="B250" s="3" t="s">
        <v>50</v>
      </c>
      <c r="C250" s="3" t="s">
        <v>9</v>
      </c>
      <c r="D250" s="3" t="s">
        <v>5</v>
      </c>
      <c r="E250" s="3" t="s">
        <v>10</v>
      </c>
      <c r="F250" s="3" t="s">
        <v>51</v>
      </c>
      <c r="G250" s="3" t="s">
        <v>52</v>
      </c>
      <c r="H250" s="4">
        <v>1922.89</v>
      </c>
      <c r="I250" s="3" t="s">
        <v>11</v>
      </c>
    </row>
    <row r="251" spans="1:9" x14ac:dyDescent="0.35">
      <c r="A251" s="3">
        <v>103410141</v>
      </c>
      <c r="B251" s="3" t="s">
        <v>53</v>
      </c>
      <c r="C251" s="3" t="s">
        <v>9</v>
      </c>
      <c r="D251" s="3" t="s">
        <v>5</v>
      </c>
      <c r="E251" s="3" t="s">
        <v>10</v>
      </c>
      <c r="F251" s="3" t="s">
        <v>54</v>
      </c>
      <c r="G251" s="3" t="s">
        <v>55</v>
      </c>
      <c r="H251" s="5">
        <v>1399</v>
      </c>
      <c r="I251" s="3" t="s">
        <v>11</v>
      </c>
    </row>
    <row r="252" spans="1:9" x14ac:dyDescent="0.35">
      <c r="A252" s="3">
        <v>103410134</v>
      </c>
      <c r="B252" s="3" t="s">
        <v>56</v>
      </c>
      <c r="C252" s="3" t="s">
        <v>9</v>
      </c>
      <c r="D252" s="3" t="s">
        <v>5</v>
      </c>
      <c r="E252" s="3" t="s">
        <v>10</v>
      </c>
      <c r="F252" s="3" t="s">
        <v>57</v>
      </c>
      <c r="G252" s="3" t="s">
        <v>58</v>
      </c>
      <c r="H252" s="4">
        <v>1110.55</v>
      </c>
      <c r="I252" s="3" t="s">
        <v>11</v>
      </c>
    </row>
    <row r="253" spans="1:9" x14ac:dyDescent="0.35">
      <c r="A253" s="3">
        <v>103410128</v>
      </c>
      <c r="B253" s="3" t="s">
        <v>59</v>
      </c>
      <c r="C253" s="3" t="s">
        <v>9</v>
      </c>
      <c r="D253" s="3" t="s">
        <v>5</v>
      </c>
      <c r="E253" s="3" t="s">
        <v>12</v>
      </c>
      <c r="F253" s="3" t="s">
        <v>60</v>
      </c>
      <c r="G253" s="3" t="s">
        <v>61</v>
      </c>
      <c r="H253" s="5">
        <v>1299</v>
      </c>
      <c r="I253" s="3" t="s">
        <v>11</v>
      </c>
    </row>
    <row r="254" spans="1:9" x14ac:dyDescent="0.35">
      <c r="A254" s="3">
        <v>103410000</v>
      </c>
      <c r="B254" s="3" t="s">
        <v>62</v>
      </c>
      <c r="C254" s="3" t="s">
        <v>9</v>
      </c>
      <c r="D254" s="3" t="s">
        <v>5</v>
      </c>
      <c r="E254" s="3" t="s">
        <v>10</v>
      </c>
      <c r="F254" s="3" t="s">
        <v>63</v>
      </c>
      <c r="G254" s="3" t="s">
        <v>64</v>
      </c>
      <c r="H254" s="5">
        <v>9898</v>
      </c>
      <c r="I254" s="3" t="s">
        <v>11</v>
      </c>
    </row>
    <row r="255" spans="1:9" x14ac:dyDescent="0.35">
      <c r="A255" s="3">
        <v>103410123</v>
      </c>
      <c r="B255" s="3" t="s">
        <v>65</v>
      </c>
      <c r="C255" s="3" t="s">
        <v>9</v>
      </c>
      <c r="D255" s="3" t="s">
        <v>5</v>
      </c>
      <c r="E255" s="3" t="s">
        <v>10</v>
      </c>
      <c r="F255" s="3" t="s">
        <v>66</v>
      </c>
      <c r="G255" s="3" t="s">
        <v>67</v>
      </c>
      <c r="H255" s="4">
        <v>2699.1</v>
      </c>
      <c r="I255" s="3" t="s">
        <v>11</v>
      </c>
    </row>
    <row r="256" spans="1:9" x14ac:dyDescent="0.35">
      <c r="A256" s="3">
        <v>103410121</v>
      </c>
      <c r="B256" s="3" t="s">
        <v>68</v>
      </c>
      <c r="C256" s="3" t="s">
        <v>9</v>
      </c>
      <c r="D256" s="3" t="s">
        <v>5</v>
      </c>
      <c r="E256" s="3" t="s">
        <v>10</v>
      </c>
      <c r="F256" s="3" t="s">
        <v>69</v>
      </c>
      <c r="G256" s="3" t="s">
        <v>70</v>
      </c>
      <c r="H256" s="4">
        <v>4273.29</v>
      </c>
      <c r="I256" s="3" t="s">
        <v>11</v>
      </c>
    </row>
    <row r="257" spans="1:9" x14ac:dyDescent="0.35">
      <c r="A257" s="3">
        <v>103409996</v>
      </c>
      <c r="B257" s="3" t="s">
        <v>71</v>
      </c>
      <c r="C257" s="3" t="s">
        <v>9</v>
      </c>
      <c r="D257" s="3" t="s">
        <v>5</v>
      </c>
      <c r="E257" s="3" t="s">
        <v>10</v>
      </c>
      <c r="F257" s="3" t="s">
        <v>72</v>
      </c>
      <c r="G257" s="3" t="s">
        <v>73</v>
      </c>
      <c r="H257" s="5">
        <v>2919</v>
      </c>
      <c r="I257" s="3" t="s">
        <v>11</v>
      </c>
    </row>
    <row r="258" spans="1:9" x14ac:dyDescent="0.35">
      <c r="A258" s="3">
        <v>103409995</v>
      </c>
      <c r="B258" s="3" t="s">
        <v>74</v>
      </c>
      <c r="C258" s="3" t="s">
        <v>9</v>
      </c>
      <c r="D258" s="3" t="s">
        <v>5</v>
      </c>
      <c r="E258" s="3" t="s">
        <v>12</v>
      </c>
      <c r="F258" s="3" t="s">
        <v>75</v>
      </c>
      <c r="G258" s="3" t="s">
        <v>76</v>
      </c>
      <c r="H258" s="5">
        <v>1379</v>
      </c>
      <c r="I258" s="3" t="s">
        <v>11</v>
      </c>
    </row>
    <row r="259" spans="1:9" x14ac:dyDescent="0.35">
      <c r="A259" s="3">
        <v>103409991</v>
      </c>
      <c r="B259" s="3" t="s">
        <v>77</v>
      </c>
      <c r="C259" s="3" t="s">
        <v>9</v>
      </c>
      <c r="D259" s="3" t="s">
        <v>5</v>
      </c>
      <c r="E259" s="3" t="s">
        <v>10</v>
      </c>
      <c r="F259" s="3" t="s">
        <v>78</v>
      </c>
      <c r="G259" s="3" t="s">
        <v>79</v>
      </c>
      <c r="H259" s="3">
        <v>512.04999999999995</v>
      </c>
      <c r="I259" s="3" t="s">
        <v>11</v>
      </c>
    </row>
    <row r="260" spans="1:9" x14ac:dyDescent="0.35">
      <c r="A260" s="3">
        <v>103410117</v>
      </c>
      <c r="B260" s="3" t="s">
        <v>80</v>
      </c>
      <c r="C260" s="3" t="s">
        <v>9</v>
      </c>
      <c r="D260" s="3" t="s">
        <v>5</v>
      </c>
      <c r="E260" s="3" t="s">
        <v>10</v>
      </c>
      <c r="F260" s="3" t="s">
        <v>81</v>
      </c>
      <c r="G260" s="3" t="s">
        <v>82</v>
      </c>
      <c r="H260" s="4">
        <v>2029.72</v>
      </c>
      <c r="I260" s="3" t="s">
        <v>11</v>
      </c>
    </row>
    <row r="261" spans="1:9" x14ac:dyDescent="0.35">
      <c r="A261" s="3">
        <v>103410113</v>
      </c>
      <c r="B261" s="3" t="s">
        <v>83</v>
      </c>
      <c r="C261" s="3" t="s">
        <v>9</v>
      </c>
      <c r="D261" s="3" t="s">
        <v>5</v>
      </c>
      <c r="E261" s="3" t="s">
        <v>12</v>
      </c>
      <c r="F261" s="3" t="s">
        <v>84</v>
      </c>
      <c r="G261" s="3" t="s">
        <v>85</v>
      </c>
      <c r="H261" s="4">
        <v>3521.65</v>
      </c>
      <c r="I261" s="3" t="s">
        <v>11</v>
      </c>
    </row>
    <row r="262" spans="1:9" x14ac:dyDescent="0.35">
      <c r="A262" s="3">
        <v>103410109</v>
      </c>
      <c r="B262" s="3" t="s">
        <v>86</v>
      </c>
      <c r="C262" s="3" t="s">
        <v>9</v>
      </c>
      <c r="D262" s="3" t="s">
        <v>5</v>
      </c>
      <c r="E262" s="3" t="s">
        <v>10</v>
      </c>
      <c r="F262" s="3" t="s">
        <v>87</v>
      </c>
      <c r="G262" s="3" t="s">
        <v>88</v>
      </c>
      <c r="H262" s="3">
        <v>768.55</v>
      </c>
      <c r="I262" s="3" t="s">
        <v>11</v>
      </c>
    </row>
    <row r="263" spans="1:9" x14ac:dyDescent="0.35">
      <c r="A263" s="3">
        <v>103409985</v>
      </c>
      <c r="B263" s="3" t="s">
        <v>89</v>
      </c>
      <c r="C263" s="3" t="s">
        <v>9</v>
      </c>
      <c r="D263" s="3" t="s">
        <v>5</v>
      </c>
      <c r="E263" s="3" t="s">
        <v>12</v>
      </c>
      <c r="F263" s="3" t="s">
        <v>90</v>
      </c>
      <c r="G263" s="3" t="s">
        <v>91</v>
      </c>
      <c r="H263" s="3">
        <v>740.05</v>
      </c>
      <c r="I263" s="3" t="s">
        <v>11</v>
      </c>
    </row>
    <row r="264" spans="1:9" x14ac:dyDescent="0.35">
      <c r="A264" s="3">
        <v>103410100</v>
      </c>
      <c r="B264" s="3" t="s">
        <v>92</v>
      </c>
      <c r="C264" s="3" t="s">
        <v>9</v>
      </c>
      <c r="D264" s="3" t="s">
        <v>5</v>
      </c>
      <c r="E264" s="3" t="s">
        <v>10</v>
      </c>
      <c r="F264" s="3" t="s">
        <v>93</v>
      </c>
      <c r="G264" s="3" t="s">
        <v>94</v>
      </c>
      <c r="H264" s="4">
        <v>3704.05</v>
      </c>
      <c r="I264" s="3" t="s">
        <v>11</v>
      </c>
    </row>
    <row r="265" spans="1:9" x14ac:dyDescent="0.35">
      <c r="A265" s="3">
        <v>103410099</v>
      </c>
      <c r="B265" s="3" t="s">
        <v>95</v>
      </c>
      <c r="C265" s="3" t="s">
        <v>9</v>
      </c>
      <c r="D265" s="3" t="s">
        <v>5</v>
      </c>
      <c r="E265" s="3" t="s">
        <v>10</v>
      </c>
      <c r="F265" s="3" t="s">
        <v>96</v>
      </c>
      <c r="G265" s="3" t="s">
        <v>97</v>
      </c>
      <c r="H265" s="4">
        <v>1196.05</v>
      </c>
      <c r="I265" s="3" t="s">
        <v>11</v>
      </c>
    </row>
    <row r="266" spans="1:9" x14ac:dyDescent="0.35">
      <c r="A266" s="3">
        <v>103409982</v>
      </c>
      <c r="B266" s="3" t="s">
        <v>98</v>
      </c>
      <c r="C266" s="3" t="s">
        <v>9</v>
      </c>
      <c r="D266" s="3" t="s">
        <v>5</v>
      </c>
      <c r="E266" s="3" t="s">
        <v>10</v>
      </c>
      <c r="F266" s="3" t="s">
        <v>99</v>
      </c>
      <c r="G266" s="3" t="s">
        <v>100</v>
      </c>
      <c r="H266" s="3">
        <v>797.05</v>
      </c>
      <c r="I266" s="3" t="s">
        <v>11</v>
      </c>
    </row>
    <row r="267" spans="1:9" x14ac:dyDescent="0.35">
      <c r="A267" s="3">
        <v>103410096</v>
      </c>
      <c r="B267" s="3" t="s">
        <v>101</v>
      </c>
      <c r="C267" s="3" t="s">
        <v>9</v>
      </c>
      <c r="D267" s="3" t="s">
        <v>5</v>
      </c>
      <c r="E267" s="3" t="s">
        <v>10</v>
      </c>
      <c r="F267" s="3" t="s">
        <v>33</v>
      </c>
      <c r="G267" s="3" t="s">
        <v>34</v>
      </c>
      <c r="H267" s="5">
        <v>1369</v>
      </c>
      <c r="I267" s="3" t="s">
        <v>11</v>
      </c>
    </row>
    <row r="268" spans="1:9" x14ac:dyDescent="0.35">
      <c r="A268" s="3">
        <v>103409981</v>
      </c>
      <c r="B268" s="3" t="s">
        <v>102</v>
      </c>
      <c r="C268" s="3" t="s">
        <v>9</v>
      </c>
      <c r="D268" s="3" t="s">
        <v>5</v>
      </c>
      <c r="E268" s="3" t="s">
        <v>12</v>
      </c>
      <c r="F268" s="3" t="s">
        <v>103</v>
      </c>
      <c r="G268" s="3" t="s">
        <v>104</v>
      </c>
      <c r="H268" s="3">
        <v>635.54999999999995</v>
      </c>
      <c r="I268" s="3" t="s">
        <v>11</v>
      </c>
    </row>
    <row r="269" spans="1:9" x14ac:dyDescent="0.35">
      <c r="A269" s="3">
        <v>103410084</v>
      </c>
      <c r="B269" s="3" t="s">
        <v>105</v>
      </c>
      <c r="C269" s="3" t="s">
        <v>9</v>
      </c>
      <c r="D269" s="3" t="s">
        <v>5</v>
      </c>
      <c r="E269" s="3" t="s">
        <v>10</v>
      </c>
      <c r="F269" s="3" t="s">
        <v>106</v>
      </c>
      <c r="G269" s="3" t="s">
        <v>107</v>
      </c>
      <c r="H269" s="5">
        <v>2199</v>
      </c>
      <c r="I269" s="3" t="s">
        <v>11</v>
      </c>
    </row>
    <row r="270" spans="1:9" x14ac:dyDescent="0.35">
      <c r="A270" s="3">
        <v>103410082</v>
      </c>
      <c r="B270" s="3" t="s">
        <v>108</v>
      </c>
      <c r="C270" s="3" t="s">
        <v>9</v>
      </c>
      <c r="D270" s="3" t="s">
        <v>5</v>
      </c>
      <c r="E270" s="3" t="s">
        <v>10</v>
      </c>
      <c r="F270" s="3" t="s">
        <v>109</v>
      </c>
      <c r="G270" s="3" t="s">
        <v>110</v>
      </c>
      <c r="H270" s="5">
        <v>1199</v>
      </c>
      <c r="I270" s="3" t="s">
        <v>11</v>
      </c>
    </row>
    <row r="271" spans="1:9" x14ac:dyDescent="0.35">
      <c r="A271" s="3">
        <v>103409975</v>
      </c>
      <c r="B271" s="3" t="s">
        <v>111</v>
      </c>
      <c r="C271" s="3" t="s">
        <v>9</v>
      </c>
      <c r="D271" s="3" t="s">
        <v>5</v>
      </c>
      <c r="E271" s="3" t="s">
        <v>10</v>
      </c>
      <c r="F271" s="3" t="s">
        <v>112</v>
      </c>
      <c r="G271" s="3" t="s">
        <v>113</v>
      </c>
      <c r="H271" s="4">
        <v>5229.75</v>
      </c>
      <c r="I271" s="3" t="s">
        <v>11</v>
      </c>
    </row>
    <row r="272" spans="1:9" x14ac:dyDescent="0.35">
      <c r="A272" s="3">
        <v>103410080</v>
      </c>
      <c r="B272" s="3" t="s">
        <v>114</v>
      </c>
      <c r="C272" s="3" t="s">
        <v>9</v>
      </c>
      <c r="D272" s="3" t="s">
        <v>5</v>
      </c>
      <c r="E272" s="3" t="s">
        <v>10</v>
      </c>
      <c r="F272" s="3" t="s">
        <v>115</v>
      </c>
      <c r="G272" s="3" t="s">
        <v>116</v>
      </c>
      <c r="H272" s="5">
        <v>1678</v>
      </c>
      <c r="I272" s="3" t="s">
        <v>11</v>
      </c>
    </row>
    <row r="273" spans="1:9" x14ac:dyDescent="0.35">
      <c r="A273" s="3">
        <v>103410077</v>
      </c>
      <c r="B273" s="3" t="s">
        <v>117</v>
      </c>
      <c r="C273" s="3" t="s">
        <v>9</v>
      </c>
      <c r="D273" s="3" t="s">
        <v>5</v>
      </c>
      <c r="E273" s="3" t="s">
        <v>10</v>
      </c>
      <c r="F273" s="3" t="s">
        <v>118</v>
      </c>
      <c r="G273" s="3" t="s">
        <v>119</v>
      </c>
      <c r="H273" s="3">
        <v>740.05</v>
      </c>
      <c r="I273" s="3" t="s">
        <v>11</v>
      </c>
    </row>
    <row r="274" spans="1:9" x14ac:dyDescent="0.35">
      <c r="A274" s="3">
        <v>103410074</v>
      </c>
      <c r="B274" s="3" t="s">
        <v>120</v>
      </c>
      <c r="C274" s="3" t="s">
        <v>9</v>
      </c>
      <c r="D274" s="3" t="s">
        <v>5</v>
      </c>
      <c r="E274" s="3" t="s">
        <v>10</v>
      </c>
      <c r="F274" s="3" t="s">
        <v>121</v>
      </c>
      <c r="G274" s="3" t="s">
        <v>122</v>
      </c>
      <c r="H274" s="5">
        <v>3499</v>
      </c>
      <c r="I274" s="3" t="s">
        <v>11</v>
      </c>
    </row>
    <row r="275" spans="1:9" x14ac:dyDescent="0.35">
      <c r="A275" s="3">
        <v>103410068</v>
      </c>
      <c r="B275" s="3" t="s">
        <v>123</v>
      </c>
      <c r="C275" s="3" t="s">
        <v>9</v>
      </c>
      <c r="D275" s="3" t="s">
        <v>5</v>
      </c>
      <c r="E275" s="3" t="s">
        <v>10</v>
      </c>
      <c r="F275" s="3" t="s">
        <v>124</v>
      </c>
      <c r="G275" s="3" t="s">
        <v>125</v>
      </c>
      <c r="H275" s="5">
        <v>1399</v>
      </c>
      <c r="I275" s="3" t="s">
        <v>11</v>
      </c>
    </row>
    <row r="276" spans="1:9" x14ac:dyDescent="0.35">
      <c r="A276" s="3">
        <v>103410067</v>
      </c>
      <c r="B276" s="3" t="s">
        <v>126</v>
      </c>
      <c r="C276" s="3" t="s">
        <v>9</v>
      </c>
      <c r="D276" s="3" t="s">
        <v>5</v>
      </c>
      <c r="E276" s="3" t="s">
        <v>12</v>
      </c>
      <c r="F276" s="3" t="s">
        <v>127</v>
      </c>
      <c r="G276" s="3" t="s">
        <v>128</v>
      </c>
      <c r="H276" s="5">
        <v>9999</v>
      </c>
      <c r="I276" s="3" t="s">
        <v>11</v>
      </c>
    </row>
    <row r="277" spans="1:9" x14ac:dyDescent="0.35">
      <c r="A277" s="3">
        <v>103409971</v>
      </c>
      <c r="B277" s="3" t="s">
        <v>129</v>
      </c>
      <c r="C277" s="3" t="s">
        <v>9</v>
      </c>
      <c r="D277" s="3" t="s">
        <v>5</v>
      </c>
      <c r="E277" s="3" t="s">
        <v>10</v>
      </c>
      <c r="F277" s="3" t="s">
        <v>130</v>
      </c>
      <c r="G277" s="3" t="s">
        <v>131</v>
      </c>
      <c r="H277" s="5">
        <v>2269</v>
      </c>
      <c r="I277" s="3" t="s">
        <v>11</v>
      </c>
    </row>
    <row r="278" spans="1:9" x14ac:dyDescent="0.35">
      <c r="A278" s="3">
        <v>103409970</v>
      </c>
      <c r="B278" s="3" t="s">
        <v>132</v>
      </c>
      <c r="C278" s="3" t="s">
        <v>9</v>
      </c>
      <c r="D278" s="3" t="s">
        <v>5</v>
      </c>
      <c r="E278" s="3" t="s">
        <v>10</v>
      </c>
      <c r="F278" s="3" t="s">
        <v>133</v>
      </c>
      <c r="G278" s="3" t="s">
        <v>134</v>
      </c>
      <c r="H278" s="3">
        <v>768.55</v>
      </c>
      <c r="I278" s="3" t="s">
        <v>11</v>
      </c>
    </row>
    <row r="279" spans="1:9" x14ac:dyDescent="0.35">
      <c r="A279" s="3">
        <v>103409964</v>
      </c>
      <c r="B279" s="3" t="s">
        <v>135</v>
      </c>
      <c r="C279" s="3" t="s">
        <v>9</v>
      </c>
      <c r="D279" s="3" t="s">
        <v>5</v>
      </c>
      <c r="E279" s="3" t="s">
        <v>10</v>
      </c>
      <c r="F279" s="3" t="s">
        <v>136</v>
      </c>
      <c r="G279" s="3" t="s">
        <v>137</v>
      </c>
      <c r="H279" s="4">
        <v>3304.1</v>
      </c>
      <c r="I279" s="3" t="s">
        <v>11</v>
      </c>
    </row>
    <row r="280" spans="1:9" x14ac:dyDescent="0.35">
      <c r="A280" s="3">
        <v>103409962</v>
      </c>
      <c r="B280" s="3" t="s">
        <v>138</v>
      </c>
      <c r="C280" s="3" t="s">
        <v>9</v>
      </c>
      <c r="D280" s="3" t="s">
        <v>5</v>
      </c>
      <c r="E280" s="3" t="s">
        <v>12</v>
      </c>
      <c r="F280" s="3" t="s">
        <v>139</v>
      </c>
      <c r="G280" s="3" t="s">
        <v>140</v>
      </c>
      <c r="H280" s="5">
        <v>1838</v>
      </c>
      <c r="I280" s="3" t="s">
        <v>11</v>
      </c>
    </row>
    <row r="281" spans="1:9" x14ac:dyDescent="0.35">
      <c r="A281" s="3">
        <v>103409961</v>
      </c>
      <c r="B281" s="3" t="s">
        <v>141</v>
      </c>
      <c r="C281" s="3" t="s">
        <v>9</v>
      </c>
      <c r="D281" s="3" t="s">
        <v>5</v>
      </c>
      <c r="E281" s="3" t="s">
        <v>12</v>
      </c>
      <c r="F281" s="3" t="s">
        <v>142</v>
      </c>
      <c r="G281" s="3" t="s">
        <v>143</v>
      </c>
      <c r="H281" s="4">
        <v>6174.05</v>
      </c>
      <c r="I281" s="3" t="s">
        <v>11</v>
      </c>
    </row>
    <row r="282" spans="1:9" x14ac:dyDescent="0.35">
      <c r="A282" s="3">
        <v>103409954</v>
      </c>
      <c r="B282" s="3" t="s">
        <v>144</v>
      </c>
      <c r="C282" s="3" t="s">
        <v>9</v>
      </c>
      <c r="D282" s="3" t="s">
        <v>5</v>
      </c>
      <c r="E282" s="3" t="s">
        <v>12</v>
      </c>
      <c r="F282" s="3" t="s">
        <v>145</v>
      </c>
      <c r="G282" s="3" t="s">
        <v>146</v>
      </c>
      <c r="H282" s="4">
        <v>2345.5500000000002</v>
      </c>
      <c r="I282" s="3" t="s">
        <v>11</v>
      </c>
    </row>
    <row r="283" spans="1:9" x14ac:dyDescent="0.35">
      <c r="A283" s="3">
        <v>103409953</v>
      </c>
      <c r="B283" s="3" t="s">
        <v>147</v>
      </c>
      <c r="C283" s="3" t="s">
        <v>9</v>
      </c>
      <c r="D283" s="3" t="s">
        <v>5</v>
      </c>
      <c r="E283" s="3" t="s">
        <v>10</v>
      </c>
      <c r="F283" s="3" t="s">
        <v>148</v>
      </c>
      <c r="G283" s="3" t="s">
        <v>149</v>
      </c>
      <c r="H283" s="4">
        <v>1799.1</v>
      </c>
      <c r="I283" s="3" t="s">
        <v>11</v>
      </c>
    </row>
    <row r="284" spans="1:9" x14ac:dyDescent="0.35">
      <c r="A284" s="3">
        <v>103409945</v>
      </c>
      <c r="B284" s="3" t="s">
        <v>150</v>
      </c>
      <c r="C284" s="3" t="s">
        <v>9</v>
      </c>
      <c r="D284" s="3" t="s">
        <v>5</v>
      </c>
      <c r="E284" s="3" t="s">
        <v>12</v>
      </c>
      <c r="F284" s="3" t="s">
        <v>151</v>
      </c>
      <c r="G284" s="3" t="s">
        <v>152</v>
      </c>
      <c r="H284" s="5">
        <v>4899</v>
      </c>
      <c r="I284" s="3" t="s">
        <v>11</v>
      </c>
    </row>
    <row r="285" spans="1:9" x14ac:dyDescent="0.35">
      <c r="A285" s="3">
        <v>103409762</v>
      </c>
      <c r="B285" s="3" t="s">
        <v>4754</v>
      </c>
      <c r="C285" s="3" t="s">
        <v>9</v>
      </c>
      <c r="D285" s="3" t="s">
        <v>5</v>
      </c>
      <c r="E285" s="3" t="s">
        <v>10</v>
      </c>
      <c r="F285" s="3" t="s">
        <v>121</v>
      </c>
      <c r="G285" s="3" t="s">
        <v>122</v>
      </c>
      <c r="H285" s="3">
        <v>417.05</v>
      </c>
      <c r="I285" s="3" t="s">
        <v>13</v>
      </c>
    </row>
    <row r="286" spans="1:9" x14ac:dyDescent="0.35">
      <c r="A286" s="3">
        <v>103409941</v>
      </c>
      <c r="B286" s="3" t="s">
        <v>153</v>
      </c>
      <c r="C286" s="3" t="s">
        <v>9</v>
      </c>
      <c r="D286" s="3" t="s">
        <v>5</v>
      </c>
      <c r="E286" s="3" t="s">
        <v>10</v>
      </c>
      <c r="F286" s="3" t="s">
        <v>154</v>
      </c>
      <c r="G286" s="3" t="s">
        <v>155</v>
      </c>
      <c r="H286" s="3">
        <v>569.04999999999995</v>
      </c>
      <c r="I286" s="3" t="s">
        <v>11</v>
      </c>
    </row>
    <row r="287" spans="1:9" x14ac:dyDescent="0.35">
      <c r="A287" s="3">
        <v>103409757</v>
      </c>
      <c r="B287" s="3" t="s">
        <v>156</v>
      </c>
      <c r="C287" s="3" t="s">
        <v>9</v>
      </c>
      <c r="D287" s="3" t="s">
        <v>5</v>
      </c>
      <c r="E287" s="3" t="s">
        <v>10</v>
      </c>
      <c r="F287" s="3" t="s">
        <v>157</v>
      </c>
      <c r="G287" s="3" t="s">
        <v>158</v>
      </c>
      <c r="H287" s="4">
        <v>4008.05</v>
      </c>
      <c r="I287" s="3" t="s">
        <v>11</v>
      </c>
    </row>
    <row r="288" spans="1:9" x14ac:dyDescent="0.35">
      <c r="A288" s="3">
        <v>103409926</v>
      </c>
      <c r="B288" s="3" t="s">
        <v>159</v>
      </c>
      <c r="C288" s="3" t="s">
        <v>9</v>
      </c>
      <c r="D288" s="3" t="s">
        <v>5</v>
      </c>
      <c r="E288" s="3" t="s">
        <v>10</v>
      </c>
      <c r="F288" s="3" t="s">
        <v>160</v>
      </c>
      <c r="G288" s="3" t="s">
        <v>161</v>
      </c>
      <c r="H288" s="5">
        <v>1249</v>
      </c>
      <c r="I288" s="3" t="s">
        <v>11</v>
      </c>
    </row>
    <row r="289" spans="1:9" x14ac:dyDescent="0.35">
      <c r="A289" s="3">
        <v>103409923</v>
      </c>
      <c r="B289" s="3" t="s">
        <v>162</v>
      </c>
      <c r="C289" s="3" t="s">
        <v>9</v>
      </c>
      <c r="D289" s="3" t="s">
        <v>5</v>
      </c>
      <c r="E289" s="3" t="s">
        <v>10</v>
      </c>
      <c r="F289" s="3" t="s">
        <v>163</v>
      </c>
      <c r="G289" s="3" t="s">
        <v>164</v>
      </c>
      <c r="H289" s="5">
        <v>2999</v>
      </c>
      <c r="I289" s="3" t="s">
        <v>11</v>
      </c>
    </row>
    <row r="290" spans="1:9" x14ac:dyDescent="0.35">
      <c r="A290" s="3">
        <v>103409755</v>
      </c>
      <c r="B290" s="3" t="s">
        <v>165</v>
      </c>
      <c r="C290" s="3" t="s">
        <v>9</v>
      </c>
      <c r="D290" s="3" t="s">
        <v>5</v>
      </c>
      <c r="E290" s="3" t="s">
        <v>10</v>
      </c>
      <c r="F290" s="3" t="s">
        <v>166</v>
      </c>
      <c r="G290" s="3" t="s">
        <v>167</v>
      </c>
      <c r="H290" s="5">
        <v>1539</v>
      </c>
      <c r="I290" s="3" t="s">
        <v>11</v>
      </c>
    </row>
    <row r="291" spans="1:9" x14ac:dyDescent="0.35">
      <c r="A291" s="3">
        <v>103409754</v>
      </c>
      <c r="B291" s="3" t="s">
        <v>168</v>
      </c>
      <c r="C291" s="3" t="s">
        <v>9</v>
      </c>
      <c r="D291" s="3" t="s">
        <v>5</v>
      </c>
      <c r="E291" s="3" t="s">
        <v>10</v>
      </c>
      <c r="F291" s="3" t="s">
        <v>169</v>
      </c>
      <c r="G291" s="3" t="s">
        <v>170</v>
      </c>
      <c r="H291" s="4">
        <v>1994.05</v>
      </c>
      <c r="I291" s="3" t="s">
        <v>11</v>
      </c>
    </row>
    <row r="292" spans="1:9" x14ac:dyDescent="0.35">
      <c r="A292" s="3">
        <v>103409915</v>
      </c>
      <c r="B292" s="3" t="s">
        <v>171</v>
      </c>
      <c r="C292" s="3" t="s">
        <v>9</v>
      </c>
      <c r="D292" s="3" t="s">
        <v>5</v>
      </c>
      <c r="E292" s="3" t="s">
        <v>10</v>
      </c>
      <c r="F292" s="3" t="s">
        <v>172</v>
      </c>
      <c r="G292" s="3" t="s">
        <v>173</v>
      </c>
      <c r="H292" s="4">
        <v>4008.05</v>
      </c>
      <c r="I292" s="3" t="s">
        <v>11</v>
      </c>
    </row>
    <row r="293" spans="1:9" x14ac:dyDescent="0.35">
      <c r="A293" s="3">
        <v>103409911</v>
      </c>
      <c r="B293" s="3" t="s">
        <v>174</v>
      </c>
      <c r="C293" s="3" t="s">
        <v>9</v>
      </c>
      <c r="D293" s="3" t="s">
        <v>5</v>
      </c>
      <c r="E293" s="3" t="s">
        <v>10</v>
      </c>
      <c r="F293" s="3" t="s">
        <v>175</v>
      </c>
      <c r="G293" s="3" t="s">
        <v>176</v>
      </c>
      <c r="H293" s="4">
        <v>1310.05</v>
      </c>
      <c r="I293" s="3" t="s">
        <v>11</v>
      </c>
    </row>
    <row r="294" spans="1:9" x14ac:dyDescent="0.35">
      <c r="A294" s="3">
        <v>103409752</v>
      </c>
      <c r="B294" s="3" t="s">
        <v>177</v>
      </c>
      <c r="C294" s="3" t="s">
        <v>9</v>
      </c>
      <c r="D294" s="3" t="s">
        <v>5</v>
      </c>
      <c r="E294" s="3" t="s">
        <v>10</v>
      </c>
      <c r="F294" s="3" t="s">
        <v>178</v>
      </c>
      <c r="G294" s="3" t="s">
        <v>179</v>
      </c>
      <c r="H294" s="4">
        <v>3134.05</v>
      </c>
      <c r="I294" s="3" t="s">
        <v>11</v>
      </c>
    </row>
    <row r="295" spans="1:9" x14ac:dyDescent="0.35">
      <c r="A295" s="3">
        <v>103409909</v>
      </c>
      <c r="B295" s="3" t="s">
        <v>180</v>
      </c>
      <c r="C295" s="3" t="s">
        <v>9</v>
      </c>
      <c r="D295" s="3" t="s">
        <v>5</v>
      </c>
      <c r="E295" s="3" t="s">
        <v>10</v>
      </c>
      <c r="F295" s="3" t="s">
        <v>181</v>
      </c>
      <c r="G295" s="3" t="s">
        <v>182</v>
      </c>
      <c r="H295" s="3">
        <v>521.54999999999995</v>
      </c>
      <c r="I295" s="3" t="s">
        <v>11</v>
      </c>
    </row>
    <row r="296" spans="1:9" x14ac:dyDescent="0.35">
      <c r="A296" s="3">
        <v>103409907</v>
      </c>
      <c r="B296" s="3" t="s">
        <v>183</v>
      </c>
      <c r="C296" s="3" t="s">
        <v>9</v>
      </c>
      <c r="D296" s="3" t="s">
        <v>5</v>
      </c>
      <c r="E296" s="3" t="s">
        <v>10</v>
      </c>
      <c r="F296" s="3" t="s">
        <v>184</v>
      </c>
      <c r="G296" s="3" t="s">
        <v>185</v>
      </c>
      <c r="H296" s="4">
        <v>1451.6</v>
      </c>
      <c r="I296" s="3" t="s">
        <v>11</v>
      </c>
    </row>
    <row r="297" spans="1:9" x14ac:dyDescent="0.35">
      <c r="A297" s="3">
        <v>103409906</v>
      </c>
      <c r="B297" s="3" t="s">
        <v>186</v>
      </c>
      <c r="C297" s="3" t="s">
        <v>9</v>
      </c>
      <c r="D297" s="3" t="s">
        <v>5</v>
      </c>
      <c r="E297" s="3" t="s">
        <v>10</v>
      </c>
      <c r="F297" s="3" t="s">
        <v>187</v>
      </c>
      <c r="G297" s="3" t="s">
        <v>188</v>
      </c>
      <c r="H297" s="4">
        <v>1025.05</v>
      </c>
      <c r="I297" s="3" t="s">
        <v>11</v>
      </c>
    </row>
    <row r="298" spans="1:9" x14ac:dyDescent="0.35">
      <c r="A298" s="3">
        <v>103409904</v>
      </c>
      <c r="B298" s="3" t="s">
        <v>189</v>
      </c>
      <c r="C298" s="3" t="s">
        <v>9</v>
      </c>
      <c r="D298" s="3" t="s">
        <v>5</v>
      </c>
      <c r="E298" s="3" t="s">
        <v>10</v>
      </c>
      <c r="F298" s="3" t="s">
        <v>190</v>
      </c>
      <c r="G298" s="3" t="s">
        <v>191</v>
      </c>
      <c r="H298" s="4">
        <v>1157.0999999999999</v>
      </c>
      <c r="I298" s="3" t="s">
        <v>11</v>
      </c>
    </row>
    <row r="299" spans="1:9" x14ac:dyDescent="0.35">
      <c r="A299" s="3">
        <v>103409902</v>
      </c>
      <c r="B299" s="3" t="s">
        <v>192</v>
      </c>
      <c r="C299" s="3" t="s">
        <v>9</v>
      </c>
      <c r="D299" s="3" t="s">
        <v>5</v>
      </c>
      <c r="E299" s="3" t="s">
        <v>10</v>
      </c>
      <c r="F299" s="3" t="s">
        <v>193</v>
      </c>
      <c r="G299" s="3" t="s">
        <v>194</v>
      </c>
      <c r="H299" s="4">
        <v>1110.6400000000001</v>
      </c>
      <c r="I299" s="3" t="s">
        <v>11</v>
      </c>
    </row>
    <row r="300" spans="1:9" x14ac:dyDescent="0.35">
      <c r="A300" s="3">
        <v>103409749</v>
      </c>
      <c r="B300" s="3" t="s">
        <v>195</v>
      </c>
      <c r="C300" s="3" t="s">
        <v>9</v>
      </c>
      <c r="D300" s="3" t="s">
        <v>5</v>
      </c>
      <c r="E300" s="3" t="s">
        <v>10</v>
      </c>
      <c r="F300" s="3" t="s">
        <v>196</v>
      </c>
      <c r="G300" s="3" t="s">
        <v>197</v>
      </c>
      <c r="H300" s="4">
        <v>2634.4</v>
      </c>
      <c r="I300" s="3" t="s">
        <v>11</v>
      </c>
    </row>
    <row r="301" spans="1:9" x14ac:dyDescent="0.35">
      <c r="A301" s="3">
        <v>103409748</v>
      </c>
      <c r="B301" s="3" t="s">
        <v>198</v>
      </c>
      <c r="C301" s="3" t="s">
        <v>9</v>
      </c>
      <c r="D301" s="3" t="s">
        <v>5</v>
      </c>
      <c r="E301" s="3" t="s">
        <v>10</v>
      </c>
      <c r="F301" s="3" t="s">
        <v>199</v>
      </c>
      <c r="G301" s="3" t="s">
        <v>200</v>
      </c>
      <c r="H301" s="4">
        <v>4616.1400000000003</v>
      </c>
      <c r="I301" s="3" t="s">
        <v>11</v>
      </c>
    </row>
    <row r="302" spans="1:9" x14ac:dyDescent="0.35">
      <c r="A302" s="3">
        <v>103409746</v>
      </c>
      <c r="B302" s="3" t="s">
        <v>201</v>
      </c>
      <c r="C302" s="3" t="s">
        <v>9</v>
      </c>
      <c r="D302" s="3" t="s">
        <v>5</v>
      </c>
      <c r="E302" s="3" t="s">
        <v>12</v>
      </c>
      <c r="F302" s="3" t="s">
        <v>202</v>
      </c>
      <c r="G302" s="3" t="s">
        <v>203</v>
      </c>
      <c r="H302" s="3">
        <v>797.05</v>
      </c>
      <c r="I302" s="3" t="s">
        <v>11</v>
      </c>
    </row>
    <row r="303" spans="1:9" x14ac:dyDescent="0.35">
      <c r="A303" s="3">
        <v>103409897</v>
      </c>
      <c r="B303" s="3" t="s">
        <v>204</v>
      </c>
      <c r="C303" s="3" t="s">
        <v>9</v>
      </c>
      <c r="D303" s="3" t="s">
        <v>5</v>
      </c>
      <c r="E303" s="3" t="s">
        <v>10</v>
      </c>
      <c r="F303" s="3" t="s">
        <v>205</v>
      </c>
      <c r="G303" s="3" t="s">
        <v>206</v>
      </c>
      <c r="H303" s="4">
        <v>3574.45</v>
      </c>
      <c r="I303" s="3" t="s">
        <v>11</v>
      </c>
    </row>
    <row r="304" spans="1:9" x14ac:dyDescent="0.35">
      <c r="A304" s="3">
        <v>103409744</v>
      </c>
      <c r="B304" s="3" t="s">
        <v>207</v>
      </c>
      <c r="C304" s="3" t="s">
        <v>9</v>
      </c>
      <c r="D304" s="3" t="s">
        <v>5</v>
      </c>
      <c r="E304" s="3" t="s">
        <v>10</v>
      </c>
      <c r="F304" s="3" t="s">
        <v>208</v>
      </c>
      <c r="G304" s="3" t="s">
        <v>209</v>
      </c>
      <c r="H304" s="4">
        <v>3324.05</v>
      </c>
      <c r="I304" s="3" t="s">
        <v>11</v>
      </c>
    </row>
    <row r="305" spans="1:9" x14ac:dyDescent="0.35">
      <c r="A305" s="3">
        <v>103409893</v>
      </c>
      <c r="B305" s="3" t="s">
        <v>210</v>
      </c>
      <c r="C305" s="3" t="s">
        <v>9</v>
      </c>
      <c r="D305" s="3" t="s">
        <v>5</v>
      </c>
      <c r="E305" s="3" t="s">
        <v>10</v>
      </c>
      <c r="F305" s="3" t="s">
        <v>211</v>
      </c>
      <c r="G305" s="3" t="s">
        <v>212</v>
      </c>
      <c r="H305" s="4">
        <v>4984.6499999999996</v>
      </c>
      <c r="I305" s="3" t="s">
        <v>11</v>
      </c>
    </row>
    <row r="306" spans="1:9" x14ac:dyDescent="0.35">
      <c r="A306" s="3">
        <v>103409741</v>
      </c>
      <c r="B306" s="3" t="s">
        <v>213</v>
      </c>
      <c r="C306" s="3" t="s">
        <v>9</v>
      </c>
      <c r="D306" s="3" t="s">
        <v>5</v>
      </c>
      <c r="E306" s="3" t="s">
        <v>10</v>
      </c>
      <c r="F306" s="3" t="s">
        <v>160</v>
      </c>
      <c r="G306" s="3" t="s">
        <v>161</v>
      </c>
      <c r="H306" s="5">
        <v>1259</v>
      </c>
      <c r="I306" s="3" t="s">
        <v>11</v>
      </c>
    </row>
    <row r="307" spans="1:9" x14ac:dyDescent="0.35">
      <c r="A307" s="3">
        <v>103409739</v>
      </c>
      <c r="B307" s="3" t="s">
        <v>214</v>
      </c>
      <c r="C307" s="3" t="s">
        <v>9</v>
      </c>
      <c r="D307" s="3" t="s">
        <v>5</v>
      </c>
      <c r="E307" s="3" t="s">
        <v>10</v>
      </c>
      <c r="F307" s="3" t="s">
        <v>215</v>
      </c>
      <c r="G307" s="3" t="s">
        <v>216</v>
      </c>
      <c r="H307" s="4">
        <v>6839.05</v>
      </c>
      <c r="I307" s="3" t="s">
        <v>11</v>
      </c>
    </row>
    <row r="308" spans="1:9" x14ac:dyDescent="0.35">
      <c r="A308" s="3">
        <v>103409886</v>
      </c>
      <c r="B308" s="3" t="s">
        <v>217</v>
      </c>
      <c r="C308" s="3" t="s">
        <v>9</v>
      </c>
      <c r="D308" s="3" t="s">
        <v>5</v>
      </c>
      <c r="E308" s="3" t="s">
        <v>10</v>
      </c>
      <c r="F308" s="3" t="s">
        <v>218</v>
      </c>
      <c r="G308" s="3" t="s">
        <v>219</v>
      </c>
      <c r="H308" s="4">
        <v>2041.55</v>
      </c>
      <c r="I308" s="3" t="s">
        <v>11</v>
      </c>
    </row>
    <row r="309" spans="1:9" x14ac:dyDescent="0.35">
      <c r="A309" s="3">
        <v>103409885</v>
      </c>
      <c r="B309" s="3" t="s">
        <v>220</v>
      </c>
      <c r="C309" s="3" t="s">
        <v>9</v>
      </c>
      <c r="D309" s="3" t="s">
        <v>5</v>
      </c>
      <c r="E309" s="3" t="s">
        <v>10</v>
      </c>
      <c r="F309" s="3" t="s">
        <v>221</v>
      </c>
      <c r="G309" s="3" t="s">
        <v>222</v>
      </c>
      <c r="H309" s="5">
        <v>1049</v>
      </c>
      <c r="I309" s="3" t="s">
        <v>11</v>
      </c>
    </row>
    <row r="310" spans="1:9" x14ac:dyDescent="0.35">
      <c r="A310" s="3">
        <v>103409729</v>
      </c>
      <c r="B310" s="3" t="s">
        <v>223</v>
      </c>
      <c r="C310" s="3" t="s">
        <v>9</v>
      </c>
      <c r="D310" s="3" t="s">
        <v>5</v>
      </c>
      <c r="E310" s="3" t="s">
        <v>10</v>
      </c>
      <c r="F310" s="3" t="s">
        <v>19</v>
      </c>
      <c r="G310" s="3" t="s">
        <v>224</v>
      </c>
      <c r="H310" s="5">
        <v>4799</v>
      </c>
      <c r="I310" s="3" t="s">
        <v>11</v>
      </c>
    </row>
    <row r="311" spans="1:9" x14ac:dyDescent="0.35">
      <c r="A311" s="3">
        <v>103409875</v>
      </c>
      <c r="B311" s="3" t="s">
        <v>225</v>
      </c>
      <c r="C311" s="3" t="s">
        <v>9</v>
      </c>
      <c r="D311" s="3" t="s">
        <v>5</v>
      </c>
      <c r="E311" s="3" t="s">
        <v>10</v>
      </c>
      <c r="F311" s="3" t="s">
        <v>226</v>
      </c>
      <c r="G311" s="3" t="s">
        <v>227</v>
      </c>
      <c r="H311" s="5">
        <v>4799</v>
      </c>
      <c r="I311" s="3" t="s">
        <v>11</v>
      </c>
    </row>
    <row r="312" spans="1:9" x14ac:dyDescent="0.35">
      <c r="A312" s="3">
        <v>103409871</v>
      </c>
      <c r="B312" s="3" t="s">
        <v>228</v>
      </c>
      <c r="C312" s="3" t="s">
        <v>9</v>
      </c>
      <c r="D312" s="3" t="s">
        <v>5</v>
      </c>
      <c r="E312" s="3" t="s">
        <v>10</v>
      </c>
      <c r="F312" s="3" t="s">
        <v>229</v>
      </c>
      <c r="G312" s="3" t="s">
        <v>230</v>
      </c>
      <c r="H312" s="3">
        <v>489</v>
      </c>
      <c r="I312" s="3" t="s">
        <v>11</v>
      </c>
    </row>
    <row r="313" spans="1:9" x14ac:dyDescent="0.35">
      <c r="A313" s="3">
        <v>103409722</v>
      </c>
      <c r="B313" s="3" t="s">
        <v>231</v>
      </c>
      <c r="C313" s="3" t="s">
        <v>9</v>
      </c>
      <c r="D313" s="3" t="s">
        <v>5</v>
      </c>
      <c r="E313" s="3" t="s">
        <v>12</v>
      </c>
      <c r="F313" s="3" t="s">
        <v>232</v>
      </c>
      <c r="G313" s="3" t="s">
        <v>233</v>
      </c>
      <c r="H313" s="3">
        <v>674.1</v>
      </c>
      <c r="I313" s="3" t="s">
        <v>11</v>
      </c>
    </row>
    <row r="314" spans="1:9" x14ac:dyDescent="0.35">
      <c r="A314" s="3">
        <v>103409868</v>
      </c>
      <c r="B314" s="3" t="s">
        <v>234</v>
      </c>
      <c r="C314" s="3" t="s">
        <v>9</v>
      </c>
      <c r="D314" s="3" t="s">
        <v>5</v>
      </c>
      <c r="E314" s="3" t="s">
        <v>10</v>
      </c>
      <c r="F314" s="3" t="s">
        <v>235</v>
      </c>
      <c r="G314" s="3" t="s">
        <v>236</v>
      </c>
      <c r="H314" s="4">
        <v>1899.05</v>
      </c>
      <c r="I314" s="3" t="s">
        <v>11</v>
      </c>
    </row>
    <row r="315" spans="1:9" x14ac:dyDescent="0.35">
      <c r="A315" s="3">
        <v>103409721</v>
      </c>
      <c r="B315" s="3" t="s">
        <v>237</v>
      </c>
      <c r="C315" s="3" t="s">
        <v>9</v>
      </c>
      <c r="D315" s="3" t="s">
        <v>5</v>
      </c>
      <c r="E315" s="3" t="s">
        <v>10</v>
      </c>
      <c r="F315" s="3" t="s">
        <v>238</v>
      </c>
      <c r="G315" s="3" t="s">
        <v>239</v>
      </c>
      <c r="H315" s="5">
        <v>1868</v>
      </c>
      <c r="I315" s="3" t="s">
        <v>11</v>
      </c>
    </row>
    <row r="316" spans="1:9" x14ac:dyDescent="0.35">
      <c r="A316" s="3">
        <v>103409720</v>
      </c>
      <c r="B316" s="3" t="s">
        <v>240</v>
      </c>
      <c r="C316" s="3" t="s">
        <v>9</v>
      </c>
      <c r="D316" s="3" t="s">
        <v>5</v>
      </c>
      <c r="E316" s="3" t="s">
        <v>10</v>
      </c>
      <c r="F316" s="3" t="s">
        <v>241</v>
      </c>
      <c r="G316" s="3" t="s">
        <v>242</v>
      </c>
      <c r="H316" s="4">
        <v>3532.1</v>
      </c>
      <c r="I316" s="3" t="s">
        <v>11</v>
      </c>
    </row>
    <row r="317" spans="1:9" x14ac:dyDescent="0.35">
      <c r="A317" s="3">
        <v>103409718</v>
      </c>
      <c r="B317" s="3" t="s">
        <v>243</v>
      </c>
      <c r="C317" s="3" t="s">
        <v>9</v>
      </c>
      <c r="D317" s="3" t="s">
        <v>5</v>
      </c>
      <c r="E317" s="3" t="s">
        <v>10</v>
      </c>
      <c r="F317" s="3" t="s">
        <v>244</v>
      </c>
      <c r="G317" s="3" t="s">
        <v>245</v>
      </c>
      <c r="H317" s="5">
        <v>1189</v>
      </c>
      <c r="I317" s="3" t="s">
        <v>11</v>
      </c>
    </row>
    <row r="318" spans="1:9" x14ac:dyDescent="0.35">
      <c r="A318" s="3">
        <v>103409859</v>
      </c>
      <c r="B318" s="3" t="s">
        <v>246</v>
      </c>
      <c r="C318" s="3" t="s">
        <v>9</v>
      </c>
      <c r="D318" s="3" t="s">
        <v>5</v>
      </c>
      <c r="E318" s="3" t="s">
        <v>10</v>
      </c>
      <c r="F318" s="3" t="s">
        <v>247</v>
      </c>
      <c r="G318" s="3" t="s">
        <v>248</v>
      </c>
      <c r="H318" s="5">
        <v>2999</v>
      </c>
      <c r="I318" s="3" t="s">
        <v>11</v>
      </c>
    </row>
    <row r="319" spans="1:9" x14ac:dyDescent="0.35">
      <c r="A319" s="3">
        <v>103409715</v>
      </c>
      <c r="B319" s="3" t="s">
        <v>249</v>
      </c>
      <c r="C319" s="3" t="s">
        <v>9</v>
      </c>
      <c r="D319" s="3" t="s">
        <v>5</v>
      </c>
      <c r="E319" s="3" t="s">
        <v>10</v>
      </c>
      <c r="F319" s="3" t="s">
        <v>250</v>
      </c>
      <c r="G319" s="3" t="s">
        <v>251</v>
      </c>
      <c r="H319" s="5">
        <v>1299</v>
      </c>
      <c r="I319" s="3" t="s">
        <v>11</v>
      </c>
    </row>
    <row r="320" spans="1:9" x14ac:dyDescent="0.35">
      <c r="A320" s="3">
        <v>103409853</v>
      </c>
      <c r="B320" s="3" t="s">
        <v>252</v>
      </c>
      <c r="C320" s="3" t="s">
        <v>9</v>
      </c>
      <c r="D320" s="3" t="s">
        <v>5</v>
      </c>
      <c r="E320" s="3" t="s">
        <v>10</v>
      </c>
      <c r="F320" s="3" t="s">
        <v>253</v>
      </c>
      <c r="G320" s="3" t="s">
        <v>254</v>
      </c>
      <c r="H320" s="4">
        <v>2155.5500000000002</v>
      </c>
      <c r="I320" s="3" t="s">
        <v>11</v>
      </c>
    </row>
    <row r="321" spans="1:9" x14ac:dyDescent="0.35">
      <c r="A321" s="3">
        <v>103409709</v>
      </c>
      <c r="B321" s="3" t="s">
        <v>255</v>
      </c>
      <c r="C321" s="3" t="s">
        <v>9</v>
      </c>
      <c r="D321" s="3" t="s">
        <v>5</v>
      </c>
      <c r="E321" s="3" t="s">
        <v>10</v>
      </c>
      <c r="F321" s="3" t="s">
        <v>256</v>
      </c>
      <c r="G321" s="3" t="s">
        <v>257</v>
      </c>
      <c r="H321" s="4">
        <v>2279.0500000000002</v>
      </c>
      <c r="I321" s="3" t="s">
        <v>11</v>
      </c>
    </row>
    <row r="322" spans="1:9" x14ac:dyDescent="0.35">
      <c r="A322" s="3">
        <v>103409846</v>
      </c>
      <c r="B322" s="3" t="s">
        <v>258</v>
      </c>
      <c r="C322" s="3" t="s">
        <v>9</v>
      </c>
      <c r="D322" s="3" t="s">
        <v>5</v>
      </c>
      <c r="E322" s="3" t="s">
        <v>10</v>
      </c>
      <c r="F322" s="3" t="s">
        <v>259</v>
      </c>
      <c r="G322" s="3" t="s">
        <v>260</v>
      </c>
      <c r="H322" s="4">
        <v>3077.14</v>
      </c>
      <c r="I322" s="3" t="s">
        <v>11</v>
      </c>
    </row>
    <row r="323" spans="1:9" x14ac:dyDescent="0.35">
      <c r="A323" s="3">
        <v>103409845</v>
      </c>
      <c r="B323" s="3" t="s">
        <v>261</v>
      </c>
      <c r="C323" s="3" t="s">
        <v>9</v>
      </c>
      <c r="D323" s="3" t="s">
        <v>5</v>
      </c>
      <c r="E323" s="3" t="s">
        <v>10</v>
      </c>
      <c r="F323" s="3" t="s">
        <v>262</v>
      </c>
      <c r="G323" s="3" t="s">
        <v>263</v>
      </c>
      <c r="H323" s="3">
        <v>629</v>
      </c>
      <c r="I323" s="3" t="s">
        <v>11</v>
      </c>
    </row>
    <row r="324" spans="1:9" x14ac:dyDescent="0.35">
      <c r="A324" s="3">
        <v>103409842</v>
      </c>
      <c r="B324" s="3" t="s">
        <v>264</v>
      </c>
      <c r="C324" s="3" t="s">
        <v>9</v>
      </c>
      <c r="D324" s="3" t="s">
        <v>5</v>
      </c>
      <c r="E324" s="3" t="s">
        <v>10</v>
      </c>
      <c r="F324" s="3" t="s">
        <v>265</v>
      </c>
      <c r="G324" s="3" t="s">
        <v>266</v>
      </c>
      <c r="H324" s="3">
        <v>419</v>
      </c>
      <c r="I324" s="3" t="s">
        <v>11</v>
      </c>
    </row>
    <row r="325" spans="1:9" x14ac:dyDescent="0.35">
      <c r="A325" s="3">
        <v>103409839</v>
      </c>
      <c r="B325" s="3" t="s">
        <v>267</v>
      </c>
      <c r="C325" s="3" t="s">
        <v>9</v>
      </c>
      <c r="D325" s="3" t="s">
        <v>5</v>
      </c>
      <c r="E325" s="3" t="s">
        <v>10</v>
      </c>
      <c r="F325" s="3" t="s">
        <v>268</v>
      </c>
      <c r="G325" s="3" t="s">
        <v>269</v>
      </c>
      <c r="H325" s="4">
        <v>2849.05</v>
      </c>
      <c r="I325" s="3" t="s">
        <v>11</v>
      </c>
    </row>
    <row r="326" spans="1:9" x14ac:dyDescent="0.35">
      <c r="A326" s="3">
        <v>103409706</v>
      </c>
      <c r="B326" s="3" t="s">
        <v>270</v>
      </c>
      <c r="C326" s="3" t="s">
        <v>9</v>
      </c>
      <c r="D326" s="3" t="s">
        <v>5</v>
      </c>
      <c r="E326" s="3" t="s">
        <v>10</v>
      </c>
      <c r="F326" s="3" t="s">
        <v>271</v>
      </c>
      <c r="G326" s="3" t="s">
        <v>272</v>
      </c>
      <c r="H326" s="3">
        <v>269</v>
      </c>
      <c r="I326" s="3" t="s">
        <v>11</v>
      </c>
    </row>
    <row r="327" spans="1:9" x14ac:dyDescent="0.35">
      <c r="A327" s="3">
        <v>103409834</v>
      </c>
      <c r="B327" s="3" t="s">
        <v>273</v>
      </c>
      <c r="C327" s="3" t="s">
        <v>9</v>
      </c>
      <c r="D327" s="3" t="s">
        <v>5</v>
      </c>
      <c r="E327" s="3" t="s">
        <v>10</v>
      </c>
      <c r="F327" s="3" t="s">
        <v>274</v>
      </c>
      <c r="G327" s="3" t="s">
        <v>275</v>
      </c>
      <c r="H327" s="3">
        <v>969</v>
      </c>
      <c r="I327" s="3" t="s">
        <v>11</v>
      </c>
    </row>
    <row r="328" spans="1:9" x14ac:dyDescent="0.35">
      <c r="A328" s="3">
        <v>103409833</v>
      </c>
      <c r="B328" s="3" t="s">
        <v>276</v>
      </c>
      <c r="C328" s="3" t="s">
        <v>9</v>
      </c>
      <c r="D328" s="3" t="s">
        <v>5</v>
      </c>
      <c r="E328" s="3" t="s">
        <v>10</v>
      </c>
      <c r="F328" s="3" t="s">
        <v>277</v>
      </c>
      <c r="G328" s="3" t="s">
        <v>278</v>
      </c>
      <c r="H328" s="3">
        <v>699</v>
      </c>
      <c r="I328" s="3" t="s">
        <v>11</v>
      </c>
    </row>
    <row r="329" spans="1:9" x14ac:dyDescent="0.35">
      <c r="A329" s="3">
        <v>103409818</v>
      </c>
      <c r="B329" s="3" t="s">
        <v>279</v>
      </c>
      <c r="C329" s="3" t="s">
        <v>9</v>
      </c>
      <c r="D329" s="3" t="s">
        <v>5</v>
      </c>
      <c r="E329" s="3" t="s">
        <v>10</v>
      </c>
      <c r="F329" s="3" t="s">
        <v>280</v>
      </c>
      <c r="G329" s="3" t="s">
        <v>281</v>
      </c>
      <c r="H329" s="3">
        <v>969</v>
      </c>
      <c r="I329" s="3" t="s">
        <v>11</v>
      </c>
    </row>
    <row r="330" spans="1:9" x14ac:dyDescent="0.35">
      <c r="A330" s="3">
        <v>103409817</v>
      </c>
      <c r="B330" s="3" t="s">
        <v>282</v>
      </c>
      <c r="C330" s="3" t="s">
        <v>9</v>
      </c>
      <c r="D330" s="3" t="s">
        <v>5</v>
      </c>
      <c r="E330" s="3" t="s">
        <v>12</v>
      </c>
      <c r="F330" s="3" t="s">
        <v>283</v>
      </c>
      <c r="G330" s="3" t="s">
        <v>284</v>
      </c>
      <c r="H330" s="3">
        <v>899</v>
      </c>
      <c r="I330" s="3" t="s">
        <v>11</v>
      </c>
    </row>
    <row r="331" spans="1:9" x14ac:dyDescent="0.35">
      <c r="A331" s="3">
        <v>103409699</v>
      </c>
      <c r="B331" s="3" t="s">
        <v>4755</v>
      </c>
      <c r="C331" s="3" t="s">
        <v>9</v>
      </c>
      <c r="D331" s="3" t="s">
        <v>5</v>
      </c>
      <c r="E331" s="3" t="s">
        <v>10</v>
      </c>
      <c r="F331" s="3" t="s">
        <v>4756</v>
      </c>
      <c r="G331" s="3" t="s">
        <v>4757</v>
      </c>
      <c r="H331" s="4">
        <v>2089.0500000000002</v>
      </c>
      <c r="I331" s="3" t="s">
        <v>13</v>
      </c>
    </row>
    <row r="332" spans="1:9" x14ac:dyDescent="0.35">
      <c r="A332" s="3">
        <v>103409698</v>
      </c>
      <c r="B332" s="3" t="s">
        <v>285</v>
      </c>
      <c r="C332" s="3" t="s">
        <v>9</v>
      </c>
      <c r="D332" s="3" t="s">
        <v>5</v>
      </c>
      <c r="E332" s="3" t="s">
        <v>10</v>
      </c>
      <c r="F332" s="3" t="s">
        <v>286</v>
      </c>
      <c r="G332" s="3" t="s">
        <v>287</v>
      </c>
      <c r="H332" s="5">
        <v>1499</v>
      </c>
      <c r="I332" s="3" t="s">
        <v>11</v>
      </c>
    </row>
    <row r="333" spans="1:9" x14ac:dyDescent="0.35">
      <c r="A333" s="3">
        <v>103409810</v>
      </c>
      <c r="B333" s="3" t="s">
        <v>288</v>
      </c>
      <c r="C333" s="3" t="s">
        <v>9</v>
      </c>
      <c r="D333" s="3" t="s">
        <v>5</v>
      </c>
      <c r="E333" s="3" t="s">
        <v>10</v>
      </c>
      <c r="F333" s="3" t="s">
        <v>289</v>
      </c>
      <c r="G333" s="3" t="s">
        <v>290</v>
      </c>
      <c r="H333" s="4">
        <v>3134.05</v>
      </c>
      <c r="I333" s="3" t="s">
        <v>11</v>
      </c>
    </row>
    <row r="334" spans="1:9" x14ac:dyDescent="0.35">
      <c r="A334" s="3">
        <v>103409697</v>
      </c>
      <c r="B334" s="3" t="s">
        <v>291</v>
      </c>
      <c r="C334" s="3" t="s">
        <v>9</v>
      </c>
      <c r="D334" s="3" t="s">
        <v>5</v>
      </c>
      <c r="E334" s="3" t="s">
        <v>10</v>
      </c>
      <c r="F334" s="3" t="s">
        <v>292</v>
      </c>
      <c r="G334" s="3" t="s">
        <v>293</v>
      </c>
      <c r="H334" s="4">
        <v>2345.6</v>
      </c>
      <c r="I334" s="3" t="s">
        <v>11</v>
      </c>
    </row>
    <row r="335" spans="1:9" x14ac:dyDescent="0.35">
      <c r="A335" s="3">
        <v>103409805</v>
      </c>
      <c r="B335" s="3" t="s">
        <v>294</v>
      </c>
      <c r="C335" s="3" t="s">
        <v>9</v>
      </c>
      <c r="D335" s="3" t="s">
        <v>5</v>
      </c>
      <c r="E335" s="3" t="s">
        <v>10</v>
      </c>
      <c r="F335" s="3" t="s">
        <v>295</v>
      </c>
      <c r="G335" s="3" t="s">
        <v>296</v>
      </c>
      <c r="H335" s="3">
        <v>749</v>
      </c>
      <c r="I335" s="3" t="s">
        <v>11</v>
      </c>
    </row>
    <row r="336" spans="1:9" x14ac:dyDescent="0.35">
      <c r="A336" s="3">
        <v>103409691</v>
      </c>
      <c r="B336" s="3" t="s">
        <v>297</v>
      </c>
      <c r="C336" s="3" t="s">
        <v>9</v>
      </c>
      <c r="D336" s="3" t="s">
        <v>5</v>
      </c>
      <c r="E336" s="3" t="s">
        <v>10</v>
      </c>
      <c r="F336" s="3" t="s">
        <v>298</v>
      </c>
      <c r="G336" s="3" t="s">
        <v>299</v>
      </c>
      <c r="H336" s="4">
        <v>1414.55</v>
      </c>
      <c r="I336" s="3" t="s">
        <v>11</v>
      </c>
    </row>
    <row r="337" spans="1:9" x14ac:dyDescent="0.35">
      <c r="A337" s="3">
        <v>103409690</v>
      </c>
      <c r="B337" s="3" t="s">
        <v>300</v>
      </c>
      <c r="C337" s="3" t="s">
        <v>9</v>
      </c>
      <c r="D337" s="3" t="s">
        <v>5</v>
      </c>
      <c r="E337" s="3" t="s">
        <v>10</v>
      </c>
      <c r="F337" s="3" t="s">
        <v>301</v>
      </c>
      <c r="G337" s="3" t="s">
        <v>302</v>
      </c>
      <c r="H337" s="3">
        <v>579</v>
      </c>
      <c r="I337" s="3" t="s">
        <v>11</v>
      </c>
    </row>
    <row r="338" spans="1:9" x14ac:dyDescent="0.35">
      <c r="A338" s="3">
        <v>103409801</v>
      </c>
      <c r="B338" s="3" t="s">
        <v>303</v>
      </c>
      <c r="C338" s="3" t="s">
        <v>9</v>
      </c>
      <c r="D338" s="3" t="s">
        <v>5</v>
      </c>
      <c r="E338" s="3" t="s">
        <v>10</v>
      </c>
      <c r="F338" s="3" t="s">
        <v>304</v>
      </c>
      <c r="G338" s="3" t="s">
        <v>305</v>
      </c>
      <c r="H338" s="3">
        <v>571.99</v>
      </c>
      <c r="I338" s="3" t="s">
        <v>11</v>
      </c>
    </row>
    <row r="339" spans="1:9" x14ac:dyDescent="0.35">
      <c r="A339" s="3">
        <v>103409688</v>
      </c>
      <c r="B339" s="3" t="s">
        <v>306</v>
      </c>
      <c r="C339" s="3" t="s">
        <v>9</v>
      </c>
      <c r="D339" s="3" t="s">
        <v>5</v>
      </c>
      <c r="E339" s="3" t="s">
        <v>12</v>
      </c>
      <c r="F339" s="3" t="s">
        <v>307</v>
      </c>
      <c r="G339" s="3" t="s">
        <v>308</v>
      </c>
      <c r="H339" s="5">
        <v>4998</v>
      </c>
      <c r="I339" s="3" t="s">
        <v>11</v>
      </c>
    </row>
    <row r="340" spans="1:9" x14ac:dyDescent="0.35">
      <c r="A340" s="3">
        <v>103409797</v>
      </c>
      <c r="B340" s="3" t="s">
        <v>309</v>
      </c>
      <c r="C340" s="3" t="s">
        <v>9</v>
      </c>
      <c r="D340" s="3" t="s">
        <v>5</v>
      </c>
      <c r="E340" s="3" t="s">
        <v>10</v>
      </c>
      <c r="F340" s="3" t="s">
        <v>310</v>
      </c>
      <c r="G340" s="3" t="s">
        <v>311</v>
      </c>
      <c r="H340" s="4">
        <v>4418.6400000000003</v>
      </c>
      <c r="I340" s="3" t="s">
        <v>11</v>
      </c>
    </row>
    <row r="341" spans="1:9" x14ac:dyDescent="0.35">
      <c r="A341" s="3">
        <v>103409793</v>
      </c>
      <c r="B341" s="3" t="s">
        <v>312</v>
      </c>
      <c r="C341" s="3" t="s">
        <v>9</v>
      </c>
      <c r="D341" s="3" t="s">
        <v>5</v>
      </c>
      <c r="E341" s="3" t="s">
        <v>10</v>
      </c>
      <c r="F341" s="3" t="s">
        <v>313</v>
      </c>
      <c r="G341" s="3" t="s">
        <v>314</v>
      </c>
      <c r="H341" s="5">
        <v>2449</v>
      </c>
      <c r="I341" s="3" t="s">
        <v>11</v>
      </c>
    </row>
    <row r="342" spans="1:9" x14ac:dyDescent="0.35">
      <c r="A342" s="3">
        <v>103409681</v>
      </c>
      <c r="B342" s="3" t="s">
        <v>315</v>
      </c>
      <c r="C342" s="3" t="s">
        <v>9</v>
      </c>
      <c r="D342" s="3" t="s">
        <v>5</v>
      </c>
      <c r="E342" s="3" t="s">
        <v>10</v>
      </c>
      <c r="F342" s="3" t="s">
        <v>316</v>
      </c>
      <c r="G342" s="3" t="s">
        <v>317</v>
      </c>
      <c r="H342" s="5">
        <v>2048</v>
      </c>
      <c r="I342" s="3" t="s">
        <v>11</v>
      </c>
    </row>
    <row r="343" spans="1:9" x14ac:dyDescent="0.35">
      <c r="A343" s="3">
        <v>103409678</v>
      </c>
      <c r="B343" s="3" t="s">
        <v>4758</v>
      </c>
      <c r="C343" s="3" t="s">
        <v>9</v>
      </c>
      <c r="D343" s="3" t="s">
        <v>5</v>
      </c>
      <c r="E343" s="3" t="s">
        <v>10</v>
      </c>
      <c r="F343" s="3" t="s">
        <v>4759</v>
      </c>
      <c r="G343" s="3" t="s">
        <v>4760</v>
      </c>
      <c r="H343" s="4">
        <v>2849.05</v>
      </c>
      <c r="I343" s="3" t="s">
        <v>13</v>
      </c>
    </row>
    <row r="344" spans="1:9" x14ac:dyDescent="0.35">
      <c r="A344" s="3">
        <v>103409784</v>
      </c>
      <c r="B344" s="3" t="s">
        <v>318</v>
      </c>
      <c r="C344" s="3" t="s">
        <v>9</v>
      </c>
      <c r="D344" s="3" t="s">
        <v>5</v>
      </c>
      <c r="E344" s="3" t="s">
        <v>10</v>
      </c>
      <c r="F344" s="3" t="s">
        <v>319</v>
      </c>
      <c r="G344" s="3" t="s">
        <v>320</v>
      </c>
      <c r="H344" s="5">
        <v>2399</v>
      </c>
      <c r="I344" s="3" t="s">
        <v>11</v>
      </c>
    </row>
    <row r="345" spans="1:9" x14ac:dyDescent="0.35">
      <c r="A345" s="3">
        <v>103409673</v>
      </c>
      <c r="B345" s="3" t="s">
        <v>321</v>
      </c>
      <c r="C345" s="3" t="s">
        <v>9</v>
      </c>
      <c r="D345" s="3" t="s">
        <v>5</v>
      </c>
      <c r="E345" s="3" t="s">
        <v>10</v>
      </c>
      <c r="F345" s="3" t="s">
        <v>322</v>
      </c>
      <c r="G345" s="3" t="s">
        <v>323</v>
      </c>
      <c r="H345" s="5">
        <v>3899</v>
      </c>
      <c r="I345" s="3" t="s">
        <v>11</v>
      </c>
    </row>
    <row r="346" spans="1:9" x14ac:dyDescent="0.35">
      <c r="A346" s="3">
        <v>103409775</v>
      </c>
      <c r="B346" s="3" t="s">
        <v>324</v>
      </c>
      <c r="C346" s="3" t="s">
        <v>9</v>
      </c>
      <c r="D346" s="3" t="s">
        <v>5</v>
      </c>
      <c r="E346" s="3" t="s">
        <v>10</v>
      </c>
      <c r="F346" s="3" t="s">
        <v>325</v>
      </c>
      <c r="G346" s="3" t="s">
        <v>326</v>
      </c>
      <c r="H346" s="5">
        <v>2099</v>
      </c>
      <c r="I346" s="3" t="s">
        <v>11</v>
      </c>
    </row>
    <row r="347" spans="1:9" x14ac:dyDescent="0.35">
      <c r="A347" s="3">
        <v>103409769</v>
      </c>
      <c r="B347" s="3" t="s">
        <v>327</v>
      </c>
      <c r="C347" s="3" t="s">
        <v>9</v>
      </c>
      <c r="D347" s="3" t="s">
        <v>5</v>
      </c>
      <c r="E347" s="3" t="s">
        <v>10</v>
      </c>
      <c r="F347" s="3" t="s">
        <v>328</v>
      </c>
      <c r="G347" s="3" t="s">
        <v>329</v>
      </c>
      <c r="H347" s="3">
        <v>493.05</v>
      </c>
      <c r="I347" s="3" t="s">
        <v>11</v>
      </c>
    </row>
    <row r="348" spans="1:9" x14ac:dyDescent="0.35">
      <c r="A348" s="3">
        <v>103409661</v>
      </c>
      <c r="B348" s="3" t="s">
        <v>330</v>
      </c>
      <c r="C348" s="3" t="s">
        <v>9</v>
      </c>
      <c r="D348" s="3" t="s">
        <v>5</v>
      </c>
      <c r="E348" s="3" t="s">
        <v>10</v>
      </c>
      <c r="F348" s="3" t="s">
        <v>331</v>
      </c>
      <c r="G348" s="3" t="s">
        <v>332</v>
      </c>
      <c r="H348" s="3">
        <v>329</v>
      </c>
      <c r="I348" s="3" t="s">
        <v>11</v>
      </c>
    </row>
    <row r="349" spans="1:9" x14ac:dyDescent="0.35">
      <c r="A349" s="3">
        <v>103409657</v>
      </c>
      <c r="B349" s="3" t="s">
        <v>333</v>
      </c>
      <c r="C349" s="3" t="s">
        <v>9</v>
      </c>
      <c r="D349" s="3" t="s">
        <v>5</v>
      </c>
      <c r="E349" s="3" t="s">
        <v>10</v>
      </c>
      <c r="F349" s="3" t="s">
        <v>334</v>
      </c>
      <c r="G349" s="3" t="s">
        <v>335</v>
      </c>
      <c r="H349" s="5">
        <v>3499</v>
      </c>
      <c r="I349" s="3" t="s">
        <v>11</v>
      </c>
    </row>
    <row r="350" spans="1:9" x14ac:dyDescent="0.35">
      <c r="A350" s="3">
        <v>103409656</v>
      </c>
      <c r="B350" s="3" t="s">
        <v>336</v>
      </c>
      <c r="C350" s="3" t="s">
        <v>9</v>
      </c>
      <c r="D350" s="3" t="s">
        <v>5</v>
      </c>
      <c r="E350" s="3" t="s">
        <v>10</v>
      </c>
      <c r="F350" s="3" t="s">
        <v>337</v>
      </c>
      <c r="G350" s="3" t="s">
        <v>338</v>
      </c>
      <c r="H350" s="5">
        <v>4899</v>
      </c>
      <c r="I350" s="3" t="s">
        <v>11</v>
      </c>
    </row>
    <row r="351" spans="1:9" x14ac:dyDescent="0.35">
      <c r="A351" s="3">
        <v>103409557</v>
      </c>
      <c r="B351" s="3" t="s">
        <v>339</v>
      </c>
      <c r="C351" s="3" t="s">
        <v>9</v>
      </c>
      <c r="D351" s="3" t="s">
        <v>5</v>
      </c>
      <c r="E351" s="3" t="s">
        <v>10</v>
      </c>
      <c r="F351" s="3" t="s">
        <v>340</v>
      </c>
      <c r="G351" s="3" t="s">
        <v>341</v>
      </c>
      <c r="H351" s="3">
        <v>675.97</v>
      </c>
      <c r="I351" s="3" t="s">
        <v>11</v>
      </c>
    </row>
    <row r="352" spans="1:9" x14ac:dyDescent="0.35">
      <c r="A352" s="3">
        <v>103409653</v>
      </c>
      <c r="B352" s="3" t="s">
        <v>342</v>
      </c>
      <c r="C352" s="3" t="s">
        <v>9</v>
      </c>
      <c r="D352" s="3" t="s">
        <v>5</v>
      </c>
      <c r="E352" s="3" t="s">
        <v>10</v>
      </c>
      <c r="F352" s="3" t="s">
        <v>343</v>
      </c>
      <c r="G352" s="3" t="s">
        <v>344</v>
      </c>
      <c r="H352" s="3">
        <v>559</v>
      </c>
      <c r="I352" s="3" t="s">
        <v>11</v>
      </c>
    </row>
    <row r="353" spans="1:9" x14ac:dyDescent="0.35">
      <c r="A353" s="3">
        <v>103409651</v>
      </c>
      <c r="B353" s="3" t="s">
        <v>345</v>
      </c>
      <c r="C353" s="3" t="s">
        <v>9</v>
      </c>
      <c r="D353" s="3" t="s">
        <v>5</v>
      </c>
      <c r="E353" s="3" t="s">
        <v>10</v>
      </c>
      <c r="F353" s="3" t="s">
        <v>346</v>
      </c>
      <c r="G353" s="3" t="s">
        <v>347</v>
      </c>
      <c r="H353" s="4">
        <v>3889.39</v>
      </c>
      <c r="I353" s="3" t="s">
        <v>11</v>
      </c>
    </row>
    <row r="354" spans="1:9" x14ac:dyDescent="0.35">
      <c r="A354" s="3">
        <v>103409650</v>
      </c>
      <c r="B354" s="3" t="s">
        <v>348</v>
      </c>
      <c r="C354" s="3" t="s">
        <v>9</v>
      </c>
      <c r="D354" s="3" t="s">
        <v>5</v>
      </c>
      <c r="E354" s="3" t="s">
        <v>10</v>
      </c>
      <c r="F354" s="3" t="s">
        <v>349</v>
      </c>
      <c r="G354" s="3" t="s">
        <v>350</v>
      </c>
      <c r="H354" s="4">
        <v>1448.1</v>
      </c>
      <c r="I354" s="3" t="s">
        <v>11</v>
      </c>
    </row>
    <row r="355" spans="1:9" x14ac:dyDescent="0.35">
      <c r="A355" s="3">
        <v>103409549</v>
      </c>
      <c r="B355" s="3" t="s">
        <v>351</v>
      </c>
      <c r="C355" s="3" t="s">
        <v>9</v>
      </c>
      <c r="D355" s="3" t="s">
        <v>5</v>
      </c>
      <c r="E355" s="3" t="s">
        <v>12</v>
      </c>
      <c r="F355" s="3" t="s">
        <v>352</v>
      </c>
      <c r="G355" s="3" t="s">
        <v>353</v>
      </c>
      <c r="H355" s="5">
        <v>1169</v>
      </c>
      <c r="I355" s="3" t="s">
        <v>11</v>
      </c>
    </row>
    <row r="356" spans="1:9" x14ac:dyDescent="0.35">
      <c r="A356" s="3">
        <v>103409548</v>
      </c>
      <c r="B356" s="3" t="s">
        <v>354</v>
      </c>
      <c r="C356" s="3" t="s">
        <v>9</v>
      </c>
      <c r="D356" s="3" t="s">
        <v>5</v>
      </c>
      <c r="E356" s="3" t="s">
        <v>12</v>
      </c>
      <c r="F356" s="3" t="s">
        <v>355</v>
      </c>
      <c r="G356" s="3" t="s">
        <v>356</v>
      </c>
      <c r="H356" s="5">
        <v>2749</v>
      </c>
      <c r="I356" s="3" t="s">
        <v>11</v>
      </c>
    </row>
    <row r="357" spans="1:9" x14ac:dyDescent="0.35">
      <c r="A357" s="3">
        <v>103409647</v>
      </c>
      <c r="B357" s="3" t="s">
        <v>357</v>
      </c>
      <c r="C357" s="3" t="s">
        <v>9</v>
      </c>
      <c r="D357" s="3" t="s">
        <v>5</v>
      </c>
      <c r="E357" s="3" t="s">
        <v>10</v>
      </c>
      <c r="F357" s="3" t="s">
        <v>358</v>
      </c>
      <c r="G357" s="3" t="s">
        <v>359</v>
      </c>
      <c r="H357" s="4">
        <v>2991.64</v>
      </c>
      <c r="I357" s="3" t="s">
        <v>11</v>
      </c>
    </row>
    <row r="358" spans="1:9" x14ac:dyDescent="0.35">
      <c r="A358" s="3">
        <v>103409644</v>
      </c>
      <c r="B358" s="3" t="s">
        <v>360</v>
      </c>
      <c r="C358" s="3" t="s">
        <v>9</v>
      </c>
      <c r="D358" s="3" t="s">
        <v>5</v>
      </c>
      <c r="E358" s="3" t="s">
        <v>10</v>
      </c>
      <c r="F358" s="3" t="s">
        <v>361</v>
      </c>
      <c r="G358" s="3" t="s">
        <v>362</v>
      </c>
      <c r="H358" s="4">
        <v>3656.55</v>
      </c>
      <c r="I358" s="3" t="s">
        <v>11</v>
      </c>
    </row>
    <row r="359" spans="1:9" x14ac:dyDescent="0.35">
      <c r="A359" s="3">
        <v>103409639</v>
      </c>
      <c r="B359" s="3" t="s">
        <v>363</v>
      </c>
      <c r="C359" s="3" t="s">
        <v>9</v>
      </c>
      <c r="D359" s="3" t="s">
        <v>5</v>
      </c>
      <c r="E359" s="3" t="s">
        <v>10</v>
      </c>
      <c r="F359" s="3" t="s">
        <v>364</v>
      </c>
      <c r="G359" s="3" t="s">
        <v>365</v>
      </c>
      <c r="H359" s="5">
        <v>3599</v>
      </c>
      <c r="I359" s="3" t="s">
        <v>11</v>
      </c>
    </row>
    <row r="360" spans="1:9" x14ac:dyDescent="0.35">
      <c r="A360" s="3">
        <v>103409637</v>
      </c>
      <c r="B360" s="3" t="s">
        <v>366</v>
      </c>
      <c r="C360" s="3" t="s">
        <v>9</v>
      </c>
      <c r="D360" s="3" t="s">
        <v>5</v>
      </c>
      <c r="E360" s="3" t="s">
        <v>12</v>
      </c>
      <c r="F360" s="3" t="s">
        <v>367</v>
      </c>
      <c r="G360" s="3" t="s">
        <v>368</v>
      </c>
      <c r="H360" s="4">
        <v>4102.1000000000004</v>
      </c>
      <c r="I360" s="3" t="s">
        <v>11</v>
      </c>
    </row>
    <row r="361" spans="1:9" x14ac:dyDescent="0.35">
      <c r="A361" s="3">
        <v>103409635</v>
      </c>
      <c r="B361" s="3" t="s">
        <v>369</v>
      </c>
      <c r="C361" s="3" t="s">
        <v>9</v>
      </c>
      <c r="D361" s="3" t="s">
        <v>5</v>
      </c>
      <c r="E361" s="3" t="s">
        <v>10</v>
      </c>
      <c r="F361" s="3" t="s">
        <v>370</v>
      </c>
      <c r="G361" s="3" t="s">
        <v>371</v>
      </c>
      <c r="H361" s="3">
        <v>937.7</v>
      </c>
      <c r="I361" s="3" t="s">
        <v>11</v>
      </c>
    </row>
    <row r="362" spans="1:9" x14ac:dyDescent="0.35">
      <c r="A362" s="3">
        <v>103409538</v>
      </c>
      <c r="B362" s="3" t="s">
        <v>372</v>
      </c>
      <c r="C362" s="3" t="s">
        <v>9</v>
      </c>
      <c r="D362" s="3" t="s">
        <v>5</v>
      </c>
      <c r="E362" s="3" t="s">
        <v>12</v>
      </c>
      <c r="F362" s="3" t="s">
        <v>373</v>
      </c>
      <c r="G362" s="3" t="s">
        <v>374</v>
      </c>
      <c r="H362" s="3">
        <v>669</v>
      </c>
      <c r="I362" s="3" t="s">
        <v>11</v>
      </c>
    </row>
    <row r="363" spans="1:9" x14ac:dyDescent="0.35">
      <c r="A363" s="3">
        <v>103409537</v>
      </c>
      <c r="B363" s="3" t="s">
        <v>375</v>
      </c>
      <c r="C363" s="3" t="s">
        <v>9</v>
      </c>
      <c r="D363" s="3" t="s">
        <v>5</v>
      </c>
      <c r="E363" s="3" t="s">
        <v>10</v>
      </c>
      <c r="F363" s="3" t="s">
        <v>376</v>
      </c>
      <c r="G363" s="3" t="s">
        <v>377</v>
      </c>
      <c r="H363" s="4">
        <v>6636.7</v>
      </c>
      <c r="I363" s="3" t="s">
        <v>11</v>
      </c>
    </row>
    <row r="364" spans="1:9" x14ac:dyDescent="0.35">
      <c r="A364" s="3">
        <v>103409616</v>
      </c>
      <c r="B364" s="3" t="s">
        <v>378</v>
      </c>
      <c r="C364" s="3" t="s">
        <v>9</v>
      </c>
      <c r="D364" s="3" t="s">
        <v>5</v>
      </c>
      <c r="E364" s="3" t="s">
        <v>10</v>
      </c>
      <c r="F364" s="3" t="s">
        <v>379</v>
      </c>
      <c r="G364" s="3" t="s">
        <v>380</v>
      </c>
      <c r="H364" s="4">
        <v>3490.87</v>
      </c>
      <c r="I364" s="3" t="s">
        <v>11</v>
      </c>
    </row>
    <row r="365" spans="1:9" x14ac:dyDescent="0.35">
      <c r="A365" s="3">
        <v>103409615</v>
      </c>
      <c r="B365" s="3" t="s">
        <v>381</v>
      </c>
      <c r="C365" s="3" t="s">
        <v>9</v>
      </c>
      <c r="D365" s="3" t="s">
        <v>5</v>
      </c>
      <c r="E365" s="3" t="s">
        <v>10</v>
      </c>
      <c r="F365" s="3" t="s">
        <v>382</v>
      </c>
      <c r="G365" s="3" t="s">
        <v>383</v>
      </c>
      <c r="H365" s="4">
        <v>2960.2</v>
      </c>
      <c r="I365" s="3" t="s">
        <v>11</v>
      </c>
    </row>
    <row r="366" spans="1:9" x14ac:dyDescent="0.35">
      <c r="A366" s="3">
        <v>103409608</v>
      </c>
      <c r="B366" s="3" t="s">
        <v>384</v>
      </c>
      <c r="C366" s="3" t="s">
        <v>9</v>
      </c>
      <c r="D366" s="3" t="s">
        <v>5</v>
      </c>
      <c r="E366" s="3" t="s">
        <v>10</v>
      </c>
      <c r="F366" s="3" t="s">
        <v>385</v>
      </c>
      <c r="G366" s="3" t="s">
        <v>386</v>
      </c>
      <c r="H366" s="5">
        <v>1349</v>
      </c>
      <c r="I366" s="3" t="s">
        <v>11</v>
      </c>
    </row>
    <row r="367" spans="1:9" x14ac:dyDescent="0.35">
      <c r="A367" s="3">
        <v>103409521</v>
      </c>
      <c r="B367" s="3" t="s">
        <v>387</v>
      </c>
      <c r="C367" s="3" t="s">
        <v>9</v>
      </c>
      <c r="D367" s="3" t="s">
        <v>5</v>
      </c>
      <c r="E367" s="3" t="s">
        <v>10</v>
      </c>
      <c r="F367" s="3" t="s">
        <v>388</v>
      </c>
      <c r="G367" s="3" t="s">
        <v>389</v>
      </c>
      <c r="H367" s="5">
        <v>2249</v>
      </c>
      <c r="I367" s="3" t="s">
        <v>11</v>
      </c>
    </row>
    <row r="368" spans="1:9" x14ac:dyDescent="0.35">
      <c r="A368" s="3">
        <v>103409517</v>
      </c>
      <c r="B368" s="3" t="s">
        <v>390</v>
      </c>
      <c r="C368" s="3" t="s">
        <v>9</v>
      </c>
      <c r="D368" s="3" t="s">
        <v>5</v>
      </c>
      <c r="E368" s="3" t="s">
        <v>12</v>
      </c>
      <c r="F368" s="3" t="s">
        <v>391</v>
      </c>
      <c r="G368" s="3" t="s">
        <v>392</v>
      </c>
      <c r="H368" s="3">
        <v>489</v>
      </c>
      <c r="I368" s="3" t="s">
        <v>11</v>
      </c>
    </row>
    <row r="369" spans="1:9" x14ac:dyDescent="0.35">
      <c r="A369" s="3">
        <v>103409514</v>
      </c>
      <c r="B369" s="3" t="s">
        <v>393</v>
      </c>
      <c r="C369" s="3" t="s">
        <v>9</v>
      </c>
      <c r="D369" s="3" t="s">
        <v>5</v>
      </c>
      <c r="E369" s="3" t="s">
        <v>12</v>
      </c>
      <c r="F369" s="3" t="s">
        <v>394</v>
      </c>
      <c r="G369" s="3" t="s">
        <v>395</v>
      </c>
      <c r="H369" s="3">
        <v>369</v>
      </c>
      <c r="I369" s="3" t="s">
        <v>11</v>
      </c>
    </row>
    <row r="370" spans="1:9" x14ac:dyDescent="0.35">
      <c r="A370" s="3">
        <v>103409604</v>
      </c>
      <c r="B370" s="3" t="s">
        <v>396</v>
      </c>
      <c r="C370" s="3" t="s">
        <v>9</v>
      </c>
      <c r="D370" s="3" t="s">
        <v>5</v>
      </c>
      <c r="E370" s="3" t="s">
        <v>12</v>
      </c>
      <c r="F370" s="3" t="s">
        <v>397</v>
      </c>
      <c r="G370" s="3" t="s">
        <v>398</v>
      </c>
      <c r="H370" s="4">
        <v>2041.55</v>
      </c>
      <c r="I370" s="3" t="s">
        <v>11</v>
      </c>
    </row>
    <row r="371" spans="1:9" x14ac:dyDescent="0.35">
      <c r="A371" s="3">
        <v>103409595</v>
      </c>
      <c r="B371" s="3" t="s">
        <v>399</v>
      </c>
      <c r="C371" s="3" t="s">
        <v>9</v>
      </c>
      <c r="D371" s="3" t="s">
        <v>5</v>
      </c>
      <c r="E371" s="3" t="s">
        <v>10</v>
      </c>
      <c r="F371" s="3" t="s">
        <v>400</v>
      </c>
      <c r="G371" s="3" t="s">
        <v>401</v>
      </c>
      <c r="H371" s="4">
        <v>1994.05</v>
      </c>
      <c r="I371" s="3" t="s">
        <v>11</v>
      </c>
    </row>
    <row r="372" spans="1:9" x14ac:dyDescent="0.35">
      <c r="A372" s="3">
        <v>103409509</v>
      </c>
      <c r="B372" s="3" t="s">
        <v>402</v>
      </c>
      <c r="C372" s="3" t="s">
        <v>9</v>
      </c>
      <c r="D372" s="3" t="s">
        <v>5</v>
      </c>
      <c r="E372" s="3" t="s">
        <v>10</v>
      </c>
      <c r="F372" s="3" t="s">
        <v>403</v>
      </c>
      <c r="G372" s="3" t="s">
        <v>404</v>
      </c>
      <c r="H372" s="5">
        <v>1617</v>
      </c>
      <c r="I372" s="3" t="s">
        <v>11</v>
      </c>
    </row>
    <row r="373" spans="1:9" x14ac:dyDescent="0.35">
      <c r="A373" s="3">
        <v>103409508</v>
      </c>
      <c r="B373" s="3" t="s">
        <v>405</v>
      </c>
      <c r="C373" s="3" t="s">
        <v>9</v>
      </c>
      <c r="D373" s="3" t="s">
        <v>5</v>
      </c>
      <c r="E373" s="3" t="s">
        <v>10</v>
      </c>
      <c r="F373" s="3" t="s">
        <v>406</v>
      </c>
      <c r="G373" s="3" t="s">
        <v>407</v>
      </c>
      <c r="H373" s="4">
        <v>5735.15</v>
      </c>
      <c r="I373" s="3" t="s">
        <v>11</v>
      </c>
    </row>
    <row r="374" spans="1:9" x14ac:dyDescent="0.35">
      <c r="A374" s="3">
        <v>103409594</v>
      </c>
      <c r="B374" s="3" t="s">
        <v>408</v>
      </c>
      <c r="C374" s="3" t="s">
        <v>9</v>
      </c>
      <c r="D374" s="3" t="s">
        <v>5</v>
      </c>
      <c r="E374" s="3" t="s">
        <v>10</v>
      </c>
      <c r="F374" s="3" t="s">
        <v>409</v>
      </c>
      <c r="G374" s="3" t="s">
        <v>410</v>
      </c>
      <c r="H374" s="4">
        <v>2051.14</v>
      </c>
      <c r="I374" s="3" t="s">
        <v>11</v>
      </c>
    </row>
    <row r="375" spans="1:9" x14ac:dyDescent="0.35">
      <c r="A375" s="3">
        <v>103409585</v>
      </c>
      <c r="B375" s="3" t="s">
        <v>411</v>
      </c>
      <c r="C375" s="3" t="s">
        <v>9</v>
      </c>
      <c r="D375" s="3" t="s">
        <v>5</v>
      </c>
      <c r="E375" s="3" t="s">
        <v>10</v>
      </c>
      <c r="F375" s="3" t="s">
        <v>412</v>
      </c>
      <c r="G375" s="3" t="s">
        <v>413</v>
      </c>
      <c r="H375" s="4">
        <v>2658.1</v>
      </c>
      <c r="I375" s="3" t="s">
        <v>13</v>
      </c>
    </row>
    <row r="376" spans="1:9" x14ac:dyDescent="0.35">
      <c r="A376" s="3">
        <v>103409500</v>
      </c>
      <c r="B376" s="3" t="s">
        <v>414</v>
      </c>
      <c r="C376" s="3" t="s">
        <v>9</v>
      </c>
      <c r="D376" s="3" t="s">
        <v>5</v>
      </c>
      <c r="E376" s="3" t="s">
        <v>12</v>
      </c>
      <c r="F376" s="3" t="s">
        <v>415</v>
      </c>
      <c r="G376" s="3" t="s">
        <v>416</v>
      </c>
      <c r="H376" s="4">
        <v>2611.5500000000002</v>
      </c>
      <c r="I376" s="3" t="s">
        <v>11</v>
      </c>
    </row>
    <row r="377" spans="1:9" x14ac:dyDescent="0.35">
      <c r="A377" s="3">
        <v>103409579</v>
      </c>
      <c r="B377" s="3" t="s">
        <v>417</v>
      </c>
      <c r="C377" s="3" t="s">
        <v>9</v>
      </c>
      <c r="D377" s="3" t="s">
        <v>5</v>
      </c>
      <c r="E377" s="3" t="s">
        <v>10</v>
      </c>
      <c r="F377" s="3" t="s">
        <v>418</v>
      </c>
      <c r="G377" s="3" t="s">
        <v>419</v>
      </c>
      <c r="H377" s="3">
        <v>495.04</v>
      </c>
      <c r="I377" s="3" t="s">
        <v>11</v>
      </c>
    </row>
    <row r="378" spans="1:9" x14ac:dyDescent="0.35">
      <c r="A378" s="3">
        <v>103409487</v>
      </c>
      <c r="B378" s="3" t="s">
        <v>420</v>
      </c>
      <c r="C378" s="3" t="s">
        <v>9</v>
      </c>
      <c r="D378" s="3" t="s">
        <v>5</v>
      </c>
      <c r="E378" s="3" t="s">
        <v>10</v>
      </c>
      <c r="F378" s="3" t="s">
        <v>421</v>
      </c>
      <c r="G378" s="3" t="s">
        <v>422</v>
      </c>
      <c r="H378" s="4">
        <v>2350.39</v>
      </c>
      <c r="I378" s="3" t="s">
        <v>11</v>
      </c>
    </row>
    <row r="379" spans="1:9" x14ac:dyDescent="0.35">
      <c r="A379" s="3">
        <v>103409461</v>
      </c>
      <c r="B379" s="3" t="s">
        <v>423</v>
      </c>
      <c r="C379" s="3" t="s">
        <v>9</v>
      </c>
      <c r="D379" s="3" t="s">
        <v>5</v>
      </c>
      <c r="E379" s="3" t="s">
        <v>10</v>
      </c>
      <c r="F379" s="3" t="s">
        <v>424</v>
      </c>
      <c r="G379" s="3" t="s">
        <v>425</v>
      </c>
      <c r="H379" s="4">
        <v>1347.1</v>
      </c>
      <c r="I379" s="3" t="s">
        <v>11</v>
      </c>
    </row>
    <row r="380" spans="1:9" x14ac:dyDescent="0.35">
      <c r="A380" s="3">
        <v>103409460</v>
      </c>
      <c r="B380" s="3" t="s">
        <v>426</v>
      </c>
      <c r="C380" s="3" t="s">
        <v>9</v>
      </c>
      <c r="D380" s="3" t="s">
        <v>5</v>
      </c>
      <c r="E380" s="3" t="s">
        <v>10</v>
      </c>
      <c r="F380" s="3" t="s">
        <v>427</v>
      </c>
      <c r="G380" s="3" t="s">
        <v>428</v>
      </c>
      <c r="H380" s="3">
        <v>639</v>
      </c>
      <c r="I380" s="3" t="s">
        <v>11</v>
      </c>
    </row>
    <row r="381" spans="1:9" x14ac:dyDescent="0.35">
      <c r="A381" s="3">
        <v>103409458</v>
      </c>
      <c r="B381" s="3" t="s">
        <v>429</v>
      </c>
      <c r="C381" s="3" t="s">
        <v>9</v>
      </c>
      <c r="D381" s="3" t="s">
        <v>5</v>
      </c>
      <c r="E381" s="3" t="s">
        <v>10</v>
      </c>
      <c r="F381" s="3" t="s">
        <v>430</v>
      </c>
      <c r="G381" s="3" t="s">
        <v>431</v>
      </c>
      <c r="H381" s="3">
        <v>113.05</v>
      </c>
      <c r="I381" s="3" t="s">
        <v>11</v>
      </c>
    </row>
    <row r="382" spans="1:9" x14ac:dyDescent="0.35">
      <c r="A382" s="3">
        <v>103409457</v>
      </c>
      <c r="B382" s="3" t="s">
        <v>432</v>
      </c>
      <c r="C382" s="3" t="s">
        <v>9</v>
      </c>
      <c r="D382" s="3" t="s">
        <v>5</v>
      </c>
      <c r="E382" s="3" t="s">
        <v>10</v>
      </c>
      <c r="F382" s="3" t="s">
        <v>433</v>
      </c>
      <c r="G382" s="3" t="s">
        <v>434</v>
      </c>
      <c r="H382" s="3">
        <v>92.15</v>
      </c>
      <c r="I382" s="3" t="s">
        <v>11</v>
      </c>
    </row>
    <row r="383" spans="1:9" x14ac:dyDescent="0.35">
      <c r="A383" s="3">
        <v>103409474</v>
      </c>
      <c r="B383" s="3" t="s">
        <v>435</v>
      </c>
      <c r="C383" s="3" t="s">
        <v>9</v>
      </c>
      <c r="D383" s="3" t="s">
        <v>5</v>
      </c>
      <c r="E383" s="3" t="s">
        <v>12</v>
      </c>
      <c r="F383" s="3" t="s">
        <v>436</v>
      </c>
      <c r="G383" s="3" t="s">
        <v>437</v>
      </c>
      <c r="H383" s="5">
        <v>1499</v>
      </c>
      <c r="I383" s="3" t="s">
        <v>11</v>
      </c>
    </row>
    <row r="384" spans="1:9" x14ac:dyDescent="0.35">
      <c r="A384" s="3">
        <v>103409469</v>
      </c>
      <c r="B384" s="3" t="s">
        <v>438</v>
      </c>
      <c r="C384" s="3" t="s">
        <v>9</v>
      </c>
      <c r="D384" s="3" t="s">
        <v>5</v>
      </c>
      <c r="E384" s="3" t="s">
        <v>10</v>
      </c>
      <c r="F384" s="3" t="s">
        <v>439</v>
      </c>
      <c r="G384" s="3" t="s">
        <v>440</v>
      </c>
      <c r="H384" s="3">
        <v>899</v>
      </c>
      <c r="I384" s="3" t="s">
        <v>11</v>
      </c>
    </row>
    <row r="385" spans="1:9" x14ac:dyDescent="0.35">
      <c r="A385" s="3">
        <v>103409465</v>
      </c>
      <c r="B385" s="3" t="s">
        <v>441</v>
      </c>
      <c r="C385" s="3" t="s">
        <v>9</v>
      </c>
      <c r="D385" s="3" t="s">
        <v>5</v>
      </c>
      <c r="E385" s="3" t="s">
        <v>10</v>
      </c>
      <c r="F385" s="3" t="s">
        <v>442</v>
      </c>
      <c r="G385" s="3" t="s">
        <v>443</v>
      </c>
      <c r="H385" s="3">
        <v>799</v>
      </c>
      <c r="I385" s="3" t="s">
        <v>11</v>
      </c>
    </row>
    <row r="386" spans="1:9" x14ac:dyDescent="0.35">
      <c r="A386" s="3">
        <v>103409449</v>
      </c>
      <c r="B386" s="3" t="s">
        <v>444</v>
      </c>
      <c r="C386" s="3" t="s">
        <v>9</v>
      </c>
      <c r="D386" s="3" t="s">
        <v>5</v>
      </c>
      <c r="E386" s="3" t="s">
        <v>10</v>
      </c>
      <c r="F386" s="3" t="s">
        <v>445</v>
      </c>
      <c r="G386" s="3" t="s">
        <v>446</v>
      </c>
      <c r="H386" s="4">
        <v>3656.55</v>
      </c>
      <c r="I386" s="3" t="s">
        <v>11</v>
      </c>
    </row>
    <row r="387" spans="1:9" x14ac:dyDescent="0.35">
      <c r="A387" s="3">
        <v>103409443</v>
      </c>
      <c r="B387" s="3" t="s">
        <v>447</v>
      </c>
      <c r="C387" s="3" t="s">
        <v>9</v>
      </c>
      <c r="D387" s="3" t="s">
        <v>5</v>
      </c>
      <c r="E387" s="3" t="s">
        <v>10</v>
      </c>
      <c r="F387" s="3" t="s">
        <v>448</v>
      </c>
      <c r="G387" s="3" t="s">
        <v>449</v>
      </c>
      <c r="H387" s="4">
        <v>2339.1</v>
      </c>
      <c r="I387" s="3" t="s">
        <v>11</v>
      </c>
    </row>
    <row r="388" spans="1:9" x14ac:dyDescent="0.35">
      <c r="A388" s="3">
        <v>103409442</v>
      </c>
      <c r="B388" s="3" t="s">
        <v>450</v>
      </c>
      <c r="C388" s="3" t="s">
        <v>9</v>
      </c>
      <c r="D388" s="3" t="s">
        <v>5</v>
      </c>
      <c r="E388" s="3" t="s">
        <v>10</v>
      </c>
      <c r="F388" s="3" t="s">
        <v>451</v>
      </c>
      <c r="G388" s="3" t="s">
        <v>452</v>
      </c>
      <c r="H388" s="4">
        <v>1517.15</v>
      </c>
      <c r="I388" s="3" t="s">
        <v>11</v>
      </c>
    </row>
    <row r="389" spans="1:9" x14ac:dyDescent="0.35">
      <c r="A389" s="3">
        <v>103409439</v>
      </c>
      <c r="B389" s="3" t="s">
        <v>453</v>
      </c>
      <c r="C389" s="3" t="s">
        <v>9</v>
      </c>
      <c r="D389" s="3" t="s">
        <v>5</v>
      </c>
      <c r="E389" s="3" t="s">
        <v>10</v>
      </c>
      <c r="F389" s="3" t="s">
        <v>454</v>
      </c>
      <c r="G389" s="3" t="s">
        <v>455</v>
      </c>
      <c r="H389" s="4">
        <v>2773.05</v>
      </c>
      <c r="I389" s="3" t="s">
        <v>11</v>
      </c>
    </row>
    <row r="390" spans="1:9" x14ac:dyDescent="0.35">
      <c r="A390" s="3">
        <v>103409359</v>
      </c>
      <c r="B390" s="3" t="s">
        <v>456</v>
      </c>
      <c r="C390" s="3" t="s">
        <v>9</v>
      </c>
      <c r="D390" s="3" t="s">
        <v>5</v>
      </c>
      <c r="E390" s="3" t="s">
        <v>10</v>
      </c>
      <c r="F390" s="3" t="s">
        <v>457</v>
      </c>
      <c r="G390" s="3" t="s">
        <v>458</v>
      </c>
      <c r="H390" s="4">
        <v>6839.05</v>
      </c>
      <c r="I390" s="3" t="s">
        <v>11</v>
      </c>
    </row>
    <row r="391" spans="1:9" x14ac:dyDescent="0.35">
      <c r="A391" s="3">
        <v>103409358</v>
      </c>
      <c r="B391" s="3" t="s">
        <v>459</v>
      </c>
      <c r="C391" s="3" t="s">
        <v>9</v>
      </c>
      <c r="D391" s="3" t="s">
        <v>5</v>
      </c>
      <c r="E391" s="3" t="s">
        <v>10</v>
      </c>
      <c r="F391" s="3" t="s">
        <v>460</v>
      </c>
      <c r="G391" s="3" t="s">
        <v>461</v>
      </c>
      <c r="H391" s="5">
        <v>1269</v>
      </c>
      <c r="I391" s="3" t="s">
        <v>11</v>
      </c>
    </row>
    <row r="392" spans="1:9" x14ac:dyDescent="0.35">
      <c r="A392" s="3">
        <v>103409437</v>
      </c>
      <c r="B392" s="3" t="s">
        <v>462</v>
      </c>
      <c r="C392" s="3" t="s">
        <v>9</v>
      </c>
      <c r="D392" s="3" t="s">
        <v>5</v>
      </c>
      <c r="E392" s="3" t="s">
        <v>10</v>
      </c>
      <c r="F392" s="3" t="s">
        <v>463</v>
      </c>
      <c r="G392" s="3" t="s">
        <v>464</v>
      </c>
      <c r="H392" s="4">
        <v>2773.05</v>
      </c>
      <c r="I392" s="3" t="s">
        <v>11</v>
      </c>
    </row>
    <row r="393" spans="1:9" x14ac:dyDescent="0.35">
      <c r="A393" s="3">
        <v>103409354</v>
      </c>
      <c r="B393" s="3" t="s">
        <v>465</v>
      </c>
      <c r="C393" s="3" t="s">
        <v>9</v>
      </c>
      <c r="D393" s="3" t="s">
        <v>5</v>
      </c>
      <c r="E393" s="3" t="s">
        <v>10</v>
      </c>
      <c r="F393" s="3" t="s">
        <v>466</v>
      </c>
      <c r="G393" s="3" t="s">
        <v>467</v>
      </c>
      <c r="H393" s="4">
        <v>1649.29</v>
      </c>
      <c r="I393" s="3" t="s">
        <v>11</v>
      </c>
    </row>
    <row r="394" spans="1:9" x14ac:dyDescent="0.35">
      <c r="A394" s="3">
        <v>103409353</v>
      </c>
      <c r="B394" s="3" t="s">
        <v>468</v>
      </c>
      <c r="C394" s="3" t="s">
        <v>9</v>
      </c>
      <c r="D394" s="3" t="s">
        <v>5</v>
      </c>
      <c r="E394" s="3" t="s">
        <v>10</v>
      </c>
      <c r="F394" s="3" t="s">
        <v>460</v>
      </c>
      <c r="G394" s="3" t="s">
        <v>461</v>
      </c>
      <c r="H394" s="5">
        <v>1169</v>
      </c>
      <c r="I394" s="3" t="s">
        <v>11</v>
      </c>
    </row>
    <row r="395" spans="1:9" x14ac:dyDescent="0.35">
      <c r="A395" s="3">
        <v>103409432</v>
      </c>
      <c r="B395" s="3" t="s">
        <v>469</v>
      </c>
      <c r="C395" s="3" t="s">
        <v>9</v>
      </c>
      <c r="D395" s="3" t="s">
        <v>5</v>
      </c>
      <c r="E395" s="3" t="s">
        <v>10</v>
      </c>
      <c r="F395" s="3" t="s">
        <v>470</v>
      </c>
      <c r="G395" s="3" t="s">
        <v>471</v>
      </c>
      <c r="H395" s="4">
        <v>1025.1400000000001</v>
      </c>
      <c r="I395" s="3" t="s">
        <v>11</v>
      </c>
    </row>
    <row r="396" spans="1:9" x14ac:dyDescent="0.35">
      <c r="A396" s="3">
        <v>103409341</v>
      </c>
      <c r="B396" s="3" t="s">
        <v>472</v>
      </c>
      <c r="C396" s="3" t="s">
        <v>9</v>
      </c>
      <c r="D396" s="3" t="s">
        <v>5</v>
      </c>
      <c r="E396" s="3" t="s">
        <v>10</v>
      </c>
      <c r="F396" s="3" t="s">
        <v>473</v>
      </c>
      <c r="G396" s="3" t="s">
        <v>474</v>
      </c>
      <c r="H396" s="4">
        <v>3656.55</v>
      </c>
      <c r="I396" s="3" t="s">
        <v>11</v>
      </c>
    </row>
    <row r="397" spans="1:9" x14ac:dyDescent="0.35">
      <c r="A397" s="3">
        <v>103409339</v>
      </c>
      <c r="B397" s="3" t="s">
        <v>475</v>
      </c>
      <c r="C397" s="3" t="s">
        <v>9</v>
      </c>
      <c r="D397" s="3" t="s">
        <v>5</v>
      </c>
      <c r="E397" s="3" t="s">
        <v>10</v>
      </c>
      <c r="F397" s="3" t="s">
        <v>476</v>
      </c>
      <c r="G397" s="3" t="s">
        <v>477</v>
      </c>
      <c r="H397" s="5">
        <v>2799</v>
      </c>
      <c r="I397" s="3" t="s">
        <v>11</v>
      </c>
    </row>
    <row r="398" spans="1:9" x14ac:dyDescent="0.35">
      <c r="A398" s="3">
        <v>103409337</v>
      </c>
      <c r="B398" s="3" t="s">
        <v>478</v>
      </c>
      <c r="C398" s="3" t="s">
        <v>9</v>
      </c>
      <c r="D398" s="3" t="s">
        <v>5</v>
      </c>
      <c r="E398" s="3" t="s">
        <v>10</v>
      </c>
      <c r="F398" s="3" t="s">
        <v>479</v>
      </c>
      <c r="G398" s="3" t="s">
        <v>480</v>
      </c>
      <c r="H398" s="4">
        <v>3419.14</v>
      </c>
      <c r="I398" s="3" t="s">
        <v>11</v>
      </c>
    </row>
    <row r="399" spans="1:9" x14ac:dyDescent="0.35">
      <c r="A399" s="3">
        <v>103409334</v>
      </c>
      <c r="B399" s="3" t="s">
        <v>481</v>
      </c>
      <c r="C399" s="3" t="s">
        <v>9</v>
      </c>
      <c r="D399" s="3" t="s">
        <v>5</v>
      </c>
      <c r="E399" s="3" t="s">
        <v>12</v>
      </c>
      <c r="F399" s="3" t="s">
        <v>482</v>
      </c>
      <c r="G399" s="3" t="s">
        <v>483</v>
      </c>
      <c r="H399" s="5">
        <v>4474</v>
      </c>
      <c r="I399" s="3" t="s">
        <v>11</v>
      </c>
    </row>
    <row r="400" spans="1:9" x14ac:dyDescent="0.35">
      <c r="A400" s="3">
        <v>103409422</v>
      </c>
      <c r="B400" s="3" t="s">
        <v>484</v>
      </c>
      <c r="C400" s="3" t="s">
        <v>9</v>
      </c>
      <c r="D400" s="3" t="s">
        <v>5</v>
      </c>
      <c r="E400" s="3" t="s">
        <v>10</v>
      </c>
      <c r="F400" s="3" t="s">
        <v>485</v>
      </c>
      <c r="G400" s="3" t="s">
        <v>486</v>
      </c>
      <c r="H400" s="5">
        <v>6353</v>
      </c>
      <c r="I400" s="3" t="s">
        <v>11</v>
      </c>
    </row>
    <row r="401" spans="1:9" x14ac:dyDescent="0.35">
      <c r="A401" s="3">
        <v>103409421</v>
      </c>
      <c r="B401" s="3" t="s">
        <v>487</v>
      </c>
      <c r="C401" s="3" t="s">
        <v>9</v>
      </c>
      <c r="D401" s="3" t="s">
        <v>5</v>
      </c>
      <c r="E401" s="3" t="s">
        <v>10</v>
      </c>
      <c r="F401" s="3" t="s">
        <v>488</v>
      </c>
      <c r="G401" s="3" t="s">
        <v>489</v>
      </c>
      <c r="H401" s="4">
        <v>2977.35</v>
      </c>
      <c r="I401" s="3" t="s">
        <v>11</v>
      </c>
    </row>
    <row r="402" spans="1:9" x14ac:dyDescent="0.35">
      <c r="A402" s="3">
        <v>103409331</v>
      </c>
      <c r="B402" s="3" t="s">
        <v>490</v>
      </c>
      <c r="C402" s="3" t="s">
        <v>9</v>
      </c>
      <c r="D402" s="3" t="s">
        <v>5</v>
      </c>
      <c r="E402" s="3" t="s">
        <v>10</v>
      </c>
      <c r="F402" s="3" t="s">
        <v>479</v>
      </c>
      <c r="G402" s="3" t="s">
        <v>480</v>
      </c>
      <c r="H402" s="4">
        <v>4274.1400000000003</v>
      </c>
      <c r="I402" s="3" t="s">
        <v>11</v>
      </c>
    </row>
    <row r="403" spans="1:9" x14ac:dyDescent="0.35">
      <c r="A403" s="3">
        <v>103409418</v>
      </c>
      <c r="B403" s="3" t="s">
        <v>491</v>
      </c>
      <c r="C403" s="3" t="s">
        <v>9</v>
      </c>
      <c r="D403" s="3" t="s">
        <v>5</v>
      </c>
      <c r="E403" s="3" t="s">
        <v>10</v>
      </c>
      <c r="F403" s="3" t="s">
        <v>492</v>
      </c>
      <c r="G403" s="3" t="s">
        <v>493</v>
      </c>
      <c r="H403" s="5">
        <v>1169</v>
      </c>
      <c r="I403" s="3" t="s">
        <v>11</v>
      </c>
    </row>
    <row r="404" spans="1:9" x14ac:dyDescent="0.35">
      <c r="A404" s="3">
        <v>103409416</v>
      </c>
      <c r="B404" s="3" t="s">
        <v>494</v>
      </c>
      <c r="C404" s="3" t="s">
        <v>9</v>
      </c>
      <c r="D404" s="3" t="s">
        <v>5</v>
      </c>
      <c r="E404" s="3" t="s">
        <v>10</v>
      </c>
      <c r="F404" s="3" t="s">
        <v>495</v>
      </c>
      <c r="G404" s="3" t="s">
        <v>496</v>
      </c>
      <c r="H404" s="4">
        <v>3988.1</v>
      </c>
      <c r="I404" s="3" t="s">
        <v>11</v>
      </c>
    </row>
    <row r="405" spans="1:9" x14ac:dyDescent="0.35">
      <c r="A405" s="3">
        <v>103409407</v>
      </c>
      <c r="B405" s="3" t="s">
        <v>497</v>
      </c>
      <c r="C405" s="3" t="s">
        <v>9</v>
      </c>
      <c r="D405" s="3" t="s">
        <v>5</v>
      </c>
      <c r="E405" s="3" t="s">
        <v>10</v>
      </c>
      <c r="F405" s="3" t="s">
        <v>498</v>
      </c>
      <c r="G405" s="3" t="s">
        <v>499</v>
      </c>
      <c r="H405" s="3">
        <v>426.55</v>
      </c>
      <c r="I405" s="3" t="s">
        <v>11</v>
      </c>
    </row>
    <row r="406" spans="1:9" x14ac:dyDescent="0.35">
      <c r="A406" s="3">
        <v>103409325</v>
      </c>
      <c r="B406" s="3" t="s">
        <v>500</v>
      </c>
      <c r="C406" s="3" t="s">
        <v>9</v>
      </c>
      <c r="D406" s="3" t="s">
        <v>5</v>
      </c>
      <c r="E406" s="3" t="s">
        <v>12</v>
      </c>
      <c r="F406" s="3" t="s">
        <v>501</v>
      </c>
      <c r="G406" s="3" t="s">
        <v>502</v>
      </c>
      <c r="H406" s="3">
        <v>819</v>
      </c>
      <c r="I406" s="3" t="s">
        <v>11</v>
      </c>
    </row>
    <row r="407" spans="1:9" x14ac:dyDescent="0.35">
      <c r="A407" s="3">
        <v>103409324</v>
      </c>
      <c r="B407" s="3" t="s">
        <v>503</v>
      </c>
      <c r="C407" s="3" t="s">
        <v>9</v>
      </c>
      <c r="D407" s="3" t="s">
        <v>5</v>
      </c>
      <c r="E407" s="3" t="s">
        <v>10</v>
      </c>
      <c r="F407" s="3" t="s">
        <v>504</v>
      </c>
      <c r="G407" s="3" t="s">
        <v>505</v>
      </c>
      <c r="H407" s="4">
        <v>4048.5</v>
      </c>
      <c r="I407" s="3" t="s">
        <v>11</v>
      </c>
    </row>
    <row r="408" spans="1:9" x14ac:dyDescent="0.35">
      <c r="A408" s="3">
        <v>103409403</v>
      </c>
      <c r="B408" s="3" t="s">
        <v>506</v>
      </c>
      <c r="C408" s="3" t="s">
        <v>9</v>
      </c>
      <c r="D408" s="3" t="s">
        <v>5</v>
      </c>
      <c r="E408" s="3" t="s">
        <v>10</v>
      </c>
      <c r="F408" s="3" t="s">
        <v>507</v>
      </c>
      <c r="G408" s="3" t="s">
        <v>508</v>
      </c>
      <c r="H408" s="4">
        <v>3761.14</v>
      </c>
      <c r="I408" s="3" t="s">
        <v>11</v>
      </c>
    </row>
    <row r="409" spans="1:9" x14ac:dyDescent="0.35">
      <c r="A409" s="3">
        <v>103409321</v>
      </c>
      <c r="B409" s="3" t="s">
        <v>509</v>
      </c>
      <c r="C409" s="3" t="s">
        <v>9</v>
      </c>
      <c r="D409" s="3" t="s">
        <v>5</v>
      </c>
      <c r="E409" s="3" t="s">
        <v>10</v>
      </c>
      <c r="F409" s="3" t="s">
        <v>510</v>
      </c>
      <c r="G409" s="3" t="s">
        <v>511</v>
      </c>
      <c r="H409" s="5">
        <v>8808</v>
      </c>
      <c r="I409" s="3" t="s">
        <v>11</v>
      </c>
    </row>
    <row r="410" spans="1:9" x14ac:dyDescent="0.35">
      <c r="A410" s="3">
        <v>103409320</v>
      </c>
      <c r="B410" s="3" t="s">
        <v>512</v>
      </c>
      <c r="C410" s="3" t="s">
        <v>9</v>
      </c>
      <c r="D410" s="3" t="s">
        <v>5</v>
      </c>
      <c r="E410" s="3" t="s">
        <v>10</v>
      </c>
      <c r="F410" s="3" t="s">
        <v>513</v>
      </c>
      <c r="G410" s="3" t="s">
        <v>514</v>
      </c>
      <c r="H410" s="4">
        <v>3039.05</v>
      </c>
      <c r="I410" s="3" t="s">
        <v>11</v>
      </c>
    </row>
    <row r="411" spans="1:9" x14ac:dyDescent="0.35">
      <c r="A411" s="3">
        <v>103409394</v>
      </c>
      <c r="B411" s="3" t="s">
        <v>515</v>
      </c>
      <c r="C411" s="3" t="s">
        <v>9</v>
      </c>
      <c r="D411" s="3" t="s">
        <v>5</v>
      </c>
      <c r="E411" s="3" t="s">
        <v>12</v>
      </c>
      <c r="F411" s="3" t="s">
        <v>516</v>
      </c>
      <c r="G411" s="3" t="s">
        <v>517</v>
      </c>
      <c r="H411" s="4">
        <v>3324.05</v>
      </c>
      <c r="I411" s="3" t="s">
        <v>11</v>
      </c>
    </row>
    <row r="412" spans="1:9" x14ac:dyDescent="0.35">
      <c r="A412" s="3">
        <v>103409390</v>
      </c>
      <c r="B412" s="3" t="s">
        <v>518</v>
      </c>
      <c r="C412" s="3" t="s">
        <v>9</v>
      </c>
      <c r="D412" s="3" t="s">
        <v>5</v>
      </c>
      <c r="E412" s="3" t="s">
        <v>10</v>
      </c>
      <c r="F412" s="3" t="s">
        <v>519</v>
      </c>
      <c r="G412" s="3" t="s">
        <v>520</v>
      </c>
      <c r="H412" s="5">
        <v>1199</v>
      </c>
      <c r="I412" s="3" t="s">
        <v>11</v>
      </c>
    </row>
    <row r="413" spans="1:9" x14ac:dyDescent="0.35">
      <c r="A413" s="3">
        <v>103409315</v>
      </c>
      <c r="B413" s="3" t="s">
        <v>521</v>
      </c>
      <c r="C413" s="3" t="s">
        <v>9</v>
      </c>
      <c r="D413" s="3" t="s">
        <v>5</v>
      </c>
      <c r="E413" s="3" t="s">
        <v>10</v>
      </c>
      <c r="F413" s="3" t="s">
        <v>522</v>
      </c>
      <c r="G413" s="3" t="s">
        <v>523</v>
      </c>
      <c r="H413" s="5">
        <v>6198</v>
      </c>
      <c r="I413" s="3" t="s">
        <v>11</v>
      </c>
    </row>
    <row r="414" spans="1:9" x14ac:dyDescent="0.35">
      <c r="A414" s="3">
        <v>103409387</v>
      </c>
      <c r="B414" s="3" t="s">
        <v>524</v>
      </c>
      <c r="C414" s="3" t="s">
        <v>9</v>
      </c>
      <c r="D414" s="3" t="s">
        <v>5</v>
      </c>
      <c r="E414" s="3" t="s">
        <v>10</v>
      </c>
      <c r="F414" s="3" t="s">
        <v>525</v>
      </c>
      <c r="G414" s="3" t="s">
        <v>526</v>
      </c>
      <c r="H414" s="5">
        <v>4549</v>
      </c>
      <c r="I414" s="3" t="s">
        <v>11</v>
      </c>
    </row>
    <row r="415" spans="1:9" x14ac:dyDescent="0.35">
      <c r="A415" s="3">
        <v>103409386</v>
      </c>
      <c r="B415" s="3" t="s">
        <v>527</v>
      </c>
      <c r="C415" s="3" t="s">
        <v>9</v>
      </c>
      <c r="D415" s="3" t="s">
        <v>5</v>
      </c>
      <c r="E415" s="3" t="s">
        <v>10</v>
      </c>
      <c r="F415" s="3" t="s">
        <v>528</v>
      </c>
      <c r="G415" s="3" t="s">
        <v>529</v>
      </c>
      <c r="H415" s="4">
        <v>4504.1400000000003</v>
      </c>
      <c r="I415" s="3" t="s">
        <v>11</v>
      </c>
    </row>
    <row r="416" spans="1:9" x14ac:dyDescent="0.35">
      <c r="A416" s="3">
        <v>103409310</v>
      </c>
      <c r="B416" s="3" t="s">
        <v>530</v>
      </c>
      <c r="C416" s="3" t="s">
        <v>9</v>
      </c>
      <c r="D416" s="3" t="s">
        <v>5</v>
      </c>
      <c r="E416" s="3" t="s">
        <v>10</v>
      </c>
      <c r="F416" s="3" t="s">
        <v>531</v>
      </c>
      <c r="G416" s="3" t="s">
        <v>532</v>
      </c>
      <c r="H416" s="4">
        <v>2692.39</v>
      </c>
      <c r="I416" s="3" t="s">
        <v>11</v>
      </c>
    </row>
    <row r="417" spans="1:9" x14ac:dyDescent="0.35">
      <c r="A417" s="3">
        <v>103409383</v>
      </c>
      <c r="B417" s="3" t="s">
        <v>533</v>
      </c>
      <c r="C417" s="3" t="s">
        <v>9</v>
      </c>
      <c r="D417" s="3" t="s">
        <v>5</v>
      </c>
      <c r="E417" s="3" t="s">
        <v>10</v>
      </c>
      <c r="F417" s="3" t="s">
        <v>534</v>
      </c>
      <c r="G417" s="3" t="s">
        <v>535</v>
      </c>
      <c r="H417" s="5">
        <v>1379</v>
      </c>
      <c r="I417" s="3" t="s">
        <v>11</v>
      </c>
    </row>
    <row r="418" spans="1:9" x14ac:dyDescent="0.35">
      <c r="A418" s="3">
        <v>103409307</v>
      </c>
      <c r="B418" s="3" t="s">
        <v>536</v>
      </c>
      <c r="C418" s="3" t="s">
        <v>9</v>
      </c>
      <c r="D418" s="3" t="s">
        <v>5</v>
      </c>
      <c r="E418" s="3" t="s">
        <v>10</v>
      </c>
      <c r="F418" s="3" t="s">
        <v>537</v>
      </c>
      <c r="G418" s="3" t="s">
        <v>538</v>
      </c>
      <c r="H418" s="5">
        <v>1499</v>
      </c>
      <c r="I418" s="3" t="s">
        <v>11</v>
      </c>
    </row>
    <row r="419" spans="1:9" x14ac:dyDescent="0.35">
      <c r="A419" s="3">
        <v>103409306</v>
      </c>
      <c r="B419" s="3" t="s">
        <v>539</v>
      </c>
      <c r="C419" s="3" t="s">
        <v>9</v>
      </c>
      <c r="D419" s="3" t="s">
        <v>5</v>
      </c>
      <c r="E419" s="3" t="s">
        <v>12</v>
      </c>
      <c r="F419" s="3" t="s">
        <v>540</v>
      </c>
      <c r="G419" s="3" t="s">
        <v>541</v>
      </c>
      <c r="H419" s="5">
        <v>1498</v>
      </c>
      <c r="I419" s="3" t="s">
        <v>11</v>
      </c>
    </row>
    <row r="420" spans="1:9" x14ac:dyDescent="0.35">
      <c r="A420" s="3">
        <v>103409298</v>
      </c>
      <c r="B420" s="3" t="s">
        <v>542</v>
      </c>
      <c r="C420" s="3" t="s">
        <v>9</v>
      </c>
      <c r="D420" s="3" t="s">
        <v>5</v>
      </c>
      <c r="E420" s="3" t="s">
        <v>10</v>
      </c>
      <c r="F420" s="3" t="s">
        <v>543</v>
      </c>
      <c r="G420" s="3" t="s">
        <v>544</v>
      </c>
      <c r="H420" s="4">
        <v>2991.55</v>
      </c>
      <c r="I420" s="3" t="s">
        <v>11</v>
      </c>
    </row>
    <row r="421" spans="1:9" x14ac:dyDescent="0.35">
      <c r="A421" s="3">
        <v>103409297</v>
      </c>
      <c r="B421" s="3" t="s">
        <v>545</v>
      </c>
      <c r="C421" s="3" t="s">
        <v>9</v>
      </c>
      <c r="D421" s="3" t="s">
        <v>5</v>
      </c>
      <c r="E421" s="3" t="s">
        <v>10</v>
      </c>
      <c r="F421" s="3" t="s">
        <v>546</v>
      </c>
      <c r="G421" s="3" t="s">
        <v>547</v>
      </c>
      <c r="H421" s="4">
        <v>5556.55</v>
      </c>
      <c r="I421" s="3" t="s">
        <v>11</v>
      </c>
    </row>
    <row r="422" spans="1:9" x14ac:dyDescent="0.35">
      <c r="A422" s="3">
        <v>103409294</v>
      </c>
      <c r="B422" s="3" t="s">
        <v>548</v>
      </c>
      <c r="C422" s="3" t="s">
        <v>9</v>
      </c>
      <c r="D422" s="3" t="s">
        <v>5</v>
      </c>
      <c r="E422" s="3" t="s">
        <v>10</v>
      </c>
      <c r="F422" s="3" t="s">
        <v>549</v>
      </c>
      <c r="G422" s="3" t="s">
        <v>550</v>
      </c>
      <c r="H422" s="4">
        <v>2849.05</v>
      </c>
      <c r="I422" s="3" t="s">
        <v>11</v>
      </c>
    </row>
    <row r="423" spans="1:9" x14ac:dyDescent="0.35">
      <c r="A423" s="3">
        <v>103409373</v>
      </c>
      <c r="B423" s="3" t="s">
        <v>551</v>
      </c>
      <c r="C423" s="3" t="s">
        <v>9</v>
      </c>
      <c r="D423" s="3" t="s">
        <v>5</v>
      </c>
      <c r="E423" s="3" t="s">
        <v>10</v>
      </c>
      <c r="F423" s="3" t="s">
        <v>331</v>
      </c>
      <c r="G423" s="3" t="s">
        <v>332</v>
      </c>
      <c r="H423" s="5">
        <v>3067</v>
      </c>
      <c r="I423" s="3" t="s">
        <v>11</v>
      </c>
    </row>
    <row r="424" spans="1:9" x14ac:dyDescent="0.35">
      <c r="A424" s="3">
        <v>103409291</v>
      </c>
      <c r="B424" s="3" t="s">
        <v>552</v>
      </c>
      <c r="C424" s="3" t="s">
        <v>9</v>
      </c>
      <c r="D424" s="3" t="s">
        <v>5</v>
      </c>
      <c r="E424" s="3" t="s">
        <v>10</v>
      </c>
      <c r="F424" s="3" t="s">
        <v>553</v>
      </c>
      <c r="G424" s="3" t="s">
        <v>554</v>
      </c>
      <c r="H424" s="3">
        <v>464.55</v>
      </c>
      <c r="I424" s="3" t="s">
        <v>11</v>
      </c>
    </row>
    <row r="425" spans="1:9" x14ac:dyDescent="0.35">
      <c r="A425" s="3">
        <v>103409369</v>
      </c>
      <c r="B425" s="3" t="s">
        <v>555</v>
      </c>
      <c r="C425" s="3" t="s">
        <v>9</v>
      </c>
      <c r="D425" s="3" t="s">
        <v>5</v>
      </c>
      <c r="E425" s="3" t="s">
        <v>10</v>
      </c>
      <c r="F425" s="3" t="s">
        <v>556</v>
      </c>
      <c r="G425" s="3" t="s">
        <v>557</v>
      </c>
      <c r="H425" s="3">
        <v>969</v>
      </c>
      <c r="I425" s="3" t="s">
        <v>11</v>
      </c>
    </row>
    <row r="426" spans="1:9" x14ac:dyDescent="0.35">
      <c r="A426" s="3">
        <v>103409366</v>
      </c>
      <c r="B426" s="3" t="s">
        <v>558</v>
      </c>
      <c r="C426" s="3" t="s">
        <v>9</v>
      </c>
      <c r="D426" s="3" t="s">
        <v>5</v>
      </c>
      <c r="E426" s="3" t="s">
        <v>10</v>
      </c>
      <c r="F426" s="3" t="s">
        <v>559</v>
      </c>
      <c r="G426" s="3" t="s">
        <v>560</v>
      </c>
      <c r="H426" s="5">
        <v>1199</v>
      </c>
      <c r="I426" s="3" t="s">
        <v>11</v>
      </c>
    </row>
    <row r="427" spans="1:9" x14ac:dyDescent="0.35">
      <c r="A427" s="3">
        <v>103409289</v>
      </c>
      <c r="B427" s="3" t="s">
        <v>561</v>
      </c>
      <c r="C427" s="3" t="s">
        <v>9</v>
      </c>
      <c r="D427" s="3" t="s">
        <v>5</v>
      </c>
      <c r="E427" s="3" t="s">
        <v>10</v>
      </c>
      <c r="F427" s="3" t="s">
        <v>562</v>
      </c>
      <c r="G427" s="3" t="s">
        <v>563</v>
      </c>
      <c r="H427" s="3">
        <v>811.35</v>
      </c>
      <c r="I427" s="3" t="s">
        <v>11</v>
      </c>
    </row>
    <row r="428" spans="1:9" x14ac:dyDescent="0.35">
      <c r="A428" s="3">
        <v>103409262</v>
      </c>
      <c r="B428" s="3" t="s">
        <v>564</v>
      </c>
      <c r="C428" s="3" t="s">
        <v>9</v>
      </c>
      <c r="D428" s="3" t="s">
        <v>5</v>
      </c>
      <c r="E428" s="3" t="s">
        <v>12</v>
      </c>
      <c r="F428" s="3" t="s">
        <v>565</v>
      </c>
      <c r="G428" s="3" t="s">
        <v>566</v>
      </c>
      <c r="H428" s="3">
        <v>599</v>
      </c>
      <c r="I428" s="3" t="s">
        <v>11</v>
      </c>
    </row>
    <row r="429" spans="1:9" x14ac:dyDescent="0.35">
      <c r="A429" s="3">
        <v>103409287</v>
      </c>
      <c r="B429" s="3" t="s">
        <v>567</v>
      </c>
      <c r="C429" s="3" t="s">
        <v>9</v>
      </c>
      <c r="D429" s="3" t="s">
        <v>5</v>
      </c>
      <c r="E429" s="3" t="s">
        <v>10</v>
      </c>
      <c r="F429" s="3" t="s">
        <v>568</v>
      </c>
      <c r="G429" s="3" t="s">
        <v>569</v>
      </c>
      <c r="H429" s="4">
        <v>1804.1</v>
      </c>
      <c r="I429" s="3" t="s">
        <v>11</v>
      </c>
    </row>
    <row r="430" spans="1:9" x14ac:dyDescent="0.35">
      <c r="A430" s="3">
        <v>103409285</v>
      </c>
      <c r="B430" s="3" t="s">
        <v>570</v>
      </c>
      <c r="C430" s="3" t="s">
        <v>9</v>
      </c>
      <c r="D430" s="3" t="s">
        <v>5</v>
      </c>
      <c r="E430" s="3" t="s">
        <v>10</v>
      </c>
      <c r="F430" s="3" t="s">
        <v>571</v>
      </c>
      <c r="G430" s="3" t="s">
        <v>572</v>
      </c>
      <c r="H430" s="3">
        <v>999</v>
      </c>
      <c r="I430" s="3" t="s">
        <v>11</v>
      </c>
    </row>
    <row r="431" spans="1:9" x14ac:dyDescent="0.35">
      <c r="A431" s="3">
        <v>103409260</v>
      </c>
      <c r="B431" s="3" t="s">
        <v>573</v>
      </c>
      <c r="C431" s="3" t="s">
        <v>9</v>
      </c>
      <c r="D431" s="3" t="s">
        <v>5</v>
      </c>
      <c r="E431" s="3" t="s">
        <v>10</v>
      </c>
      <c r="F431" s="3" t="s">
        <v>574</v>
      </c>
      <c r="G431" s="3" t="s">
        <v>575</v>
      </c>
      <c r="H431" s="5">
        <v>5599</v>
      </c>
      <c r="I431" s="3" t="s">
        <v>11</v>
      </c>
    </row>
    <row r="432" spans="1:9" x14ac:dyDescent="0.35">
      <c r="A432" s="3">
        <v>103409259</v>
      </c>
      <c r="B432" s="3" t="s">
        <v>576</v>
      </c>
      <c r="C432" s="3" t="s">
        <v>9</v>
      </c>
      <c r="D432" s="3" t="s">
        <v>5</v>
      </c>
      <c r="E432" s="3" t="s">
        <v>10</v>
      </c>
      <c r="F432" s="3" t="s">
        <v>577</v>
      </c>
      <c r="G432" s="3" t="s">
        <v>578</v>
      </c>
      <c r="H432" s="4">
        <v>1424.05</v>
      </c>
      <c r="I432" s="3" t="s">
        <v>11</v>
      </c>
    </row>
    <row r="433" spans="1:9" x14ac:dyDescent="0.35">
      <c r="A433" s="3">
        <v>103409284</v>
      </c>
      <c r="B433" s="3" t="s">
        <v>579</v>
      </c>
      <c r="C433" s="3" t="s">
        <v>9</v>
      </c>
      <c r="D433" s="3" t="s">
        <v>5</v>
      </c>
      <c r="E433" s="3" t="s">
        <v>10</v>
      </c>
      <c r="F433" s="3" t="s">
        <v>580</v>
      </c>
      <c r="G433" s="3" t="s">
        <v>581</v>
      </c>
      <c r="H433" s="4">
        <v>8983.2000000000007</v>
      </c>
      <c r="I433" s="3" t="s">
        <v>11</v>
      </c>
    </row>
    <row r="434" spans="1:9" x14ac:dyDescent="0.35">
      <c r="A434" s="3">
        <v>103409283</v>
      </c>
      <c r="B434" s="3" t="s">
        <v>582</v>
      </c>
      <c r="C434" s="3" t="s">
        <v>9</v>
      </c>
      <c r="D434" s="3" t="s">
        <v>5</v>
      </c>
      <c r="E434" s="3" t="s">
        <v>10</v>
      </c>
      <c r="F434" s="3" t="s">
        <v>583</v>
      </c>
      <c r="G434" s="3" t="s">
        <v>584</v>
      </c>
      <c r="H434" s="5">
        <v>2469</v>
      </c>
      <c r="I434" s="3" t="s">
        <v>11</v>
      </c>
    </row>
    <row r="435" spans="1:9" x14ac:dyDescent="0.35">
      <c r="A435" s="3">
        <v>103409277</v>
      </c>
      <c r="B435" s="3" t="s">
        <v>585</v>
      </c>
      <c r="C435" s="3" t="s">
        <v>9</v>
      </c>
      <c r="D435" s="3" t="s">
        <v>5</v>
      </c>
      <c r="E435" s="3" t="s">
        <v>12</v>
      </c>
      <c r="F435" s="3" t="s">
        <v>586</v>
      </c>
      <c r="G435" s="3" t="s">
        <v>587</v>
      </c>
      <c r="H435" s="3">
        <v>825.55</v>
      </c>
      <c r="I435" s="3" t="s">
        <v>11</v>
      </c>
    </row>
    <row r="436" spans="1:9" x14ac:dyDescent="0.35">
      <c r="A436" s="3">
        <v>103409244</v>
      </c>
      <c r="B436" s="3" t="s">
        <v>588</v>
      </c>
      <c r="C436" s="3" t="s">
        <v>9</v>
      </c>
      <c r="D436" s="3" t="s">
        <v>5</v>
      </c>
      <c r="E436" s="3" t="s">
        <v>10</v>
      </c>
      <c r="F436" s="3" t="s">
        <v>589</v>
      </c>
      <c r="G436" s="3" t="s">
        <v>590</v>
      </c>
      <c r="H436" s="4">
        <v>1329.05</v>
      </c>
      <c r="I436" s="3" t="s">
        <v>11</v>
      </c>
    </row>
    <row r="437" spans="1:9" x14ac:dyDescent="0.35">
      <c r="A437" s="3">
        <v>103409273</v>
      </c>
      <c r="B437" s="3" t="s">
        <v>591</v>
      </c>
      <c r="C437" s="3" t="s">
        <v>9</v>
      </c>
      <c r="D437" s="3" t="s">
        <v>5</v>
      </c>
      <c r="E437" s="3" t="s">
        <v>10</v>
      </c>
      <c r="F437" s="3" t="s">
        <v>592</v>
      </c>
      <c r="G437" s="3" t="s">
        <v>593</v>
      </c>
      <c r="H437" s="4">
        <v>1709.05</v>
      </c>
      <c r="I437" s="3" t="s">
        <v>11</v>
      </c>
    </row>
    <row r="438" spans="1:9" x14ac:dyDescent="0.35">
      <c r="A438" s="3">
        <v>103409239</v>
      </c>
      <c r="B438" s="3" t="s">
        <v>594</v>
      </c>
      <c r="C438" s="3" t="s">
        <v>9</v>
      </c>
      <c r="D438" s="3" t="s">
        <v>5</v>
      </c>
      <c r="E438" s="3" t="s">
        <v>10</v>
      </c>
      <c r="F438" s="3" t="s">
        <v>595</v>
      </c>
      <c r="G438" s="3" t="s">
        <v>596</v>
      </c>
      <c r="H438" s="4">
        <v>1899.05</v>
      </c>
      <c r="I438" s="3" t="s">
        <v>11</v>
      </c>
    </row>
    <row r="439" spans="1:9" x14ac:dyDescent="0.35">
      <c r="A439" s="3">
        <v>103409237</v>
      </c>
      <c r="B439" s="3" t="s">
        <v>597</v>
      </c>
      <c r="C439" s="3" t="s">
        <v>9</v>
      </c>
      <c r="D439" s="3" t="s">
        <v>5</v>
      </c>
      <c r="E439" s="3" t="s">
        <v>10</v>
      </c>
      <c r="F439" s="3" t="s">
        <v>598</v>
      </c>
      <c r="G439" s="3" t="s">
        <v>599</v>
      </c>
      <c r="H439" s="5">
        <v>2398</v>
      </c>
      <c r="I439" s="3" t="s">
        <v>11</v>
      </c>
    </row>
    <row r="440" spans="1:9" x14ac:dyDescent="0.35">
      <c r="A440" s="3">
        <v>103409271</v>
      </c>
      <c r="B440" s="3" t="s">
        <v>600</v>
      </c>
      <c r="C440" s="3" t="s">
        <v>9</v>
      </c>
      <c r="D440" s="3" t="s">
        <v>5</v>
      </c>
      <c r="E440" s="3" t="s">
        <v>12</v>
      </c>
      <c r="F440" s="3" t="s">
        <v>601</v>
      </c>
      <c r="G440" s="3" t="s">
        <v>602</v>
      </c>
      <c r="H440" s="5">
        <v>1949</v>
      </c>
      <c r="I440" s="3" t="s">
        <v>11</v>
      </c>
    </row>
    <row r="441" spans="1:9" x14ac:dyDescent="0.35">
      <c r="A441" s="3">
        <v>103409223</v>
      </c>
      <c r="B441" s="3" t="s">
        <v>603</v>
      </c>
      <c r="C441" s="3" t="s">
        <v>9</v>
      </c>
      <c r="D441" s="3" t="s">
        <v>5</v>
      </c>
      <c r="E441" s="3" t="s">
        <v>12</v>
      </c>
      <c r="F441" s="3" t="s">
        <v>604</v>
      </c>
      <c r="G441" s="3" t="s">
        <v>605</v>
      </c>
      <c r="H441" s="5">
        <v>4119</v>
      </c>
      <c r="I441" s="3" t="s">
        <v>11</v>
      </c>
    </row>
    <row r="442" spans="1:9" x14ac:dyDescent="0.35">
      <c r="A442" s="3">
        <v>103409267</v>
      </c>
      <c r="B442" s="3" t="s">
        <v>606</v>
      </c>
      <c r="C442" s="3" t="s">
        <v>9</v>
      </c>
      <c r="D442" s="3" t="s">
        <v>5</v>
      </c>
      <c r="E442" s="3" t="s">
        <v>12</v>
      </c>
      <c r="F442" s="3" t="s">
        <v>607</v>
      </c>
      <c r="G442" s="3" t="s">
        <v>608</v>
      </c>
      <c r="H442" s="5">
        <v>3599</v>
      </c>
      <c r="I442" s="3" t="s">
        <v>11</v>
      </c>
    </row>
    <row r="443" spans="1:9" x14ac:dyDescent="0.35">
      <c r="A443" s="3">
        <v>103409215</v>
      </c>
      <c r="B443" s="3" t="s">
        <v>609</v>
      </c>
      <c r="C443" s="3" t="s">
        <v>9</v>
      </c>
      <c r="D443" s="3" t="s">
        <v>5</v>
      </c>
      <c r="E443" s="3" t="s">
        <v>10</v>
      </c>
      <c r="F443" s="3" t="s">
        <v>610</v>
      </c>
      <c r="G443" s="3" t="s">
        <v>611</v>
      </c>
      <c r="H443" s="4">
        <v>2564.14</v>
      </c>
      <c r="I443" s="3" t="s">
        <v>11</v>
      </c>
    </row>
    <row r="444" spans="1:9" x14ac:dyDescent="0.35">
      <c r="A444" s="3">
        <v>103409211</v>
      </c>
      <c r="B444" s="3" t="s">
        <v>612</v>
      </c>
      <c r="C444" s="3" t="s">
        <v>9</v>
      </c>
      <c r="D444" s="3" t="s">
        <v>5</v>
      </c>
      <c r="E444" s="3" t="s">
        <v>10</v>
      </c>
      <c r="F444" s="3" t="s">
        <v>613</v>
      </c>
      <c r="G444" s="3" t="s">
        <v>614</v>
      </c>
      <c r="H444" s="4">
        <v>3324.05</v>
      </c>
      <c r="I444" s="3" t="s">
        <v>11</v>
      </c>
    </row>
    <row r="445" spans="1:9" x14ac:dyDescent="0.35">
      <c r="A445" s="3">
        <v>103409206</v>
      </c>
      <c r="B445" s="3" t="s">
        <v>615</v>
      </c>
      <c r="C445" s="3" t="s">
        <v>9</v>
      </c>
      <c r="D445" s="3" t="s">
        <v>5</v>
      </c>
      <c r="E445" s="3" t="s">
        <v>10</v>
      </c>
      <c r="F445" s="3" t="s">
        <v>616</v>
      </c>
      <c r="G445" s="3" t="s">
        <v>617</v>
      </c>
      <c r="H445" s="4">
        <v>3324.05</v>
      </c>
      <c r="I445" s="3" t="s">
        <v>11</v>
      </c>
    </row>
    <row r="446" spans="1:9" x14ac:dyDescent="0.35">
      <c r="A446" s="3">
        <v>103409203</v>
      </c>
      <c r="B446" s="3" t="s">
        <v>618</v>
      </c>
      <c r="C446" s="3" t="s">
        <v>9</v>
      </c>
      <c r="D446" s="3" t="s">
        <v>5</v>
      </c>
      <c r="E446" s="3" t="s">
        <v>10</v>
      </c>
      <c r="F446" s="3" t="s">
        <v>619</v>
      </c>
      <c r="G446" s="3" t="s">
        <v>620</v>
      </c>
      <c r="H446" s="4">
        <v>5399.1</v>
      </c>
      <c r="I446" s="3" t="s">
        <v>11</v>
      </c>
    </row>
    <row r="447" spans="1:9" x14ac:dyDescent="0.35">
      <c r="A447" s="3">
        <v>103409156</v>
      </c>
      <c r="B447" s="3" t="s">
        <v>621</v>
      </c>
      <c r="C447" s="3" t="s">
        <v>9</v>
      </c>
      <c r="D447" s="3" t="s">
        <v>5</v>
      </c>
      <c r="E447" s="3" t="s">
        <v>10</v>
      </c>
      <c r="F447" s="3" t="s">
        <v>622</v>
      </c>
      <c r="G447" s="3" t="s">
        <v>623</v>
      </c>
      <c r="H447" s="4">
        <v>1063.05</v>
      </c>
      <c r="I447" s="3" t="s">
        <v>11</v>
      </c>
    </row>
    <row r="448" spans="1:9" x14ac:dyDescent="0.35">
      <c r="A448" s="3">
        <v>103409200</v>
      </c>
      <c r="B448" s="3" t="s">
        <v>624</v>
      </c>
      <c r="C448" s="3" t="s">
        <v>9</v>
      </c>
      <c r="D448" s="3" t="s">
        <v>5</v>
      </c>
      <c r="E448" s="3" t="s">
        <v>10</v>
      </c>
      <c r="F448" s="3" t="s">
        <v>625</v>
      </c>
      <c r="G448" s="3" t="s">
        <v>626</v>
      </c>
      <c r="H448" s="5">
        <v>2799</v>
      </c>
      <c r="I448" s="3" t="s">
        <v>11</v>
      </c>
    </row>
    <row r="449" spans="1:9" x14ac:dyDescent="0.35">
      <c r="A449" s="3">
        <v>103409175</v>
      </c>
      <c r="B449" s="3" t="s">
        <v>627</v>
      </c>
      <c r="C449" s="3" t="s">
        <v>9</v>
      </c>
      <c r="D449" s="3" t="s">
        <v>5</v>
      </c>
      <c r="E449" s="3" t="s">
        <v>10</v>
      </c>
      <c r="F449" s="3" t="s">
        <v>628</v>
      </c>
      <c r="G449" s="3" t="s">
        <v>629</v>
      </c>
      <c r="H449" s="5">
        <v>1259</v>
      </c>
      <c r="I449" s="3" t="s">
        <v>11</v>
      </c>
    </row>
    <row r="450" spans="1:9" x14ac:dyDescent="0.35">
      <c r="A450" s="3">
        <v>103409135</v>
      </c>
      <c r="B450" s="3" t="s">
        <v>630</v>
      </c>
      <c r="C450" s="3" t="s">
        <v>9</v>
      </c>
      <c r="D450" s="3" t="s">
        <v>5</v>
      </c>
      <c r="E450" s="3" t="s">
        <v>10</v>
      </c>
      <c r="F450" s="3" t="s">
        <v>631</v>
      </c>
      <c r="G450" s="3" t="s">
        <v>632</v>
      </c>
      <c r="H450" s="3">
        <v>825.55</v>
      </c>
      <c r="I450" s="3" t="s">
        <v>11</v>
      </c>
    </row>
    <row r="451" spans="1:9" x14ac:dyDescent="0.35">
      <c r="A451" s="3">
        <v>103409171</v>
      </c>
      <c r="B451" s="3" t="s">
        <v>633</v>
      </c>
      <c r="C451" s="3" t="s">
        <v>9</v>
      </c>
      <c r="D451" s="3" t="s">
        <v>5</v>
      </c>
      <c r="E451" s="3" t="s">
        <v>10</v>
      </c>
      <c r="F451" s="3" t="s">
        <v>634</v>
      </c>
      <c r="G451" s="3" t="s">
        <v>635</v>
      </c>
      <c r="H451" s="5">
        <v>4999</v>
      </c>
      <c r="I451" s="3" t="s">
        <v>11</v>
      </c>
    </row>
    <row r="452" spans="1:9" x14ac:dyDescent="0.35">
      <c r="A452" s="3">
        <v>103409170</v>
      </c>
      <c r="B452" s="3" t="s">
        <v>636</v>
      </c>
      <c r="C452" s="3" t="s">
        <v>9</v>
      </c>
      <c r="D452" s="3" t="s">
        <v>5</v>
      </c>
      <c r="E452" s="3" t="s">
        <v>10</v>
      </c>
      <c r="F452" s="3" t="s">
        <v>637</v>
      </c>
      <c r="G452" s="3" t="s">
        <v>638</v>
      </c>
      <c r="H452" s="4">
        <v>1281.55</v>
      </c>
      <c r="I452" s="3" t="s">
        <v>11</v>
      </c>
    </row>
    <row r="453" spans="1:9" x14ac:dyDescent="0.35">
      <c r="A453" s="3">
        <v>103409167</v>
      </c>
      <c r="B453" s="3" t="s">
        <v>639</v>
      </c>
      <c r="C453" s="3" t="s">
        <v>9</v>
      </c>
      <c r="D453" s="3" t="s">
        <v>5</v>
      </c>
      <c r="E453" s="3" t="s">
        <v>10</v>
      </c>
      <c r="F453" s="3" t="s">
        <v>640</v>
      </c>
      <c r="G453" s="3" t="s">
        <v>641</v>
      </c>
      <c r="H453" s="4">
        <v>2749.45</v>
      </c>
      <c r="I453" s="3" t="s">
        <v>11</v>
      </c>
    </row>
    <row r="454" spans="1:9" x14ac:dyDescent="0.35">
      <c r="A454" s="3">
        <v>103409064</v>
      </c>
      <c r="B454" s="3" t="s">
        <v>642</v>
      </c>
      <c r="C454" s="3" t="s">
        <v>9</v>
      </c>
      <c r="D454" s="3" t="s">
        <v>5</v>
      </c>
      <c r="E454" s="3" t="s">
        <v>10</v>
      </c>
      <c r="F454" s="3" t="s">
        <v>643</v>
      </c>
      <c r="G454" s="3" t="s">
        <v>644</v>
      </c>
      <c r="H454" s="5">
        <v>2099</v>
      </c>
      <c r="I454" s="3" t="s">
        <v>11</v>
      </c>
    </row>
    <row r="455" spans="1:9" x14ac:dyDescent="0.35">
      <c r="A455" s="3">
        <v>103409063</v>
      </c>
      <c r="B455" s="3" t="s">
        <v>645</v>
      </c>
      <c r="C455" s="3" t="s">
        <v>9</v>
      </c>
      <c r="D455" s="3" t="s">
        <v>5</v>
      </c>
      <c r="E455" s="3" t="s">
        <v>10</v>
      </c>
      <c r="F455" s="3" t="s">
        <v>646</v>
      </c>
      <c r="G455" s="3" t="s">
        <v>647</v>
      </c>
      <c r="H455" s="3">
        <v>669</v>
      </c>
      <c r="I455" s="3" t="s">
        <v>11</v>
      </c>
    </row>
    <row r="456" spans="1:9" x14ac:dyDescent="0.35">
      <c r="A456" s="3">
        <v>103409131</v>
      </c>
      <c r="B456" s="3" t="s">
        <v>648</v>
      </c>
      <c r="C456" s="3" t="s">
        <v>9</v>
      </c>
      <c r="D456" s="3" t="s">
        <v>5</v>
      </c>
      <c r="E456" s="3" t="s">
        <v>12</v>
      </c>
      <c r="F456" s="3" t="s">
        <v>649</v>
      </c>
      <c r="G456" s="3" t="s">
        <v>650</v>
      </c>
      <c r="H456" s="5">
        <v>1499</v>
      </c>
      <c r="I456" s="3" t="s">
        <v>11</v>
      </c>
    </row>
    <row r="457" spans="1:9" x14ac:dyDescent="0.35">
      <c r="A457" s="3">
        <v>103409059</v>
      </c>
      <c r="B457" s="3" t="s">
        <v>651</v>
      </c>
      <c r="C457" s="3" t="s">
        <v>9</v>
      </c>
      <c r="D457" s="3" t="s">
        <v>5</v>
      </c>
      <c r="E457" s="3" t="s">
        <v>10</v>
      </c>
      <c r="F457" s="3" t="s">
        <v>652</v>
      </c>
      <c r="G457" s="3" t="s">
        <v>653</v>
      </c>
      <c r="H457" s="5">
        <v>1799</v>
      </c>
      <c r="I457" s="3" t="s">
        <v>11</v>
      </c>
    </row>
    <row r="458" spans="1:9" x14ac:dyDescent="0.35">
      <c r="A458" s="3">
        <v>103409129</v>
      </c>
      <c r="B458" s="3" t="s">
        <v>654</v>
      </c>
      <c r="C458" s="3" t="s">
        <v>9</v>
      </c>
      <c r="D458" s="3" t="s">
        <v>5</v>
      </c>
      <c r="E458" s="3" t="s">
        <v>10</v>
      </c>
      <c r="F458" s="3" t="s">
        <v>655</v>
      </c>
      <c r="G458" s="3" t="s">
        <v>656</v>
      </c>
      <c r="H458" s="3">
        <v>819</v>
      </c>
      <c r="I458" s="3" t="s">
        <v>11</v>
      </c>
    </row>
    <row r="459" spans="1:9" x14ac:dyDescent="0.35">
      <c r="A459" s="3">
        <v>103409056</v>
      </c>
      <c r="B459" s="3" t="s">
        <v>657</v>
      </c>
      <c r="C459" s="3" t="s">
        <v>9</v>
      </c>
      <c r="D459" s="3" t="s">
        <v>5</v>
      </c>
      <c r="E459" s="3" t="s">
        <v>10</v>
      </c>
      <c r="F459" s="3" t="s">
        <v>658</v>
      </c>
      <c r="G459" s="3" t="s">
        <v>659</v>
      </c>
      <c r="H459" s="3">
        <v>519</v>
      </c>
      <c r="I459" s="3" t="s">
        <v>11</v>
      </c>
    </row>
    <row r="460" spans="1:9" x14ac:dyDescent="0.35">
      <c r="A460" s="3">
        <v>103409055</v>
      </c>
      <c r="B460" s="3" t="s">
        <v>660</v>
      </c>
      <c r="C460" s="3" t="s">
        <v>9</v>
      </c>
      <c r="D460" s="3" t="s">
        <v>5</v>
      </c>
      <c r="E460" s="3" t="s">
        <v>10</v>
      </c>
      <c r="F460" s="3" t="s">
        <v>661</v>
      </c>
      <c r="G460" s="3" t="s">
        <v>662</v>
      </c>
      <c r="H460" s="5">
        <v>3849</v>
      </c>
      <c r="I460" s="3" t="s">
        <v>11</v>
      </c>
    </row>
    <row r="461" spans="1:9" x14ac:dyDescent="0.35">
      <c r="A461" s="3">
        <v>103409053</v>
      </c>
      <c r="B461" s="3" t="s">
        <v>663</v>
      </c>
      <c r="C461" s="3" t="s">
        <v>9</v>
      </c>
      <c r="D461" s="3" t="s">
        <v>5</v>
      </c>
      <c r="E461" s="3" t="s">
        <v>10</v>
      </c>
      <c r="F461" s="3" t="s">
        <v>664</v>
      </c>
      <c r="G461" s="3" t="s">
        <v>665</v>
      </c>
      <c r="H461" s="4">
        <v>3149.1</v>
      </c>
      <c r="I461" s="3" t="s">
        <v>11</v>
      </c>
    </row>
    <row r="462" spans="1:9" x14ac:dyDescent="0.35">
      <c r="A462" s="3">
        <v>103409127</v>
      </c>
      <c r="B462" s="3" t="s">
        <v>666</v>
      </c>
      <c r="C462" s="3" t="s">
        <v>9</v>
      </c>
      <c r="D462" s="3" t="s">
        <v>5</v>
      </c>
      <c r="E462" s="3" t="s">
        <v>10</v>
      </c>
      <c r="F462" s="3" t="s">
        <v>667</v>
      </c>
      <c r="G462" s="3" t="s">
        <v>668</v>
      </c>
      <c r="H462" s="4">
        <v>1343.82</v>
      </c>
      <c r="I462" s="3" t="s">
        <v>11</v>
      </c>
    </row>
    <row r="463" spans="1:9" x14ac:dyDescent="0.35">
      <c r="A463" s="3">
        <v>103409049</v>
      </c>
      <c r="B463" s="3" t="s">
        <v>669</v>
      </c>
      <c r="C463" s="3" t="s">
        <v>9</v>
      </c>
      <c r="D463" s="3" t="s">
        <v>5</v>
      </c>
      <c r="E463" s="3" t="s">
        <v>10</v>
      </c>
      <c r="F463" s="3" t="s">
        <v>670</v>
      </c>
      <c r="G463" s="3" t="s">
        <v>671</v>
      </c>
      <c r="H463" s="4">
        <v>3324.05</v>
      </c>
      <c r="I463" s="3" t="s">
        <v>11</v>
      </c>
    </row>
    <row r="464" spans="1:9" x14ac:dyDescent="0.35">
      <c r="A464" s="3">
        <v>103409047</v>
      </c>
      <c r="B464" s="3" t="s">
        <v>672</v>
      </c>
      <c r="C464" s="3" t="s">
        <v>9</v>
      </c>
      <c r="D464" s="3" t="s">
        <v>5</v>
      </c>
      <c r="E464" s="3" t="s">
        <v>10</v>
      </c>
      <c r="F464" s="3" t="s">
        <v>673</v>
      </c>
      <c r="G464" s="3" t="s">
        <v>674</v>
      </c>
      <c r="H464" s="4">
        <v>1682.1</v>
      </c>
      <c r="I464" s="3" t="s">
        <v>11</v>
      </c>
    </row>
    <row r="465" spans="1:9" x14ac:dyDescent="0.35">
      <c r="A465" s="3">
        <v>103409045</v>
      </c>
      <c r="B465" s="3" t="s">
        <v>675</v>
      </c>
      <c r="C465" s="3" t="s">
        <v>9</v>
      </c>
      <c r="D465" s="3" t="s">
        <v>5</v>
      </c>
      <c r="E465" s="3" t="s">
        <v>12</v>
      </c>
      <c r="F465" s="3" t="s">
        <v>676</v>
      </c>
      <c r="G465" s="3" t="s">
        <v>677</v>
      </c>
      <c r="H465" s="5">
        <v>3899</v>
      </c>
      <c r="I465" s="3" t="s">
        <v>11</v>
      </c>
    </row>
    <row r="466" spans="1:9" x14ac:dyDescent="0.35">
      <c r="A466" s="3">
        <v>103409122</v>
      </c>
      <c r="B466" s="3" t="s">
        <v>678</v>
      </c>
      <c r="C466" s="3" t="s">
        <v>9</v>
      </c>
      <c r="D466" s="3" t="s">
        <v>5</v>
      </c>
      <c r="E466" s="3" t="s">
        <v>10</v>
      </c>
      <c r="F466" s="3" t="s">
        <v>679</v>
      </c>
      <c r="G466" s="3" t="s">
        <v>680</v>
      </c>
      <c r="H466" s="4">
        <v>4859.1000000000004</v>
      </c>
      <c r="I466" s="3" t="s">
        <v>11</v>
      </c>
    </row>
    <row r="467" spans="1:9" x14ac:dyDescent="0.35">
      <c r="A467" s="3">
        <v>103409121</v>
      </c>
      <c r="B467" s="3" t="s">
        <v>681</v>
      </c>
      <c r="C467" s="3" t="s">
        <v>9</v>
      </c>
      <c r="D467" s="3" t="s">
        <v>5</v>
      </c>
      <c r="E467" s="3" t="s">
        <v>10</v>
      </c>
      <c r="F467" s="3" t="s">
        <v>682</v>
      </c>
      <c r="G467" s="3" t="s">
        <v>683</v>
      </c>
      <c r="H467" s="4">
        <v>1281.55</v>
      </c>
      <c r="I467" s="3" t="s">
        <v>11</v>
      </c>
    </row>
    <row r="468" spans="1:9" x14ac:dyDescent="0.35">
      <c r="A468" s="3">
        <v>103409119</v>
      </c>
      <c r="B468" s="3" t="s">
        <v>684</v>
      </c>
      <c r="C468" s="3" t="s">
        <v>9</v>
      </c>
      <c r="D468" s="3" t="s">
        <v>5</v>
      </c>
      <c r="E468" s="3" t="s">
        <v>10</v>
      </c>
      <c r="F468" s="3" t="s">
        <v>685</v>
      </c>
      <c r="G468" s="3" t="s">
        <v>686</v>
      </c>
      <c r="H468" s="5">
        <v>5849</v>
      </c>
      <c r="I468" s="3" t="s">
        <v>11</v>
      </c>
    </row>
    <row r="469" spans="1:9" x14ac:dyDescent="0.35">
      <c r="A469" s="3">
        <v>103409114</v>
      </c>
      <c r="B469" s="3" t="s">
        <v>687</v>
      </c>
      <c r="C469" s="3" t="s">
        <v>9</v>
      </c>
      <c r="D469" s="3" t="s">
        <v>5</v>
      </c>
      <c r="E469" s="3" t="s">
        <v>10</v>
      </c>
      <c r="F469" s="3" t="s">
        <v>688</v>
      </c>
      <c r="G469" s="3" t="s">
        <v>689</v>
      </c>
      <c r="H469" s="4">
        <v>7061.35</v>
      </c>
      <c r="I469" s="3" t="s">
        <v>11</v>
      </c>
    </row>
    <row r="470" spans="1:9" x14ac:dyDescent="0.35">
      <c r="A470" s="3">
        <v>103409037</v>
      </c>
      <c r="B470" s="3" t="s">
        <v>690</v>
      </c>
      <c r="C470" s="3" t="s">
        <v>9</v>
      </c>
      <c r="D470" s="3" t="s">
        <v>5</v>
      </c>
      <c r="E470" s="3" t="s">
        <v>12</v>
      </c>
      <c r="F470" s="3" t="s">
        <v>691</v>
      </c>
      <c r="G470" s="3" t="s">
        <v>692</v>
      </c>
      <c r="H470" s="5">
        <v>2749</v>
      </c>
      <c r="I470" s="3" t="s">
        <v>11</v>
      </c>
    </row>
    <row r="471" spans="1:9" x14ac:dyDescent="0.35">
      <c r="A471" s="3">
        <v>103409036</v>
      </c>
      <c r="B471" s="3" t="s">
        <v>693</v>
      </c>
      <c r="C471" s="3" t="s">
        <v>9</v>
      </c>
      <c r="D471" s="3" t="s">
        <v>5</v>
      </c>
      <c r="E471" s="3" t="s">
        <v>10</v>
      </c>
      <c r="F471" s="3" t="s">
        <v>694</v>
      </c>
      <c r="G471" s="3" t="s">
        <v>695</v>
      </c>
      <c r="H471" s="4">
        <v>2849.05</v>
      </c>
      <c r="I471" s="3" t="s">
        <v>11</v>
      </c>
    </row>
    <row r="472" spans="1:9" x14ac:dyDescent="0.35">
      <c r="A472" s="3">
        <v>103409113</v>
      </c>
      <c r="B472" s="3" t="s">
        <v>696</v>
      </c>
      <c r="C472" s="3" t="s">
        <v>9</v>
      </c>
      <c r="D472" s="3" t="s">
        <v>5</v>
      </c>
      <c r="E472" s="3" t="s">
        <v>10</v>
      </c>
      <c r="F472" s="3" t="s">
        <v>697</v>
      </c>
      <c r="G472" s="3" t="s">
        <v>698</v>
      </c>
      <c r="H472" s="4">
        <v>2990.6</v>
      </c>
      <c r="I472" s="3" t="s">
        <v>11</v>
      </c>
    </row>
    <row r="473" spans="1:9" x14ac:dyDescent="0.35">
      <c r="A473" s="3">
        <v>103409034</v>
      </c>
      <c r="B473" s="3" t="s">
        <v>699</v>
      </c>
      <c r="C473" s="3" t="s">
        <v>9</v>
      </c>
      <c r="D473" s="3" t="s">
        <v>5</v>
      </c>
      <c r="E473" s="3" t="s">
        <v>12</v>
      </c>
      <c r="F473" s="3" t="s">
        <v>700</v>
      </c>
      <c r="G473" s="3" t="s">
        <v>701</v>
      </c>
      <c r="H473" s="3">
        <v>759.05</v>
      </c>
      <c r="I473" s="3" t="s">
        <v>11</v>
      </c>
    </row>
    <row r="474" spans="1:9" x14ac:dyDescent="0.35">
      <c r="A474" s="3">
        <v>103409105</v>
      </c>
      <c r="B474" s="3" t="s">
        <v>702</v>
      </c>
      <c r="C474" s="3" t="s">
        <v>9</v>
      </c>
      <c r="D474" s="3" t="s">
        <v>5</v>
      </c>
      <c r="E474" s="3" t="s">
        <v>10</v>
      </c>
      <c r="F474" s="3" t="s">
        <v>703</v>
      </c>
      <c r="G474" s="3" t="s">
        <v>704</v>
      </c>
      <c r="H474" s="4">
        <v>1851.55</v>
      </c>
      <c r="I474" s="3" t="s">
        <v>11</v>
      </c>
    </row>
    <row r="475" spans="1:9" x14ac:dyDescent="0.35">
      <c r="A475" s="3">
        <v>103409104</v>
      </c>
      <c r="B475" s="3" t="s">
        <v>705</v>
      </c>
      <c r="C475" s="3" t="s">
        <v>9</v>
      </c>
      <c r="D475" s="3" t="s">
        <v>5</v>
      </c>
      <c r="E475" s="3" t="s">
        <v>10</v>
      </c>
      <c r="F475" s="3" t="s">
        <v>706</v>
      </c>
      <c r="G475" s="3" t="s">
        <v>707</v>
      </c>
      <c r="H475" s="4">
        <v>1310.05</v>
      </c>
      <c r="I475" s="3" t="s">
        <v>11</v>
      </c>
    </row>
    <row r="476" spans="1:9" x14ac:dyDescent="0.35">
      <c r="A476" s="3">
        <v>103409022</v>
      </c>
      <c r="B476" s="3" t="s">
        <v>708</v>
      </c>
      <c r="C476" s="3" t="s">
        <v>9</v>
      </c>
      <c r="D476" s="3" t="s">
        <v>5</v>
      </c>
      <c r="E476" s="3" t="s">
        <v>10</v>
      </c>
      <c r="F476" s="3" t="s">
        <v>709</v>
      </c>
      <c r="G476" s="3" t="s">
        <v>710</v>
      </c>
      <c r="H476" s="5">
        <v>3566</v>
      </c>
      <c r="I476" s="3" t="s">
        <v>11</v>
      </c>
    </row>
    <row r="477" spans="1:9" x14ac:dyDescent="0.35">
      <c r="A477" s="3">
        <v>103409021</v>
      </c>
      <c r="B477" s="3" t="s">
        <v>711</v>
      </c>
      <c r="C477" s="3" t="s">
        <v>9</v>
      </c>
      <c r="D477" s="3" t="s">
        <v>5</v>
      </c>
      <c r="E477" s="3" t="s">
        <v>12</v>
      </c>
      <c r="F477" s="3" t="s">
        <v>712</v>
      </c>
      <c r="G477" s="3" t="s">
        <v>713</v>
      </c>
      <c r="H477" s="3">
        <v>329</v>
      </c>
      <c r="I477" s="3" t="s">
        <v>11</v>
      </c>
    </row>
    <row r="478" spans="1:9" x14ac:dyDescent="0.35">
      <c r="A478" s="3">
        <v>103409100</v>
      </c>
      <c r="B478" s="3" t="s">
        <v>714</v>
      </c>
      <c r="C478" s="3" t="s">
        <v>9</v>
      </c>
      <c r="D478" s="3" t="s">
        <v>5</v>
      </c>
      <c r="E478" s="3" t="s">
        <v>10</v>
      </c>
      <c r="F478" s="3" t="s">
        <v>715</v>
      </c>
      <c r="G478" s="3" t="s">
        <v>716</v>
      </c>
      <c r="H478" s="5">
        <v>1499</v>
      </c>
      <c r="I478" s="3" t="s">
        <v>11</v>
      </c>
    </row>
    <row r="479" spans="1:9" x14ac:dyDescent="0.35">
      <c r="A479" s="3">
        <v>103409020</v>
      </c>
      <c r="B479" s="3" t="s">
        <v>717</v>
      </c>
      <c r="C479" s="3" t="s">
        <v>9</v>
      </c>
      <c r="D479" s="3" t="s">
        <v>5</v>
      </c>
      <c r="E479" s="3" t="s">
        <v>10</v>
      </c>
      <c r="F479" s="3" t="s">
        <v>718</v>
      </c>
      <c r="G479" s="3" t="s">
        <v>719</v>
      </c>
      <c r="H479" s="4">
        <v>2239.2399999999998</v>
      </c>
      <c r="I479" s="3" t="s">
        <v>11</v>
      </c>
    </row>
    <row r="480" spans="1:9" x14ac:dyDescent="0.35">
      <c r="A480" s="3">
        <v>103409018</v>
      </c>
      <c r="B480" s="3" t="s">
        <v>720</v>
      </c>
      <c r="C480" s="3" t="s">
        <v>9</v>
      </c>
      <c r="D480" s="3" t="s">
        <v>5</v>
      </c>
      <c r="E480" s="3" t="s">
        <v>10</v>
      </c>
      <c r="F480" s="3" t="s">
        <v>721</v>
      </c>
      <c r="G480" s="3" t="s">
        <v>722</v>
      </c>
      <c r="H480" s="4">
        <v>2469.0500000000002</v>
      </c>
      <c r="I480" s="3" t="s">
        <v>11</v>
      </c>
    </row>
    <row r="481" spans="1:9" x14ac:dyDescent="0.35">
      <c r="A481" s="3">
        <v>103409094</v>
      </c>
      <c r="B481" s="3" t="s">
        <v>723</v>
      </c>
      <c r="C481" s="3" t="s">
        <v>9</v>
      </c>
      <c r="D481" s="3" t="s">
        <v>5</v>
      </c>
      <c r="E481" s="3" t="s">
        <v>10</v>
      </c>
      <c r="F481" s="3" t="s">
        <v>724</v>
      </c>
      <c r="G481" s="3" t="s">
        <v>725</v>
      </c>
      <c r="H481" s="3">
        <v>768.55</v>
      </c>
      <c r="I481" s="3" t="s">
        <v>11</v>
      </c>
    </row>
    <row r="482" spans="1:9" x14ac:dyDescent="0.35">
      <c r="A482" s="3">
        <v>103409093</v>
      </c>
      <c r="B482" s="3" t="s">
        <v>726</v>
      </c>
      <c r="C482" s="3" t="s">
        <v>9</v>
      </c>
      <c r="D482" s="3" t="s">
        <v>5</v>
      </c>
      <c r="E482" s="3" t="s">
        <v>10</v>
      </c>
      <c r="F482" s="3" t="s">
        <v>727</v>
      </c>
      <c r="G482" s="3" t="s">
        <v>728</v>
      </c>
      <c r="H482" s="4">
        <v>1329.05</v>
      </c>
      <c r="I482" s="3" t="s">
        <v>11</v>
      </c>
    </row>
    <row r="483" spans="1:9" x14ac:dyDescent="0.35">
      <c r="A483" s="3">
        <v>103409017</v>
      </c>
      <c r="B483" s="3" t="s">
        <v>729</v>
      </c>
      <c r="C483" s="3" t="s">
        <v>9</v>
      </c>
      <c r="D483" s="3" t="s">
        <v>5</v>
      </c>
      <c r="E483" s="3" t="s">
        <v>12</v>
      </c>
      <c r="F483" s="3" t="s">
        <v>730</v>
      </c>
      <c r="G483" s="3" t="s">
        <v>731</v>
      </c>
      <c r="H483" s="4">
        <v>2278.1</v>
      </c>
      <c r="I483" s="3" t="s">
        <v>11</v>
      </c>
    </row>
    <row r="484" spans="1:9" x14ac:dyDescent="0.35">
      <c r="A484" s="3">
        <v>103409089</v>
      </c>
      <c r="B484" s="3" t="s">
        <v>732</v>
      </c>
      <c r="C484" s="3" t="s">
        <v>9</v>
      </c>
      <c r="D484" s="3" t="s">
        <v>5</v>
      </c>
      <c r="E484" s="3" t="s">
        <v>10</v>
      </c>
      <c r="F484" s="3" t="s">
        <v>733</v>
      </c>
      <c r="G484" s="3" t="s">
        <v>734</v>
      </c>
      <c r="H484" s="3">
        <v>635.54999999999995</v>
      </c>
      <c r="I484" s="3" t="s">
        <v>11</v>
      </c>
    </row>
    <row r="485" spans="1:9" x14ac:dyDescent="0.35">
      <c r="A485" s="3">
        <v>103409083</v>
      </c>
      <c r="B485" s="3" t="s">
        <v>735</v>
      </c>
      <c r="C485" s="3" t="s">
        <v>9</v>
      </c>
      <c r="D485" s="3" t="s">
        <v>5</v>
      </c>
      <c r="E485" s="3" t="s">
        <v>10</v>
      </c>
      <c r="F485" s="3" t="s">
        <v>736</v>
      </c>
      <c r="G485" s="3" t="s">
        <v>737</v>
      </c>
      <c r="H485" s="3">
        <v>779</v>
      </c>
      <c r="I485" s="3" t="s">
        <v>11</v>
      </c>
    </row>
    <row r="486" spans="1:9" x14ac:dyDescent="0.35">
      <c r="A486" s="3">
        <v>103409012</v>
      </c>
      <c r="B486" s="3" t="s">
        <v>738</v>
      </c>
      <c r="C486" s="3" t="s">
        <v>9</v>
      </c>
      <c r="D486" s="3" t="s">
        <v>5</v>
      </c>
      <c r="E486" s="3" t="s">
        <v>10</v>
      </c>
      <c r="F486" s="3" t="s">
        <v>739</v>
      </c>
      <c r="G486" s="3" t="s">
        <v>740</v>
      </c>
      <c r="H486" s="4">
        <v>1079.0999999999999</v>
      </c>
      <c r="I486" s="3" t="s">
        <v>11</v>
      </c>
    </row>
    <row r="487" spans="1:9" x14ac:dyDescent="0.35">
      <c r="A487" s="3">
        <v>103409009</v>
      </c>
      <c r="B487" s="3" t="s">
        <v>741</v>
      </c>
      <c r="C487" s="3" t="s">
        <v>9</v>
      </c>
      <c r="D487" s="3" t="s">
        <v>5</v>
      </c>
      <c r="E487" s="3" t="s">
        <v>10</v>
      </c>
      <c r="F487" s="3" t="s">
        <v>742</v>
      </c>
      <c r="G487" s="3" t="s">
        <v>743</v>
      </c>
      <c r="H487" s="4">
        <v>2868.05</v>
      </c>
      <c r="I487" s="3" t="s">
        <v>11</v>
      </c>
    </row>
    <row r="488" spans="1:9" x14ac:dyDescent="0.35">
      <c r="A488" s="3">
        <v>103409074</v>
      </c>
      <c r="B488" s="3" t="s">
        <v>744</v>
      </c>
      <c r="C488" s="3" t="s">
        <v>9</v>
      </c>
      <c r="D488" s="3" t="s">
        <v>5</v>
      </c>
      <c r="E488" s="3" t="s">
        <v>10</v>
      </c>
      <c r="F488" s="3" t="s">
        <v>745</v>
      </c>
      <c r="G488" s="3" t="s">
        <v>746</v>
      </c>
      <c r="H488" s="3">
        <v>699</v>
      </c>
      <c r="I488" s="3" t="s">
        <v>11</v>
      </c>
    </row>
    <row r="489" spans="1:9" x14ac:dyDescent="0.35">
      <c r="A489" s="3">
        <v>103409003</v>
      </c>
      <c r="B489" s="3" t="s">
        <v>747</v>
      </c>
      <c r="C489" s="3" t="s">
        <v>9</v>
      </c>
      <c r="D489" s="3" t="s">
        <v>5</v>
      </c>
      <c r="E489" s="3" t="s">
        <v>10</v>
      </c>
      <c r="F489" s="3" t="s">
        <v>748</v>
      </c>
      <c r="G489" s="3" t="s">
        <v>749</v>
      </c>
      <c r="H489" s="4">
        <v>1310.05</v>
      </c>
      <c r="I489" s="3" t="s">
        <v>11</v>
      </c>
    </row>
    <row r="490" spans="1:9" x14ac:dyDescent="0.35">
      <c r="A490" s="3">
        <v>103408996</v>
      </c>
      <c r="B490" s="3" t="s">
        <v>750</v>
      </c>
      <c r="C490" s="3" t="s">
        <v>9</v>
      </c>
      <c r="D490" s="3" t="s">
        <v>5</v>
      </c>
      <c r="E490" s="3" t="s">
        <v>10</v>
      </c>
      <c r="F490" s="3" t="s">
        <v>751</v>
      </c>
      <c r="G490" s="3" t="s">
        <v>752</v>
      </c>
      <c r="H490" s="4">
        <v>2279.0500000000002</v>
      </c>
      <c r="I490" s="3" t="s">
        <v>11</v>
      </c>
    </row>
    <row r="491" spans="1:9" x14ac:dyDescent="0.35">
      <c r="A491" s="3">
        <v>103408992</v>
      </c>
      <c r="B491" s="3" t="s">
        <v>753</v>
      </c>
      <c r="C491" s="3" t="s">
        <v>9</v>
      </c>
      <c r="D491" s="3" t="s">
        <v>5</v>
      </c>
      <c r="E491" s="3" t="s">
        <v>10</v>
      </c>
      <c r="F491" s="3" t="s">
        <v>754</v>
      </c>
      <c r="G491" s="3" t="s">
        <v>755</v>
      </c>
      <c r="H491" s="4">
        <v>1698.6</v>
      </c>
      <c r="I491" s="3" t="s">
        <v>11</v>
      </c>
    </row>
    <row r="492" spans="1:9" x14ac:dyDescent="0.35">
      <c r="A492" s="3">
        <v>103409067</v>
      </c>
      <c r="B492" s="3" t="s">
        <v>756</v>
      </c>
      <c r="C492" s="3" t="s">
        <v>9</v>
      </c>
      <c r="D492" s="3" t="s">
        <v>5</v>
      </c>
      <c r="E492" s="3" t="s">
        <v>10</v>
      </c>
      <c r="F492" s="3" t="s">
        <v>757</v>
      </c>
      <c r="G492" s="3" t="s">
        <v>758</v>
      </c>
      <c r="H492" s="4">
        <v>2041.55</v>
      </c>
      <c r="I492" s="3" t="s">
        <v>11</v>
      </c>
    </row>
    <row r="493" spans="1:9" x14ac:dyDescent="0.35">
      <c r="A493" s="3">
        <v>103408989</v>
      </c>
      <c r="B493" s="3" t="s">
        <v>759</v>
      </c>
      <c r="C493" s="3" t="s">
        <v>9</v>
      </c>
      <c r="D493" s="3" t="s">
        <v>5</v>
      </c>
      <c r="E493" s="3" t="s">
        <v>12</v>
      </c>
      <c r="F493" s="3" t="s">
        <v>760</v>
      </c>
      <c r="G493" s="3" t="s">
        <v>761</v>
      </c>
      <c r="H493" s="3">
        <v>869</v>
      </c>
      <c r="I493" s="3" t="s">
        <v>11</v>
      </c>
    </row>
    <row r="494" spans="1:9" x14ac:dyDescent="0.35">
      <c r="A494" s="3">
        <v>103408988</v>
      </c>
      <c r="B494" s="3" t="s">
        <v>762</v>
      </c>
      <c r="C494" s="3" t="s">
        <v>9</v>
      </c>
      <c r="D494" s="3" t="s">
        <v>5</v>
      </c>
      <c r="E494" s="3" t="s">
        <v>10</v>
      </c>
      <c r="F494" s="3" t="s">
        <v>763</v>
      </c>
      <c r="G494" s="3" t="s">
        <v>764</v>
      </c>
      <c r="H494" s="4">
        <v>3590.14</v>
      </c>
      <c r="I494" s="3" t="s">
        <v>11</v>
      </c>
    </row>
    <row r="495" spans="1:9" x14ac:dyDescent="0.35">
      <c r="A495" s="3">
        <v>103408986</v>
      </c>
      <c r="B495" s="3" t="s">
        <v>765</v>
      </c>
      <c r="C495" s="3" t="s">
        <v>9</v>
      </c>
      <c r="D495" s="3" t="s">
        <v>5</v>
      </c>
      <c r="E495" s="3" t="s">
        <v>10</v>
      </c>
      <c r="F495" s="3" t="s">
        <v>766</v>
      </c>
      <c r="G495" s="3" t="s">
        <v>767</v>
      </c>
      <c r="H495" s="3">
        <v>920.55</v>
      </c>
      <c r="I495" s="3" t="s">
        <v>11</v>
      </c>
    </row>
    <row r="496" spans="1:9" x14ac:dyDescent="0.35">
      <c r="A496" s="3">
        <v>103408985</v>
      </c>
      <c r="B496" s="3" t="s">
        <v>768</v>
      </c>
      <c r="C496" s="3" t="s">
        <v>9</v>
      </c>
      <c r="D496" s="3" t="s">
        <v>5</v>
      </c>
      <c r="E496" s="3" t="s">
        <v>10</v>
      </c>
      <c r="F496" s="3" t="s">
        <v>769</v>
      </c>
      <c r="G496" s="3" t="s">
        <v>770</v>
      </c>
      <c r="H496" s="5">
        <v>1169</v>
      </c>
      <c r="I496" s="3" t="s">
        <v>11</v>
      </c>
    </row>
    <row r="497" spans="1:9" x14ac:dyDescent="0.35">
      <c r="A497" s="3">
        <v>103408984</v>
      </c>
      <c r="B497" s="3" t="s">
        <v>771</v>
      </c>
      <c r="C497" s="3" t="s">
        <v>9</v>
      </c>
      <c r="D497" s="3" t="s">
        <v>5</v>
      </c>
      <c r="E497" s="3" t="s">
        <v>10</v>
      </c>
      <c r="F497" s="3" t="s">
        <v>772</v>
      </c>
      <c r="G497" s="3" t="s">
        <v>773</v>
      </c>
      <c r="H497" s="5">
        <v>5599</v>
      </c>
      <c r="I497" s="3" t="s">
        <v>11</v>
      </c>
    </row>
    <row r="498" spans="1:9" x14ac:dyDescent="0.35">
      <c r="A498" s="3">
        <v>103409066</v>
      </c>
      <c r="B498" s="3" t="s">
        <v>774</v>
      </c>
      <c r="C498" s="3" t="s">
        <v>9</v>
      </c>
      <c r="D498" s="3" t="s">
        <v>5</v>
      </c>
      <c r="E498" s="3" t="s">
        <v>10</v>
      </c>
      <c r="F498" s="3" t="s">
        <v>775</v>
      </c>
      <c r="G498" s="3" t="s">
        <v>776</v>
      </c>
      <c r="H498" s="3">
        <v>559</v>
      </c>
      <c r="I498" s="3" t="s">
        <v>11</v>
      </c>
    </row>
    <row r="499" spans="1:9" x14ac:dyDescent="0.35">
      <c r="A499" s="3">
        <v>103408983</v>
      </c>
      <c r="B499" s="3" t="s">
        <v>777</v>
      </c>
      <c r="C499" s="3" t="s">
        <v>9</v>
      </c>
      <c r="D499" s="3" t="s">
        <v>5</v>
      </c>
      <c r="E499" s="3" t="s">
        <v>10</v>
      </c>
      <c r="F499" s="3" t="s">
        <v>778</v>
      </c>
      <c r="G499" s="3" t="s">
        <v>779</v>
      </c>
      <c r="H499" s="5">
        <v>2078</v>
      </c>
      <c r="I499" s="3" t="s">
        <v>11</v>
      </c>
    </row>
    <row r="500" spans="1:9" x14ac:dyDescent="0.35">
      <c r="A500" s="3">
        <v>103409065</v>
      </c>
      <c r="B500" s="3" t="s">
        <v>780</v>
      </c>
      <c r="C500" s="3" t="s">
        <v>9</v>
      </c>
      <c r="D500" s="3" t="s">
        <v>5</v>
      </c>
      <c r="E500" s="3" t="s">
        <v>10</v>
      </c>
      <c r="F500" s="3" t="s">
        <v>781</v>
      </c>
      <c r="G500" s="3" t="s">
        <v>782</v>
      </c>
      <c r="H500" s="3">
        <v>969</v>
      </c>
      <c r="I500" s="3" t="s">
        <v>11</v>
      </c>
    </row>
    <row r="501" spans="1:9" x14ac:dyDescent="0.35">
      <c r="A501" s="3">
        <v>103408981</v>
      </c>
      <c r="B501" s="3" t="s">
        <v>783</v>
      </c>
      <c r="C501" s="3" t="s">
        <v>9</v>
      </c>
      <c r="D501" s="3" t="s">
        <v>5</v>
      </c>
      <c r="E501" s="3" t="s">
        <v>10</v>
      </c>
      <c r="F501" s="3" t="s">
        <v>784</v>
      </c>
      <c r="G501" s="3" t="s">
        <v>785</v>
      </c>
      <c r="H501" s="4">
        <v>3390.55</v>
      </c>
      <c r="I501" s="3" t="s">
        <v>11</v>
      </c>
    </row>
    <row r="502" spans="1:9" x14ac:dyDescent="0.35">
      <c r="A502" s="3">
        <v>103408963</v>
      </c>
      <c r="B502" s="3" t="s">
        <v>786</v>
      </c>
      <c r="C502" s="3" t="s">
        <v>9</v>
      </c>
      <c r="D502" s="3" t="s">
        <v>5</v>
      </c>
      <c r="E502" s="3" t="s">
        <v>10</v>
      </c>
      <c r="F502" s="3" t="s">
        <v>787</v>
      </c>
      <c r="G502" s="3" t="s">
        <v>788</v>
      </c>
      <c r="H502" s="5">
        <v>1599</v>
      </c>
      <c r="I502" s="3" t="s">
        <v>11</v>
      </c>
    </row>
    <row r="503" spans="1:9" x14ac:dyDescent="0.35">
      <c r="A503" s="3">
        <v>103408980</v>
      </c>
      <c r="B503" s="3" t="s">
        <v>789</v>
      </c>
      <c r="C503" s="3" t="s">
        <v>9</v>
      </c>
      <c r="D503" s="3" t="s">
        <v>5</v>
      </c>
      <c r="E503" s="3" t="s">
        <v>10</v>
      </c>
      <c r="F503" s="3" t="s">
        <v>790</v>
      </c>
      <c r="G503" s="3" t="s">
        <v>791</v>
      </c>
      <c r="H503" s="5">
        <v>1869</v>
      </c>
      <c r="I503" s="3" t="s">
        <v>11</v>
      </c>
    </row>
    <row r="504" spans="1:9" x14ac:dyDescent="0.35">
      <c r="A504" s="3">
        <v>103408958</v>
      </c>
      <c r="B504" s="3" t="s">
        <v>792</v>
      </c>
      <c r="C504" s="3" t="s">
        <v>9</v>
      </c>
      <c r="D504" s="3" t="s">
        <v>5</v>
      </c>
      <c r="E504" s="3" t="s">
        <v>10</v>
      </c>
      <c r="F504" s="3" t="s">
        <v>793</v>
      </c>
      <c r="G504" s="3" t="s">
        <v>794</v>
      </c>
      <c r="H504" s="4">
        <v>3743.57</v>
      </c>
      <c r="I504" s="3" t="s">
        <v>11</v>
      </c>
    </row>
    <row r="505" spans="1:9" x14ac:dyDescent="0.35">
      <c r="A505" s="3">
        <v>103408955</v>
      </c>
      <c r="B505" s="3" t="s">
        <v>795</v>
      </c>
      <c r="C505" s="3" t="s">
        <v>9</v>
      </c>
      <c r="D505" s="3" t="s">
        <v>5</v>
      </c>
      <c r="E505" s="3" t="s">
        <v>10</v>
      </c>
      <c r="F505" s="3" t="s">
        <v>796</v>
      </c>
      <c r="G505" s="3" t="s">
        <v>797</v>
      </c>
      <c r="H505" s="4">
        <v>1186.55</v>
      </c>
      <c r="I505" s="3" t="s">
        <v>11</v>
      </c>
    </row>
    <row r="506" spans="1:9" x14ac:dyDescent="0.35">
      <c r="A506" s="3">
        <v>103408976</v>
      </c>
      <c r="B506" s="3" t="s">
        <v>798</v>
      </c>
      <c r="C506" s="3" t="s">
        <v>9</v>
      </c>
      <c r="D506" s="3" t="s">
        <v>5</v>
      </c>
      <c r="E506" s="3" t="s">
        <v>12</v>
      </c>
      <c r="F506" s="3" t="s">
        <v>799</v>
      </c>
      <c r="G506" s="3" t="s">
        <v>800</v>
      </c>
      <c r="H506" s="5">
        <v>2919</v>
      </c>
      <c r="I506" s="3" t="s">
        <v>11</v>
      </c>
    </row>
    <row r="507" spans="1:9" x14ac:dyDescent="0.35">
      <c r="A507" s="3">
        <v>103408971</v>
      </c>
      <c r="B507" s="3" t="s">
        <v>801</v>
      </c>
      <c r="C507" s="3" t="s">
        <v>9</v>
      </c>
      <c r="D507" s="3" t="s">
        <v>5</v>
      </c>
      <c r="E507" s="3" t="s">
        <v>12</v>
      </c>
      <c r="F507" s="3" t="s">
        <v>802</v>
      </c>
      <c r="G507" s="3" t="s">
        <v>803</v>
      </c>
      <c r="H507" s="4">
        <v>2350.39</v>
      </c>
      <c r="I507" s="3" t="s">
        <v>11</v>
      </c>
    </row>
    <row r="508" spans="1:9" x14ac:dyDescent="0.35">
      <c r="A508" s="3">
        <v>103408953</v>
      </c>
      <c r="B508" s="3" t="s">
        <v>804</v>
      </c>
      <c r="C508" s="3" t="s">
        <v>9</v>
      </c>
      <c r="D508" s="3" t="s">
        <v>5</v>
      </c>
      <c r="E508" s="3" t="s">
        <v>10</v>
      </c>
      <c r="F508" s="3" t="s">
        <v>718</v>
      </c>
      <c r="G508" s="3" t="s">
        <v>719</v>
      </c>
      <c r="H508" s="4">
        <v>3134.05</v>
      </c>
      <c r="I508" s="3" t="s">
        <v>11</v>
      </c>
    </row>
    <row r="509" spans="1:9" x14ac:dyDescent="0.35">
      <c r="A509" s="3">
        <v>103408951</v>
      </c>
      <c r="B509" s="3" t="s">
        <v>805</v>
      </c>
      <c r="C509" s="3" t="s">
        <v>9</v>
      </c>
      <c r="D509" s="3" t="s">
        <v>5</v>
      </c>
      <c r="E509" s="3" t="s">
        <v>10</v>
      </c>
      <c r="F509" s="3" t="s">
        <v>806</v>
      </c>
      <c r="G509" s="3" t="s">
        <v>807</v>
      </c>
      <c r="H509" s="5">
        <v>1349</v>
      </c>
      <c r="I509" s="3" t="s">
        <v>11</v>
      </c>
    </row>
    <row r="510" spans="1:9" x14ac:dyDescent="0.35">
      <c r="A510" s="3">
        <v>103408944</v>
      </c>
      <c r="B510" s="3" t="s">
        <v>808</v>
      </c>
      <c r="C510" s="3" t="s">
        <v>9</v>
      </c>
      <c r="D510" s="3" t="s">
        <v>5</v>
      </c>
      <c r="E510" s="3" t="s">
        <v>10</v>
      </c>
      <c r="F510" s="3" t="s">
        <v>809</v>
      </c>
      <c r="G510" s="3" t="s">
        <v>810</v>
      </c>
      <c r="H510" s="4">
        <v>1367.05</v>
      </c>
      <c r="I510" s="3" t="s">
        <v>11</v>
      </c>
    </row>
    <row r="511" spans="1:9" x14ac:dyDescent="0.35">
      <c r="A511" s="3">
        <v>103408862</v>
      </c>
      <c r="B511" s="3" t="s">
        <v>811</v>
      </c>
      <c r="C511" s="3" t="s">
        <v>9</v>
      </c>
      <c r="D511" s="3" t="s">
        <v>5</v>
      </c>
      <c r="E511" s="3" t="s">
        <v>10</v>
      </c>
      <c r="F511" s="3" t="s">
        <v>812</v>
      </c>
      <c r="G511" s="3" t="s">
        <v>813</v>
      </c>
      <c r="H511" s="4">
        <v>2773.05</v>
      </c>
      <c r="I511" s="3" t="s">
        <v>11</v>
      </c>
    </row>
    <row r="512" spans="1:9" x14ac:dyDescent="0.35">
      <c r="A512" s="3">
        <v>103408942</v>
      </c>
      <c r="B512" s="3" t="s">
        <v>814</v>
      </c>
      <c r="C512" s="3" t="s">
        <v>9</v>
      </c>
      <c r="D512" s="3" t="s">
        <v>5</v>
      </c>
      <c r="E512" s="3" t="s">
        <v>10</v>
      </c>
      <c r="F512" s="3" t="s">
        <v>815</v>
      </c>
      <c r="G512" s="3" t="s">
        <v>816</v>
      </c>
      <c r="H512" s="4">
        <v>1076.44</v>
      </c>
      <c r="I512" s="3" t="s">
        <v>11</v>
      </c>
    </row>
    <row r="513" spans="1:9" x14ac:dyDescent="0.35">
      <c r="A513" s="3">
        <v>103408857</v>
      </c>
      <c r="B513" s="3" t="s">
        <v>817</v>
      </c>
      <c r="C513" s="3" t="s">
        <v>9</v>
      </c>
      <c r="D513" s="3" t="s">
        <v>5</v>
      </c>
      <c r="E513" s="3" t="s">
        <v>10</v>
      </c>
      <c r="F513" s="3" t="s">
        <v>818</v>
      </c>
      <c r="G513" s="3" t="s">
        <v>819</v>
      </c>
      <c r="H513" s="4">
        <v>1880.14</v>
      </c>
      <c r="I513" s="3" t="s">
        <v>11</v>
      </c>
    </row>
    <row r="514" spans="1:9" x14ac:dyDescent="0.35">
      <c r="A514" s="3">
        <v>103408855</v>
      </c>
      <c r="B514" s="3" t="s">
        <v>820</v>
      </c>
      <c r="C514" s="3" t="s">
        <v>9</v>
      </c>
      <c r="D514" s="3" t="s">
        <v>5</v>
      </c>
      <c r="E514" s="3" t="s">
        <v>10</v>
      </c>
      <c r="F514" s="3" t="s">
        <v>821</v>
      </c>
      <c r="G514" s="3" t="s">
        <v>822</v>
      </c>
      <c r="H514" s="4">
        <v>1007.19</v>
      </c>
      <c r="I514" s="3" t="s">
        <v>11</v>
      </c>
    </row>
    <row r="515" spans="1:9" x14ac:dyDescent="0.35">
      <c r="A515" s="3">
        <v>103408851</v>
      </c>
      <c r="B515" s="3" t="s">
        <v>823</v>
      </c>
      <c r="C515" s="3" t="s">
        <v>9</v>
      </c>
      <c r="D515" s="3" t="s">
        <v>5</v>
      </c>
      <c r="E515" s="3" t="s">
        <v>10</v>
      </c>
      <c r="F515" s="3" t="s">
        <v>824</v>
      </c>
      <c r="G515" s="3" t="s">
        <v>825</v>
      </c>
      <c r="H515" s="5">
        <v>1379</v>
      </c>
      <c r="I515" s="3" t="s">
        <v>11</v>
      </c>
    </row>
    <row r="516" spans="1:9" x14ac:dyDescent="0.35">
      <c r="A516" s="3">
        <v>103408850</v>
      </c>
      <c r="B516" s="3" t="s">
        <v>826</v>
      </c>
      <c r="C516" s="3" t="s">
        <v>9</v>
      </c>
      <c r="D516" s="3" t="s">
        <v>5</v>
      </c>
      <c r="E516" s="3" t="s">
        <v>10</v>
      </c>
      <c r="F516" s="3" t="s">
        <v>827</v>
      </c>
      <c r="G516" s="3" t="s">
        <v>828</v>
      </c>
      <c r="H516" s="4">
        <v>1594.1</v>
      </c>
      <c r="I516" s="3" t="s">
        <v>11</v>
      </c>
    </row>
    <row r="517" spans="1:9" x14ac:dyDescent="0.35">
      <c r="A517" s="3">
        <v>103408849</v>
      </c>
      <c r="B517" s="3" t="s">
        <v>829</v>
      </c>
      <c r="C517" s="3" t="s">
        <v>9</v>
      </c>
      <c r="D517" s="3" t="s">
        <v>5</v>
      </c>
      <c r="E517" s="3" t="s">
        <v>10</v>
      </c>
      <c r="F517" s="3" t="s">
        <v>830</v>
      </c>
      <c r="G517" s="3" t="s">
        <v>831</v>
      </c>
      <c r="H517" s="4">
        <v>2820.64</v>
      </c>
      <c r="I517" s="3" t="s">
        <v>11</v>
      </c>
    </row>
    <row r="518" spans="1:9" x14ac:dyDescent="0.35">
      <c r="A518" s="3">
        <v>103408929</v>
      </c>
      <c r="B518" s="3" t="s">
        <v>832</v>
      </c>
      <c r="C518" s="3" t="s">
        <v>9</v>
      </c>
      <c r="D518" s="3" t="s">
        <v>5</v>
      </c>
      <c r="E518" s="3" t="s">
        <v>10</v>
      </c>
      <c r="F518" s="3" t="s">
        <v>833</v>
      </c>
      <c r="G518" s="3" t="s">
        <v>834</v>
      </c>
      <c r="H518" s="4">
        <v>1672.2</v>
      </c>
      <c r="I518" s="3" t="s">
        <v>11</v>
      </c>
    </row>
    <row r="519" spans="1:9" x14ac:dyDescent="0.35">
      <c r="A519" s="3">
        <v>103408847</v>
      </c>
      <c r="B519" s="3" t="s">
        <v>835</v>
      </c>
      <c r="C519" s="3" t="s">
        <v>9</v>
      </c>
      <c r="D519" s="3" t="s">
        <v>5</v>
      </c>
      <c r="E519" s="3" t="s">
        <v>10</v>
      </c>
      <c r="F519" s="3" t="s">
        <v>836</v>
      </c>
      <c r="G519" s="3" t="s">
        <v>837</v>
      </c>
      <c r="H519" s="4">
        <v>1129.55</v>
      </c>
      <c r="I519" s="3" t="s">
        <v>11</v>
      </c>
    </row>
    <row r="520" spans="1:9" x14ac:dyDescent="0.35">
      <c r="A520" s="3">
        <v>103408927</v>
      </c>
      <c r="B520" s="3" t="s">
        <v>838</v>
      </c>
      <c r="C520" s="3" t="s">
        <v>9</v>
      </c>
      <c r="D520" s="3" t="s">
        <v>5</v>
      </c>
      <c r="E520" s="3" t="s">
        <v>10</v>
      </c>
      <c r="F520" s="3" t="s">
        <v>839</v>
      </c>
      <c r="G520" s="3" t="s">
        <v>840</v>
      </c>
      <c r="H520" s="4">
        <v>2659.05</v>
      </c>
      <c r="I520" s="3" t="s">
        <v>11</v>
      </c>
    </row>
    <row r="521" spans="1:9" x14ac:dyDescent="0.35">
      <c r="A521" s="3">
        <v>103408926</v>
      </c>
      <c r="B521" s="3" t="s">
        <v>841</v>
      </c>
      <c r="C521" s="3" t="s">
        <v>9</v>
      </c>
      <c r="D521" s="3" t="s">
        <v>5</v>
      </c>
      <c r="E521" s="3" t="s">
        <v>10</v>
      </c>
      <c r="F521" s="3" t="s">
        <v>842</v>
      </c>
      <c r="G521" s="3" t="s">
        <v>843</v>
      </c>
      <c r="H521" s="4">
        <v>3419.14</v>
      </c>
      <c r="I521" s="3" t="s">
        <v>11</v>
      </c>
    </row>
    <row r="522" spans="1:9" x14ac:dyDescent="0.35">
      <c r="A522" s="3">
        <v>103408836</v>
      </c>
      <c r="B522" s="3" t="s">
        <v>844</v>
      </c>
      <c r="C522" s="3" t="s">
        <v>9</v>
      </c>
      <c r="D522" s="3" t="s">
        <v>5</v>
      </c>
      <c r="E522" s="3" t="s">
        <v>10</v>
      </c>
      <c r="F522" s="3" t="s">
        <v>845</v>
      </c>
      <c r="G522" s="3" t="s">
        <v>846</v>
      </c>
      <c r="H522" s="4">
        <v>3779.1</v>
      </c>
      <c r="I522" s="3" t="s">
        <v>11</v>
      </c>
    </row>
    <row r="523" spans="1:9" x14ac:dyDescent="0.35">
      <c r="A523" s="3">
        <v>103408827</v>
      </c>
      <c r="B523" s="3" t="s">
        <v>847</v>
      </c>
      <c r="C523" s="3" t="s">
        <v>9</v>
      </c>
      <c r="D523" s="3" t="s">
        <v>5</v>
      </c>
      <c r="E523" s="3" t="s">
        <v>10</v>
      </c>
      <c r="F523" s="3" t="s">
        <v>848</v>
      </c>
      <c r="G523" s="3" t="s">
        <v>849</v>
      </c>
      <c r="H523" s="5">
        <v>1169</v>
      </c>
      <c r="I523" s="3" t="s">
        <v>11</v>
      </c>
    </row>
    <row r="524" spans="1:9" x14ac:dyDescent="0.35">
      <c r="A524" s="3">
        <v>103408919</v>
      </c>
      <c r="B524" s="3" t="s">
        <v>850</v>
      </c>
      <c r="C524" s="3" t="s">
        <v>9</v>
      </c>
      <c r="D524" s="3" t="s">
        <v>5</v>
      </c>
      <c r="E524" s="3" t="s">
        <v>10</v>
      </c>
      <c r="F524" s="3" t="s">
        <v>851</v>
      </c>
      <c r="G524" s="3" t="s">
        <v>852</v>
      </c>
      <c r="H524" s="5">
        <v>2199</v>
      </c>
      <c r="I524" s="3" t="s">
        <v>11</v>
      </c>
    </row>
    <row r="525" spans="1:9" x14ac:dyDescent="0.35">
      <c r="A525" s="3">
        <v>103408823</v>
      </c>
      <c r="B525" s="3" t="s">
        <v>853</v>
      </c>
      <c r="C525" s="3" t="s">
        <v>9</v>
      </c>
      <c r="D525" s="3" t="s">
        <v>5</v>
      </c>
      <c r="E525" s="3" t="s">
        <v>10</v>
      </c>
      <c r="F525" s="3" t="s">
        <v>854</v>
      </c>
      <c r="G525" s="3" t="s">
        <v>855</v>
      </c>
      <c r="H525" s="3">
        <v>978</v>
      </c>
      <c r="I525" s="3" t="s">
        <v>11</v>
      </c>
    </row>
    <row r="526" spans="1:9" x14ac:dyDescent="0.35">
      <c r="A526" s="3">
        <v>103408917</v>
      </c>
      <c r="B526" s="3" t="s">
        <v>856</v>
      </c>
      <c r="C526" s="3" t="s">
        <v>9</v>
      </c>
      <c r="D526" s="3" t="s">
        <v>5</v>
      </c>
      <c r="E526" s="3" t="s">
        <v>10</v>
      </c>
      <c r="F526" s="3" t="s">
        <v>833</v>
      </c>
      <c r="G526" s="3" t="s">
        <v>834</v>
      </c>
      <c r="H526" s="4">
        <v>8278.2000000000007</v>
      </c>
      <c r="I526" s="3" t="s">
        <v>11</v>
      </c>
    </row>
    <row r="527" spans="1:9" x14ac:dyDescent="0.35">
      <c r="A527" s="3">
        <v>103408821</v>
      </c>
      <c r="B527" s="3" t="s">
        <v>857</v>
      </c>
      <c r="C527" s="3" t="s">
        <v>9</v>
      </c>
      <c r="D527" s="3" t="s">
        <v>5</v>
      </c>
      <c r="E527" s="3" t="s">
        <v>10</v>
      </c>
      <c r="F527" s="3" t="s">
        <v>858</v>
      </c>
      <c r="G527" s="3" t="s">
        <v>859</v>
      </c>
      <c r="H527" s="4">
        <v>1661.55</v>
      </c>
      <c r="I527" s="3" t="s">
        <v>11</v>
      </c>
    </row>
    <row r="528" spans="1:9" x14ac:dyDescent="0.35">
      <c r="A528" s="3">
        <v>103408916</v>
      </c>
      <c r="B528" s="3" t="s">
        <v>860</v>
      </c>
      <c r="C528" s="3" t="s">
        <v>9</v>
      </c>
      <c r="D528" s="3" t="s">
        <v>5</v>
      </c>
      <c r="E528" s="3" t="s">
        <v>10</v>
      </c>
      <c r="F528" s="3" t="s">
        <v>861</v>
      </c>
      <c r="G528" s="3" t="s">
        <v>862</v>
      </c>
      <c r="H528" s="4">
        <v>2047.77</v>
      </c>
      <c r="I528" s="3" t="s">
        <v>11</v>
      </c>
    </row>
    <row r="529" spans="1:9" x14ac:dyDescent="0.35">
      <c r="A529" s="3">
        <v>103408913</v>
      </c>
      <c r="B529" s="3" t="s">
        <v>863</v>
      </c>
      <c r="C529" s="3" t="s">
        <v>9</v>
      </c>
      <c r="D529" s="3" t="s">
        <v>5</v>
      </c>
      <c r="E529" s="3" t="s">
        <v>10</v>
      </c>
      <c r="F529" s="3" t="s">
        <v>864</v>
      </c>
      <c r="G529" s="3" t="s">
        <v>865</v>
      </c>
      <c r="H529" s="5">
        <v>1259</v>
      </c>
      <c r="I529" s="3" t="s">
        <v>11</v>
      </c>
    </row>
    <row r="530" spans="1:9" x14ac:dyDescent="0.35">
      <c r="A530" s="3">
        <v>103408816</v>
      </c>
      <c r="B530" s="3" t="s">
        <v>866</v>
      </c>
      <c r="C530" s="3" t="s">
        <v>9</v>
      </c>
      <c r="D530" s="3" t="s">
        <v>5</v>
      </c>
      <c r="E530" s="3" t="s">
        <v>10</v>
      </c>
      <c r="F530" s="3" t="s">
        <v>867</v>
      </c>
      <c r="G530" s="3" t="s">
        <v>868</v>
      </c>
      <c r="H530" s="5">
        <v>1749</v>
      </c>
      <c r="I530" s="3" t="s">
        <v>11</v>
      </c>
    </row>
    <row r="531" spans="1:9" x14ac:dyDescent="0.35">
      <c r="A531" s="3">
        <v>103408814</v>
      </c>
      <c r="B531" s="3" t="s">
        <v>869</v>
      </c>
      <c r="C531" s="3" t="s">
        <v>9</v>
      </c>
      <c r="D531" s="3" t="s">
        <v>5</v>
      </c>
      <c r="E531" s="3" t="s">
        <v>10</v>
      </c>
      <c r="F531" s="3" t="s">
        <v>870</v>
      </c>
      <c r="G531" s="3" t="s">
        <v>871</v>
      </c>
      <c r="H531" s="5">
        <v>2269</v>
      </c>
      <c r="I531" s="3" t="s">
        <v>11</v>
      </c>
    </row>
    <row r="532" spans="1:9" x14ac:dyDescent="0.35">
      <c r="A532" s="3">
        <v>103408910</v>
      </c>
      <c r="B532" s="3" t="s">
        <v>872</v>
      </c>
      <c r="C532" s="3" t="s">
        <v>9</v>
      </c>
      <c r="D532" s="3" t="s">
        <v>5</v>
      </c>
      <c r="E532" s="3" t="s">
        <v>10</v>
      </c>
      <c r="F532" s="3" t="s">
        <v>873</v>
      </c>
      <c r="G532" s="3" t="s">
        <v>874</v>
      </c>
      <c r="H532" s="4">
        <v>2042.1</v>
      </c>
      <c r="I532" s="3" t="s">
        <v>11</v>
      </c>
    </row>
    <row r="533" spans="1:9" x14ac:dyDescent="0.35">
      <c r="A533" s="3">
        <v>103408810</v>
      </c>
      <c r="B533" s="3" t="s">
        <v>875</v>
      </c>
      <c r="C533" s="3" t="s">
        <v>9</v>
      </c>
      <c r="D533" s="3" t="s">
        <v>5</v>
      </c>
      <c r="E533" s="3" t="s">
        <v>10</v>
      </c>
      <c r="F533" s="3" t="s">
        <v>876</v>
      </c>
      <c r="G533" s="3" t="s">
        <v>877</v>
      </c>
      <c r="H533" s="4">
        <v>2029.72</v>
      </c>
      <c r="I533" s="3" t="s">
        <v>11</v>
      </c>
    </row>
    <row r="534" spans="1:9" x14ac:dyDescent="0.35">
      <c r="A534" s="3">
        <v>103408901</v>
      </c>
      <c r="B534" s="3" t="s">
        <v>878</v>
      </c>
      <c r="C534" s="3" t="s">
        <v>9</v>
      </c>
      <c r="D534" s="3" t="s">
        <v>5</v>
      </c>
      <c r="E534" s="3" t="s">
        <v>10</v>
      </c>
      <c r="F534" s="3" t="s">
        <v>879</v>
      </c>
      <c r="G534" s="3" t="s">
        <v>880</v>
      </c>
      <c r="H534" s="4">
        <v>3656.55</v>
      </c>
      <c r="I534" s="3" t="s">
        <v>11</v>
      </c>
    </row>
    <row r="535" spans="1:9" x14ac:dyDescent="0.35">
      <c r="A535" s="3">
        <v>103408902</v>
      </c>
      <c r="B535" s="3" t="s">
        <v>878</v>
      </c>
      <c r="C535" s="3" t="s">
        <v>9</v>
      </c>
      <c r="D535" s="3" t="s">
        <v>5</v>
      </c>
      <c r="E535" s="3" t="s">
        <v>10</v>
      </c>
      <c r="F535" s="3" t="s">
        <v>881</v>
      </c>
      <c r="G535" s="3" t="s">
        <v>882</v>
      </c>
      <c r="H535" s="3">
        <v>969</v>
      </c>
      <c r="I535" s="3" t="s">
        <v>11</v>
      </c>
    </row>
    <row r="536" spans="1:9" x14ac:dyDescent="0.35">
      <c r="A536" s="3">
        <v>103408898</v>
      </c>
      <c r="B536" s="3" t="s">
        <v>883</v>
      </c>
      <c r="C536" s="3" t="s">
        <v>9</v>
      </c>
      <c r="D536" s="3" t="s">
        <v>5</v>
      </c>
      <c r="E536" s="3" t="s">
        <v>10</v>
      </c>
      <c r="F536" s="3" t="s">
        <v>884</v>
      </c>
      <c r="G536" s="3" t="s">
        <v>885</v>
      </c>
      <c r="H536" s="4">
        <v>2735.1</v>
      </c>
      <c r="I536" s="3" t="s">
        <v>11</v>
      </c>
    </row>
    <row r="537" spans="1:9" x14ac:dyDescent="0.35">
      <c r="A537" s="3">
        <v>103408806</v>
      </c>
      <c r="B537" s="3" t="s">
        <v>886</v>
      </c>
      <c r="C537" s="3" t="s">
        <v>9</v>
      </c>
      <c r="D537" s="3" t="s">
        <v>5</v>
      </c>
      <c r="E537" s="3" t="s">
        <v>12</v>
      </c>
      <c r="F537" s="3" t="s">
        <v>887</v>
      </c>
      <c r="G537" s="3" t="s">
        <v>888</v>
      </c>
      <c r="H537" s="5">
        <v>2399</v>
      </c>
      <c r="I537" s="3" t="s">
        <v>11</v>
      </c>
    </row>
    <row r="538" spans="1:9" x14ac:dyDescent="0.35">
      <c r="A538" s="3">
        <v>103408802</v>
      </c>
      <c r="B538" s="3" t="s">
        <v>889</v>
      </c>
      <c r="C538" s="3" t="s">
        <v>9</v>
      </c>
      <c r="D538" s="3" t="s">
        <v>5</v>
      </c>
      <c r="E538" s="3" t="s">
        <v>10</v>
      </c>
      <c r="F538" s="3" t="s">
        <v>890</v>
      </c>
      <c r="G538" s="3" t="s">
        <v>891</v>
      </c>
      <c r="H538" s="4">
        <v>6839.05</v>
      </c>
      <c r="I538" s="3" t="s">
        <v>11</v>
      </c>
    </row>
    <row r="539" spans="1:9" x14ac:dyDescent="0.35">
      <c r="A539" s="3">
        <v>103408799</v>
      </c>
      <c r="B539" s="3" t="s">
        <v>892</v>
      </c>
      <c r="C539" s="3" t="s">
        <v>9</v>
      </c>
      <c r="D539" s="3" t="s">
        <v>5</v>
      </c>
      <c r="E539" s="3" t="s">
        <v>10</v>
      </c>
      <c r="F539" s="3" t="s">
        <v>893</v>
      </c>
      <c r="G539" s="3" t="s">
        <v>894</v>
      </c>
      <c r="H539" s="4">
        <v>3779.1</v>
      </c>
      <c r="I539" s="3" t="s">
        <v>11</v>
      </c>
    </row>
    <row r="540" spans="1:9" x14ac:dyDescent="0.35">
      <c r="A540" s="3">
        <v>103408796</v>
      </c>
      <c r="B540" s="3" t="s">
        <v>895</v>
      </c>
      <c r="C540" s="3" t="s">
        <v>9</v>
      </c>
      <c r="D540" s="3" t="s">
        <v>5</v>
      </c>
      <c r="E540" s="3" t="s">
        <v>10</v>
      </c>
      <c r="F540" s="3" t="s">
        <v>896</v>
      </c>
      <c r="G540" s="3" t="s">
        <v>897</v>
      </c>
      <c r="H540" s="4">
        <v>4034.74</v>
      </c>
      <c r="I540" s="3" t="s">
        <v>11</v>
      </c>
    </row>
    <row r="541" spans="1:9" x14ac:dyDescent="0.35">
      <c r="A541" s="3">
        <v>103408791</v>
      </c>
      <c r="B541" s="3" t="s">
        <v>898</v>
      </c>
      <c r="C541" s="3" t="s">
        <v>9</v>
      </c>
      <c r="D541" s="3" t="s">
        <v>5</v>
      </c>
      <c r="E541" s="3" t="s">
        <v>10</v>
      </c>
      <c r="F541" s="3" t="s">
        <v>899</v>
      </c>
      <c r="G541" s="3" t="s">
        <v>900</v>
      </c>
      <c r="H541" s="5">
        <v>2019</v>
      </c>
      <c r="I541" s="3" t="s">
        <v>11</v>
      </c>
    </row>
    <row r="542" spans="1:9" x14ac:dyDescent="0.35">
      <c r="A542" s="3">
        <v>103408789</v>
      </c>
      <c r="B542" s="3" t="s">
        <v>901</v>
      </c>
      <c r="C542" s="3" t="s">
        <v>9</v>
      </c>
      <c r="D542" s="3" t="s">
        <v>5</v>
      </c>
      <c r="E542" s="3" t="s">
        <v>10</v>
      </c>
      <c r="F542" s="3" t="s">
        <v>902</v>
      </c>
      <c r="G542" s="3" t="s">
        <v>903</v>
      </c>
      <c r="H542" s="5">
        <v>1869</v>
      </c>
      <c r="I542" s="3" t="s">
        <v>11</v>
      </c>
    </row>
    <row r="543" spans="1:9" x14ac:dyDescent="0.35">
      <c r="A543" s="3">
        <v>103408785</v>
      </c>
      <c r="B543" s="3" t="s">
        <v>904</v>
      </c>
      <c r="C543" s="3" t="s">
        <v>9</v>
      </c>
      <c r="D543" s="3" t="s">
        <v>5</v>
      </c>
      <c r="E543" s="3" t="s">
        <v>10</v>
      </c>
      <c r="F543" s="3" t="s">
        <v>905</v>
      </c>
      <c r="G543" s="3" t="s">
        <v>906</v>
      </c>
      <c r="H543" s="5">
        <v>1999</v>
      </c>
      <c r="I543" s="3" t="s">
        <v>11</v>
      </c>
    </row>
    <row r="544" spans="1:9" x14ac:dyDescent="0.35">
      <c r="A544" s="3">
        <v>103408891</v>
      </c>
      <c r="B544" s="3" t="s">
        <v>907</v>
      </c>
      <c r="C544" s="3" t="s">
        <v>9</v>
      </c>
      <c r="D544" s="3" t="s">
        <v>5</v>
      </c>
      <c r="E544" s="3" t="s">
        <v>10</v>
      </c>
      <c r="F544" s="3" t="s">
        <v>908</v>
      </c>
      <c r="G544" s="3" t="s">
        <v>909</v>
      </c>
      <c r="H544" s="3">
        <v>649</v>
      </c>
      <c r="I544" s="3" t="s">
        <v>11</v>
      </c>
    </row>
    <row r="545" spans="1:9" x14ac:dyDescent="0.35">
      <c r="A545" s="3">
        <v>103408780</v>
      </c>
      <c r="B545" s="3" t="s">
        <v>910</v>
      </c>
      <c r="C545" s="3" t="s">
        <v>9</v>
      </c>
      <c r="D545" s="3" t="s">
        <v>5</v>
      </c>
      <c r="E545" s="3" t="s">
        <v>10</v>
      </c>
      <c r="F545" s="3" t="s">
        <v>911</v>
      </c>
      <c r="G545" s="3" t="s">
        <v>912</v>
      </c>
      <c r="H545" s="4">
        <v>4329.1499999999996</v>
      </c>
      <c r="I545" s="3" t="s">
        <v>11</v>
      </c>
    </row>
    <row r="546" spans="1:9" x14ac:dyDescent="0.35">
      <c r="A546" s="3">
        <v>103408887</v>
      </c>
      <c r="B546" s="3" t="s">
        <v>913</v>
      </c>
      <c r="C546" s="3" t="s">
        <v>9</v>
      </c>
      <c r="D546" s="3" t="s">
        <v>5</v>
      </c>
      <c r="E546" s="3" t="s">
        <v>10</v>
      </c>
      <c r="F546" s="3" t="s">
        <v>914</v>
      </c>
      <c r="G546" s="3" t="s">
        <v>915</v>
      </c>
      <c r="H546" s="5">
        <v>4499</v>
      </c>
      <c r="I546" s="3" t="s">
        <v>11</v>
      </c>
    </row>
    <row r="547" spans="1:9" x14ac:dyDescent="0.35">
      <c r="A547" s="3">
        <v>103408886</v>
      </c>
      <c r="B547" s="3" t="s">
        <v>916</v>
      </c>
      <c r="C547" s="3" t="s">
        <v>9</v>
      </c>
      <c r="D547" s="3" t="s">
        <v>5</v>
      </c>
      <c r="E547" s="3" t="s">
        <v>10</v>
      </c>
      <c r="F547" s="3" t="s">
        <v>917</v>
      </c>
      <c r="G547" s="3" t="s">
        <v>918</v>
      </c>
      <c r="H547" s="4">
        <v>1139.05</v>
      </c>
      <c r="I547" s="3" t="s">
        <v>11</v>
      </c>
    </row>
    <row r="548" spans="1:9" x14ac:dyDescent="0.35">
      <c r="A548" s="3">
        <v>103408778</v>
      </c>
      <c r="B548" s="3" t="s">
        <v>919</v>
      </c>
      <c r="C548" s="3" t="s">
        <v>9</v>
      </c>
      <c r="D548" s="3" t="s">
        <v>5</v>
      </c>
      <c r="E548" s="3" t="s">
        <v>10</v>
      </c>
      <c r="F548" s="3" t="s">
        <v>920</v>
      </c>
      <c r="G548" s="3" t="s">
        <v>921</v>
      </c>
      <c r="H548" s="3">
        <v>709</v>
      </c>
      <c r="I548" s="3" t="s">
        <v>11</v>
      </c>
    </row>
    <row r="549" spans="1:9" x14ac:dyDescent="0.35">
      <c r="A549" s="3">
        <v>103408776</v>
      </c>
      <c r="B549" s="3" t="s">
        <v>922</v>
      </c>
      <c r="C549" s="3" t="s">
        <v>9</v>
      </c>
      <c r="D549" s="3" t="s">
        <v>5</v>
      </c>
      <c r="E549" s="3" t="s">
        <v>10</v>
      </c>
      <c r="F549" s="3" t="s">
        <v>923</v>
      </c>
      <c r="G549" s="3" t="s">
        <v>924</v>
      </c>
      <c r="H549" s="4">
        <v>2834.1</v>
      </c>
      <c r="I549" s="3" t="s">
        <v>11</v>
      </c>
    </row>
    <row r="550" spans="1:9" x14ac:dyDescent="0.35">
      <c r="A550" s="3">
        <v>103408883</v>
      </c>
      <c r="B550" s="3" t="s">
        <v>925</v>
      </c>
      <c r="C550" s="3" t="s">
        <v>9</v>
      </c>
      <c r="D550" s="3" t="s">
        <v>5</v>
      </c>
      <c r="E550" s="3" t="s">
        <v>10</v>
      </c>
      <c r="F550" s="3" t="s">
        <v>926</v>
      </c>
      <c r="G550" s="3" t="s">
        <v>927</v>
      </c>
      <c r="H550" s="5">
        <v>4499</v>
      </c>
      <c r="I550" s="3" t="s">
        <v>11</v>
      </c>
    </row>
    <row r="551" spans="1:9" x14ac:dyDescent="0.35">
      <c r="A551" s="3">
        <v>103408878</v>
      </c>
      <c r="B551" s="3" t="s">
        <v>928</v>
      </c>
      <c r="C551" s="3" t="s">
        <v>9</v>
      </c>
      <c r="D551" s="3" t="s">
        <v>5</v>
      </c>
      <c r="E551" s="3" t="s">
        <v>10</v>
      </c>
      <c r="F551" s="3" t="s">
        <v>929</v>
      </c>
      <c r="G551" s="3" t="s">
        <v>930</v>
      </c>
      <c r="H551" s="4">
        <v>2659.05</v>
      </c>
      <c r="I551" s="3" t="s">
        <v>11</v>
      </c>
    </row>
    <row r="552" spans="1:9" x14ac:dyDescent="0.35">
      <c r="A552" s="3">
        <v>103408873</v>
      </c>
      <c r="B552" s="3" t="s">
        <v>931</v>
      </c>
      <c r="C552" s="3" t="s">
        <v>9</v>
      </c>
      <c r="D552" s="3" t="s">
        <v>5</v>
      </c>
      <c r="E552" s="3" t="s">
        <v>10</v>
      </c>
      <c r="F552" s="3" t="s">
        <v>932</v>
      </c>
      <c r="G552" s="3" t="s">
        <v>933</v>
      </c>
      <c r="H552" s="4">
        <v>5604.14</v>
      </c>
      <c r="I552" s="3" t="s">
        <v>11</v>
      </c>
    </row>
    <row r="553" spans="1:9" x14ac:dyDescent="0.35">
      <c r="A553" s="3">
        <v>103408870</v>
      </c>
      <c r="B553" s="3" t="s">
        <v>934</v>
      </c>
      <c r="C553" s="3" t="s">
        <v>9</v>
      </c>
      <c r="D553" s="3" t="s">
        <v>5</v>
      </c>
      <c r="E553" s="3" t="s">
        <v>10</v>
      </c>
      <c r="F553" s="3" t="s">
        <v>935</v>
      </c>
      <c r="G553" s="3" t="s">
        <v>936</v>
      </c>
      <c r="H553" s="4">
        <v>7864.29</v>
      </c>
      <c r="I553" s="3" t="s">
        <v>11</v>
      </c>
    </row>
    <row r="554" spans="1:9" x14ac:dyDescent="0.35">
      <c r="A554" s="3">
        <v>103408768</v>
      </c>
      <c r="B554" s="3" t="s">
        <v>937</v>
      </c>
      <c r="C554" s="3" t="s">
        <v>9</v>
      </c>
      <c r="D554" s="3" t="s">
        <v>5</v>
      </c>
      <c r="E554" s="3" t="s">
        <v>10</v>
      </c>
      <c r="F554" s="3" t="s">
        <v>938</v>
      </c>
      <c r="G554" s="3" t="s">
        <v>939</v>
      </c>
      <c r="H554" s="4">
        <v>1063.05</v>
      </c>
      <c r="I554" s="3" t="s">
        <v>11</v>
      </c>
    </row>
    <row r="555" spans="1:9" x14ac:dyDescent="0.35">
      <c r="A555" s="3">
        <v>103408867</v>
      </c>
      <c r="B555" s="3" t="s">
        <v>940</v>
      </c>
      <c r="C555" s="3" t="s">
        <v>9</v>
      </c>
      <c r="D555" s="3" t="s">
        <v>5</v>
      </c>
      <c r="E555" s="3" t="s">
        <v>12</v>
      </c>
      <c r="F555" s="3" t="s">
        <v>941</v>
      </c>
      <c r="G555" s="3" t="s">
        <v>942</v>
      </c>
      <c r="H555" s="4">
        <v>2611.5500000000002</v>
      </c>
      <c r="I555" s="3" t="s">
        <v>11</v>
      </c>
    </row>
    <row r="556" spans="1:9" x14ac:dyDescent="0.35">
      <c r="A556" s="3">
        <v>103408865</v>
      </c>
      <c r="B556" s="3" t="s">
        <v>943</v>
      </c>
      <c r="C556" s="3" t="s">
        <v>9</v>
      </c>
      <c r="D556" s="3" t="s">
        <v>5</v>
      </c>
      <c r="E556" s="3" t="s">
        <v>10</v>
      </c>
      <c r="F556" s="3" t="s">
        <v>944</v>
      </c>
      <c r="G556" s="3" t="s">
        <v>945</v>
      </c>
      <c r="H556" s="4">
        <v>5230.03</v>
      </c>
      <c r="I556" s="3" t="s">
        <v>11</v>
      </c>
    </row>
    <row r="557" spans="1:9" x14ac:dyDescent="0.35">
      <c r="A557" s="3">
        <v>103408767</v>
      </c>
      <c r="B557" s="3" t="s">
        <v>946</v>
      </c>
      <c r="C557" s="3" t="s">
        <v>9</v>
      </c>
      <c r="D557" s="3" t="s">
        <v>5</v>
      </c>
      <c r="E557" s="3" t="s">
        <v>10</v>
      </c>
      <c r="F557" s="3" t="s">
        <v>947</v>
      </c>
      <c r="G557" s="3" t="s">
        <v>948</v>
      </c>
      <c r="H557" s="3">
        <v>849</v>
      </c>
      <c r="I557" s="3" t="s">
        <v>11</v>
      </c>
    </row>
    <row r="558" spans="1:9" x14ac:dyDescent="0.35">
      <c r="A558" s="3">
        <v>103408761</v>
      </c>
      <c r="B558" s="3" t="s">
        <v>949</v>
      </c>
      <c r="C558" s="3" t="s">
        <v>9</v>
      </c>
      <c r="D558" s="3" t="s">
        <v>5</v>
      </c>
      <c r="E558" s="3" t="s">
        <v>10</v>
      </c>
      <c r="F558" s="3" t="s">
        <v>950</v>
      </c>
      <c r="G558" s="3" t="s">
        <v>951</v>
      </c>
      <c r="H558" s="4">
        <v>3134.05</v>
      </c>
      <c r="I558" s="3" t="s">
        <v>11</v>
      </c>
    </row>
    <row r="559" spans="1:9" x14ac:dyDescent="0.35">
      <c r="A559" s="3">
        <v>103408757</v>
      </c>
      <c r="B559" s="3" t="s">
        <v>952</v>
      </c>
      <c r="C559" s="3" t="s">
        <v>9</v>
      </c>
      <c r="D559" s="3" t="s">
        <v>5</v>
      </c>
      <c r="E559" s="3" t="s">
        <v>12</v>
      </c>
      <c r="F559" s="3" t="s">
        <v>953</v>
      </c>
      <c r="G559" s="3" t="s">
        <v>954</v>
      </c>
      <c r="H559" s="5">
        <v>1099</v>
      </c>
      <c r="I559" s="3" t="s">
        <v>11</v>
      </c>
    </row>
    <row r="560" spans="1:9" x14ac:dyDescent="0.35">
      <c r="A560" s="3">
        <v>103408756</v>
      </c>
      <c r="B560" s="3" t="s">
        <v>955</v>
      </c>
      <c r="C560" s="3" t="s">
        <v>9</v>
      </c>
      <c r="D560" s="3" t="s">
        <v>5</v>
      </c>
      <c r="E560" s="3" t="s">
        <v>12</v>
      </c>
      <c r="F560" s="3" t="s">
        <v>956</v>
      </c>
      <c r="G560" s="3" t="s">
        <v>957</v>
      </c>
      <c r="H560" s="4">
        <v>2886.1</v>
      </c>
      <c r="I560" s="3" t="s">
        <v>11</v>
      </c>
    </row>
    <row r="561" spans="1:9" x14ac:dyDescent="0.35">
      <c r="A561" s="3">
        <v>103408753</v>
      </c>
      <c r="B561" s="3" t="s">
        <v>958</v>
      </c>
      <c r="C561" s="3" t="s">
        <v>9</v>
      </c>
      <c r="D561" s="3" t="s">
        <v>5</v>
      </c>
      <c r="E561" s="3" t="s">
        <v>10</v>
      </c>
      <c r="F561" s="3" t="s">
        <v>959</v>
      </c>
      <c r="G561" s="3" t="s">
        <v>960</v>
      </c>
      <c r="H561" s="4">
        <v>6789.65</v>
      </c>
      <c r="I561" s="3" t="s">
        <v>11</v>
      </c>
    </row>
    <row r="562" spans="1:9" x14ac:dyDescent="0.35">
      <c r="A562" s="3">
        <v>103408747</v>
      </c>
      <c r="B562" s="3" t="s">
        <v>961</v>
      </c>
      <c r="C562" s="3" t="s">
        <v>9</v>
      </c>
      <c r="D562" s="3" t="s">
        <v>5</v>
      </c>
      <c r="E562" s="3" t="s">
        <v>10</v>
      </c>
      <c r="F562" s="3" t="s">
        <v>962</v>
      </c>
      <c r="G562" s="3" t="s">
        <v>963</v>
      </c>
      <c r="H562" s="4">
        <v>2193.5500000000002</v>
      </c>
      <c r="I562" s="3" t="s">
        <v>11</v>
      </c>
    </row>
    <row r="563" spans="1:9" x14ac:dyDescent="0.35">
      <c r="A563" s="3">
        <v>103408742</v>
      </c>
      <c r="B563" s="3" t="s">
        <v>964</v>
      </c>
      <c r="C563" s="3" t="s">
        <v>9</v>
      </c>
      <c r="D563" s="3" t="s">
        <v>5</v>
      </c>
      <c r="E563" s="3" t="s">
        <v>10</v>
      </c>
      <c r="F563" s="3" t="s">
        <v>965</v>
      </c>
      <c r="G563" s="3" t="s">
        <v>966</v>
      </c>
      <c r="H563" s="4">
        <v>3324.05</v>
      </c>
      <c r="I563" s="3" t="s">
        <v>11</v>
      </c>
    </row>
    <row r="564" spans="1:9" x14ac:dyDescent="0.35">
      <c r="A564" s="3">
        <v>103408741</v>
      </c>
      <c r="B564" s="3" t="s">
        <v>967</v>
      </c>
      <c r="C564" s="3" t="s">
        <v>9</v>
      </c>
      <c r="D564" s="3" t="s">
        <v>5</v>
      </c>
      <c r="E564" s="3" t="s">
        <v>10</v>
      </c>
      <c r="F564" s="3" t="s">
        <v>968</v>
      </c>
      <c r="G564" s="3" t="s">
        <v>969</v>
      </c>
      <c r="H564" s="4">
        <v>5556.64</v>
      </c>
      <c r="I564" s="3" t="s">
        <v>11</v>
      </c>
    </row>
    <row r="565" spans="1:9" x14ac:dyDescent="0.35">
      <c r="A565" s="3">
        <v>103408740</v>
      </c>
      <c r="B565" s="3" t="s">
        <v>970</v>
      </c>
      <c r="C565" s="3" t="s">
        <v>9</v>
      </c>
      <c r="D565" s="3" t="s">
        <v>5</v>
      </c>
      <c r="E565" s="3" t="s">
        <v>10</v>
      </c>
      <c r="F565" s="3" t="s">
        <v>971</v>
      </c>
      <c r="G565" s="3" t="s">
        <v>972</v>
      </c>
      <c r="H565" s="4">
        <v>8964.2000000000007</v>
      </c>
      <c r="I565" s="3" t="s">
        <v>11</v>
      </c>
    </row>
    <row r="566" spans="1:9" x14ac:dyDescent="0.35">
      <c r="A566" s="3">
        <v>103408648</v>
      </c>
      <c r="B566" s="3" t="s">
        <v>973</v>
      </c>
      <c r="C566" s="3" t="s">
        <v>9</v>
      </c>
      <c r="D566" s="3" t="s">
        <v>5</v>
      </c>
      <c r="E566" s="3" t="s">
        <v>10</v>
      </c>
      <c r="F566" s="3" t="s">
        <v>974</v>
      </c>
      <c r="G566" s="3" t="s">
        <v>975</v>
      </c>
      <c r="H566" s="4">
        <v>2849.05</v>
      </c>
      <c r="I566" s="3" t="s">
        <v>11</v>
      </c>
    </row>
    <row r="567" spans="1:9" x14ac:dyDescent="0.35">
      <c r="A567" s="3">
        <v>103408736</v>
      </c>
      <c r="B567" s="3" t="s">
        <v>976</v>
      </c>
      <c r="C567" s="3" t="s">
        <v>9</v>
      </c>
      <c r="D567" s="3" t="s">
        <v>5</v>
      </c>
      <c r="E567" s="3" t="s">
        <v>10</v>
      </c>
      <c r="F567" s="3" t="s">
        <v>977</v>
      </c>
      <c r="G567" s="3" t="s">
        <v>978</v>
      </c>
      <c r="H567" s="3">
        <v>332.59</v>
      </c>
      <c r="I567" s="3" t="s">
        <v>11</v>
      </c>
    </row>
    <row r="568" spans="1:9" x14ac:dyDescent="0.35">
      <c r="A568" s="3">
        <v>103408644</v>
      </c>
      <c r="B568" s="3" t="s">
        <v>979</v>
      </c>
      <c r="C568" s="3" t="s">
        <v>9</v>
      </c>
      <c r="D568" s="3" t="s">
        <v>5</v>
      </c>
      <c r="E568" s="3" t="s">
        <v>10</v>
      </c>
      <c r="F568" s="3" t="s">
        <v>980</v>
      </c>
      <c r="G568" s="3" t="s">
        <v>981</v>
      </c>
      <c r="H568" s="5">
        <v>3299</v>
      </c>
      <c r="I568" s="3" t="s">
        <v>11</v>
      </c>
    </row>
    <row r="569" spans="1:9" x14ac:dyDescent="0.35">
      <c r="A569" s="3">
        <v>103408732</v>
      </c>
      <c r="B569" s="3" t="s">
        <v>982</v>
      </c>
      <c r="C569" s="3" t="s">
        <v>9</v>
      </c>
      <c r="D569" s="3" t="s">
        <v>5</v>
      </c>
      <c r="E569" s="3" t="s">
        <v>12</v>
      </c>
      <c r="F569" s="3" t="s">
        <v>983</v>
      </c>
      <c r="G569" s="3" t="s">
        <v>984</v>
      </c>
      <c r="H569" s="4">
        <v>6410.6</v>
      </c>
      <c r="I569" s="3" t="s">
        <v>11</v>
      </c>
    </row>
    <row r="570" spans="1:9" x14ac:dyDescent="0.35">
      <c r="A570" s="3">
        <v>103408640</v>
      </c>
      <c r="B570" s="3" t="s">
        <v>985</v>
      </c>
      <c r="C570" s="3" t="s">
        <v>9</v>
      </c>
      <c r="D570" s="3" t="s">
        <v>5</v>
      </c>
      <c r="E570" s="3" t="s">
        <v>12</v>
      </c>
      <c r="F570" s="3" t="s">
        <v>986</v>
      </c>
      <c r="G570" s="3" t="s">
        <v>987</v>
      </c>
      <c r="H570" s="3">
        <v>299</v>
      </c>
      <c r="I570" s="3" t="s">
        <v>11</v>
      </c>
    </row>
    <row r="571" spans="1:9" x14ac:dyDescent="0.35">
      <c r="A571" s="3">
        <v>103408636</v>
      </c>
      <c r="B571" s="3" t="s">
        <v>988</v>
      </c>
      <c r="C571" s="3" t="s">
        <v>9</v>
      </c>
      <c r="D571" s="3" t="s">
        <v>5</v>
      </c>
      <c r="E571" s="3" t="s">
        <v>10</v>
      </c>
      <c r="F571" s="3" t="s">
        <v>989</v>
      </c>
      <c r="G571" s="3" t="s">
        <v>990</v>
      </c>
      <c r="H571" s="5">
        <v>1999</v>
      </c>
      <c r="I571" s="3" t="s">
        <v>11</v>
      </c>
    </row>
    <row r="572" spans="1:9" x14ac:dyDescent="0.35">
      <c r="A572" s="3">
        <v>103408630</v>
      </c>
      <c r="B572" s="3" t="s">
        <v>991</v>
      </c>
      <c r="C572" s="3" t="s">
        <v>9</v>
      </c>
      <c r="D572" s="3" t="s">
        <v>5</v>
      </c>
      <c r="E572" s="3" t="s">
        <v>12</v>
      </c>
      <c r="F572" s="3" t="s">
        <v>992</v>
      </c>
      <c r="G572" s="3" t="s">
        <v>993</v>
      </c>
      <c r="H572" s="5">
        <v>4549</v>
      </c>
      <c r="I572" s="3" t="s">
        <v>11</v>
      </c>
    </row>
    <row r="573" spans="1:9" x14ac:dyDescent="0.35">
      <c r="A573" s="3">
        <v>103408725</v>
      </c>
      <c r="B573" s="3" t="s">
        <v>994</v>
      </c>
      <c r="C573" s="3" t="s">
        <v>9</v>
      </c>
      <c r="D573" s="3" t="s">
        <v>5</v>
      </c>
      <c r="E573" s="3" t="s">
        <v>10</v>
      </c>
      <c r="F573" s="3" t="s">
        <v>995</v>
      </c>
      <c r="G573" s="3" t="s">
        <v>996</v>
      </c>
      <c r="H573" s="4">
        <v>2126.1</v>
      </c>
      <c r="I573" s="3" t="s">
        <v>11</v>
      </c>
    </row>
    <row r="574" spans="1:9" x14ac:dyDescent="0.35">
      <c r="A574" s="3">
        <v>103408623</v>
      </c>
      <c r="B574" s="3" t="s">
        <v>997</v>
      </c>
      <c r="C574" s="3" t="s">
        <v>9</v>
      </c>
      <c r="D574" s="3" t="s">
        <v>5</v>
      </c>
      <c r="E574" s="3" t="s">
        <v>10</v>
      </c>
      <c r="F574" s="3" t="s">
        <v>998</v>
      </c>
      <c r="G574" s="3" t="s">
        <v>999</v>
      </c>
      <c r="H574" s="5">
        <v>2449</v>
      </c>
      <c r="I574" s="3" t="s">
        <v>11</v>
      </c>
    </row>
    <row r="575" spans="1:9" x14ac:dyDescent="0.35">
      <c r="A575" s="3">
        <v>103408723</v>
      </c>
      <c r="B575" s="3" t="s">
        <v>1000</v>
      </c>
      <c r="C575" s="3" t="s">
        <v>9</v>
      </c>
      <c r="D575" s="3" t="s">
        <v>5</v>
      </c>
      <c r="E575" s="3" t="s">
        <v>10</v>
      </c>
      <c r="F575" s="3" t="s">
        <v>1001</v>
      </c>
      <c r="G575" s="3" t="s">
        <v>1002</v>
      </c>
      <c r="H575" s="3">
        <v>959</v>
      </c>
      <c r="I575" s="3" t="s">
        <v>11</v>
      </c>
    </row>
    <row r="576" spans="1:9" x14ac:dyDescent="0.35">
      <c r="A576" s="3">
        <v>103408719</v>
      </c>
      <c r="B576" s="3" t="s">
        <v>1003</v>
      </c>
      <c r="C576" s="3" t="s">
        <v>9</v>
      </c>
      <c r="D576" s="3" t="s">
        <v>5</v>
      </c>
      <c r="E576" s="3" t="s">
        <v>10</v>
      </c>
      <c r="F576" s="3" t="s">
        <v>1004</v>
      </c>
      <c r="G576" s="3" t="s">
        <v>1005</v>
      </c>
      <c r="H576" s="4">
        <v>2598.34</v>
      </c>
      <c r="I576" s="3" t="s">
        <v>11</v>
      </c>
    </row>
    <row r="577" spans="1:9" x14ac:dyDescent="0.35">
      <c r="A577" s="3">
        <v>103408715</v>
      </c>
      <c r="B577" s="3" t="s">
        <v>1006</v>
      </c>
      <c r="C577" s="3" t="s">
        <v>9</v>
      </c>
      <c r="D577" s="3" t="s">
        <v>5</v>
      </c>
      <c r="E577" s="3" t="s">
        <v>10</v>
      </c>
      <c r="F577" s="3" t="s">
        <v>1007</v>
      </c>
      <c r="G577" s="3" t="s">
        <v>1008</v>
      </c>
      <c r="H577" s="5">
        <v>1499</v>
      </c>
      <c r="I577" s="3" t="s">
        <v>11</v>
      </c>
    </row>
    <row r="578" spans="1:9" x14ac:dyDescent="0.35">
      <c r="A578" s="3">
        <v>103408714</v>
      </c>
      <c r="B578" s="3" t="s">
        <v>1009</v>
      </c>
      <c r="C578" s="3" t="s">
        <v>9</v>
      </c>
      <c r="D578" s="3" t="s">
        <v>5</v>
      </c>
      <c r="E578" s="3" t="s">
        <v>10</v>
      </c>
      <c r="F578" s="3" t="s">
        <v>1010</v>
      </c>
      <c r="G578" s="3" t="s">
        <v>1011</v>
      </c>
      <c r="H578" s="5">
        <v>5199</v>
      </c>
      <c r="I578" s="3" t="s">
        <v>11</v>
      </c>
    </row>
    <row r="579" spans="1:9" x14ac:dyDescent="0.35">
      <c r="A579" s="3">
        <v>103408712</v>
      </c>
      <c r="B579" s="3" t="s">
        <v>1012</v>
      </c>
      <c r="C579" s="3" t="s">
        <v>9</v>
      </c>
      <c r="D579" s="3" t="s">
        <v>5</v>
      </c>
      <c r="E579" s="3" t="s">
        <v>10</v>
      </c>
      <c r="F579" s="3" t="s">
        <v>1013</v>
      </c>
      <c r="G579" s="3" t="s">
        <v>1014</v>
      </c>
      <c r="H579" s="4">
        <v>2374.0500000000002</v>
      </c>
      <c r="I579" s="3" t="s">
        <v>11</v>
      </c>
    </row>
    <row r="580" spans="1:9" x14ac:dyDescent="0.35">
      <c r="A580" s="3">
        <v>103408615</v>
      </c>
      <c r="B580" s="3" t="s">
        <v>1015</v>
      </c>
      <c r="C580" s="3" t="s">
        <v>9</v>
      </c>
      <c r="D580" s="3" t="s">
        <v>5</v>
      </c>
      <c r="E580" s="3" t="s">
        <v>10</v>
      </c>
      <c r="F580" s="3" t="s">
        <v>1016</v>
      </c>
      <c r="G580" s="3" t="s">
        <v>1017</v>
      </c>
      <c r="H580" s="4">
        <v>2350.39</v>
      </c>
      <c r="I580" s="3" t="s">
        <v>11</v>
      </c>
    </row>
    <row r="581" spans="1:9" x14ac:dyDescent="0.35">
      <c r="A581" s="3">
        <v>103408703</v>
      </c>
      <c r="B581" s="3" t="s">
        <v>1018</v>
      </c>
      <c r="C581" s="3" t="s">
        <v>9</v>
      </c>
      <c r="D581" s="3" t="s">
        <v>5</v>
      </c>
      <c r="E581" s="3" t="s">
        <v>10</v>
      </c>
      <c r="F581" s="3" t="s">
        <v>1019</v>
      </c>
      <c r="G581" s="3" t="s">
        <v>1020</v>
      </c>
      <c r="H581" s="4">
        <v>3227.15</v>
      </c>
      <c r="I581" s="3" t="s">
        <v>11</v>
      </c>
    </row>
    <row r="582" spans="1:9" x14ac:dyDescent="0.35">
      <c r="A582" s="3">
        <v>103408609</v>
      </c>
      <c r="B582" s="3" t="s">
        <v>1021</v>
      </c>
      <c r="C582" s="3" t="s">
        <v>9</v>
      </c>
      <c r="D582" s="3" t="s">
        <v>5</v>
      </c>
      <c r="E582" s="3" t="s">
        <v>12</v>
      </c>
      <c r="F582" s="3" t="s">
        <v>1022</v>
      </c>
      <c r="G582" s="3" t="s">
        <v>1023</v>
      </c>
      <c r="H582" s="3">
        <v>629</v>
      </c>
      <c r="I582" s="3" t="s">
        <v>11</v>
      </c>
    </row>
    <row r="583" spans="1:9" x14ac:dyDescent="0.35">
      <c r="A583" s="3">
        <v>103408691</v>
      </c>
      <c r="B583" s="3" t="s">
        <v>4761</v>
      </c>
      <c r="C583" s="3" t="s">
        <v>9</v>
      </c>
      <c r="D583" s="3" t="s">
        <v>5</v>
      </c>
      <c r="E583" s="3" t="s">
        <v>10</v>
      </c>
      <c r="F583" s="3" t="s">
        <v>971</v>
      </c>
      <c r="G583" s="3" t="s">
        <v>972</v>
      </c>
      <c r="H583" s="4">
        <v>8964.2000000000007</v>
      </c>
      <c r="I583" s="3" t="s">
        <v>13</v>
      </c>
    </row>
    <row r="584" spans="1:9" x14ac:dyDescent="0.35">
      <c r="A584" s="3">
        <v>103408688</v>
      </c>
      <c r="B584" s="3" t="s">
        <v>1024</v>
      </c>
      <c r="C584" s="3" t="s">
        <v>9</v>
      </c>
      <c r="D584" s="3" t="s">
        <v>5</v>
      </c>
      <c r="E584" s="3" t="s">
        <v>10</v>
      </c>
      <c r="F584" s="3" t="s">
        <v>1025</v>
      </c>
      <c r="G584" s="3" t="s">
        <v>1026</v>
      </c>
      <c r="H584" s="4">
        <v>4749.05</v>
      </c>
      <c r="I584" s="3" t="s">
        <v>11</v>
      </c>
    </row>
    <row r="585" spans="1:9" x14ac:dyDescent="0.35">
      <c r="A585" s="3">
        <v>103408687</v>
      </c>
      <c r="B585" s="3" t="s">
        <v>1027</v>
      </c>
      <c r="C585" s="3" t="s">
        <v>9</v>
      </c>
      <c r="D585" s="3" t="s">
        <v>5</v>
      </c>
      <c r="E585" s="3" t="s">
        <v>10</v>
      </c>
      <c r="F585" s="3" t="s">
        <v>1028</v>
      </c>
      <c r="G585" s="3" t="s">
        <v>1029</v>
      </c>
      <c r="H585" s="4">
        <v>3991.99</v>
      </c>
      <c r="I585" s="3" t="s">
        <v>11</v>
      </c>
    </row>
    <row r="586" spans="1:9" x14ac:dyDescent="0.35">
      <c r="A586" s="3">
        <v>103408686</v>
      </c>
      <c r="B586" s="3" t="s">
        <v>1030</v>
      </c>
      <c r="C586" s="3" t="s">
        <v>9</v>
      </c>
      <c r="D586" s="3" t="s">
        <v>5</v>
      </c>
      <c r="E586" s="3" t="s">
        <v>10</v>
      </c>
      <c r="F586" s="3" t="s">
        <v>1031</v>
      </c>
      <c r="G586" s="3" t="s">
        <v>1032</v>
      </c>
      <c r="H586" s="4">
        <v>1457.1</v>
      </c>
      <c r="I586" s="3" t="s">
        <v>11</v>
      </c>
    </row>
    <row r="587" spans="1:9" x14ac:dyDescent="0.35">
      <c r="A587" s="3">
        <v>103408604</v>
      </c>
      <c r="B587" s="3" t="s">
        <v>1033</v>
      </c>
      <c r="C587" s="3" t="s">
        <v>9</v>
      </c>
      <c r="D587" s="3" t="s">
        <v>5</v>
      </c>
      <c r="E587" s="3" t="s">
        <v>10</v>
      </c>
      <c r="F587" s="3" t="s">
        <v>1034</v>
      </c>
      <c r="G587" s="3" t="s">
        <v>1035</v>
      </c>
      <c r="H587" s="4">
        <v>1880.14</v>
      </c>
      <c r="I587" s="3" t="s">
        <v>11</v>
      </c>
    </row>
    <row r="588" spans="1:9" x14ac:dyDescent="0.35">
      <c r="A588" s="3">
        <v>103408603</v>
      </c>
      <c r="B588" s="3" t="s">
        <v>1036</v>
      </c>
      <c r="C588" s="3" t="s">
        <v>9</v>
      </c>
      <c r="D588" s="3" t="s">
        <v>5</v>
      </c>
      <c r="E588" s="3" t="s">
        <v>10</v>
      </c>
      <c r="F588" s="3" t="s">
        <v>1037</v>
      </c>
      <c r="G588" s="3" t="s">
        <v>1038</v>
      </c>
      <c r="H588" s="4">
        <v>1329.05</v>
      </c>
      <c r="I588" s="3" t="s">
        <v>11</v>
      </c>
    </row>
    <row r="589" spans="1:9" x14ac:dyDescent="0.35">
      <c r="A589" s="3">
        <v>103408680</v>
      </c>
      <c r="B589" s="3" t="s">
        <v>1039</v>
      </c>
      <c r="C589" s="3" t="s">
        <v>9</v>
      </c>
      <c r="D589" s="3" t="s">
        <v>5</v>
      </c>
      <c r="E589" s="3" t="s">
        <v>10</v>
      </c>
      <c r="F589" s="3" t="s">
        <v>1040</v>
      </c>
      <c r="G589" s="3" t="s">
        <v>1041</v>
      </c>
      <c r="H589" s="4">
        <v>2834.1</v>
      </c>
      <c r="I589" s="3" t="s">
        <v>11</v>
      </c>
    </row>
    <row r="590" spans="1:9" x14ac:dyDescent="0.35">
      <c r="A590" s="3">
        <v>103408677</v>
      </c>
      <c r="B590" s="3" t="s">
        <v>1042</v>
      </c>
      <c r="C590" s="3" t="s">
        <v>9</v>
      </c>
      <c r="D590" s="3" t="s">
        <v>5</v>
      </c>
      <c r="E590" s="3" t="s">
        <v>10</v>
      </c>
      <c r="F590" s="3" t="s">
        <v>1043</v>
      </c>
      <c r="G590" s="3" t="s">
        <v>1044</v>
      </c>
      <c r="H590" s="4">
        <v>2449.1</v>
      </c>
      <c r="I590" s="3" t="s">
        <v>11</v>
      </c>
    </row>
    <row r="591" spans="1:9" x14ac:dyDescent="0.35">
      <c r="A591" s="3">
        <v>103408676</v>
      </c>
      <c r="B591" s="3" t="s">
        <v>1045</v>
      </c>
      <c r="C591" s="3" t="s">
        <v>9</v>
      </c>
      <c r="D591" s="3" t="s">
        <v>5</v>
      </c>
      <c r="E591" s="3" t="s">
        <v>10</v>
      </c>
      <c r="F591" s="3" t="s">
        <v>1046</v>
      </c>
      <c r="G591" s="3" t="s">
        <v>1047</v>
      </c>
      <c r="H591" s="4">
        <v>1709.05</v>
      </c>
      <c r="I591" s="3" t="s">
        <v>11</v>
      </c>
    </row>
    <row r="592" spans="1:9" x14ac:dyDescent="0.35">
      <c r="A592" s="3">
        <v>103408675</v>
      </c>
      <c r="B592" s="3" t="s">
        <v>1048</v>
      </c>
      <c r="C592" s="3" t="s">
        <v>9</v>
      </c>
      <c r="D592" s="3" t="s">
        <v>5</v>
      </c>
      <c r="E592" s="3" t="s">
        <v>10</v>
      </c>
      <c r="F592" s="3" t="s">
        <v>1049</v>
      </c>
      <c r="G592" s="3" t="s">
        <v>1050</v>
      </c>
      <c r="H592" s="5">
        <v>1199</v>
      </c>
      <c r="I592" s="3" t="s">
        <v>11</v>
      </c>
    </row>
    <row r="593" spans="1:9" x14ac:dyDescent="0.35">
      <c r="A593" s="3">
        <v>103408672</v>
      </c>
      <c r="B593" s="3" t="s">
        <v>1051</v>
      </c>
      <c r="C593" s="3" t="s">
        <v>9</v>
      </c>
      <c r="D593" s="3" t="s">
        <v>5</v>
      </c>
      <c r="E593" s="3" t="s">
        <v>10</v>
      </c>
      <c r="F593" s="3" t="s">
        <v>1052</v>
      </c>
      <c r="G593" s="3" t="s">
        <v>1053</v>
      </c>
      <c r="H593" s="5">
        <v>2228</v>
      </c>
      <c r="I593" s="3" t="s">
        <v>13</v>
      </c>
    </row>
    <row r="594" spans="1:9" x14ac:dyDescent="0.35">
      <c r="A594" s="3">
        <v>103408593</v>
      </c>
      <c r="B594" s="3" t="s">
        <v>1054</v>
      </c>
      <c r="C594" s="3" t="s">
        <v>9</v>
      </c>
      <c r="D594" s="3" t="s">
        <v>5</v>
      </c>
      <c r="E594" s="3" t="s">
        <v>10</v>
      </c>
      <c r="F594" s="3" t="s">
        <v>1055</v>
      </c>
      <c r="G594" s="3" t="s">
        <v>1056</v>
      </c>
      <c r="H594" s="4">
        <v>5000.8900000000003</v>
      </c>
      <c r="I594" s="3" t="s">
        <v>11</v>
      </c>
    </row>
    <row r="595" spans="1:9" x14ac:dyDescent="0.35">
      <c r="A595" s="3">
        <v>103408591</v>
      </c>
      <c r="B595" s="3" t="s">
        <v>1057</v>
      </c>
      <c r="C595" s="3" t="s">
        <v>9</v>
      </c>
      <c r="D595" s="3" t="s">
        <v>5</v>
      </c>
      <c r="E595" s="3" t="s">
        <v>10</v>
      </c>
      <c r="F595" s="3" t="s">
        <v>1058</v>
      </c>
      <c r="G595" s="3" t="s">
        <v>1059</v>
      </c>
      <c r="H595" s="3">
        <v>519</v>
      </c>
      <c r="I595" s="3" t="s">
        <v>11</v>
      </c>
    </row>
    <row r="596" spans="1:9" x14ac:dyDescent="0.35">
      <c r="A596" s="3">
        <v>103408561</v>
      </c>
      <c r="B596" s="3" t="s">
        <v>1060</v>
      </c>
      <c r="C596" s="3" t="s">
        <v>9</v>
      </c>
      <c r="D596" s="3" t="s">
        <v>5</v>
      </c>
      <c r="E596" s="3" t="s">
        <v>10</v>
      </c>
      <c r="F596" s="3" t="s">
        <v>1061</v>
      </c>
      <c r="G596" s="3" t="s">
        <v>1062</v>
      </c>
      <c r="H596" s="5">
        <v>1079</v>
      </c>
      <c r="I596" s="3" t="s">
        <v>11</v>
      </c>
    </row>
    <row r="597" spans="1:9" x14ac:dyDescent="0.35">
      <c r="A597" s="3">
        <v>103408560</v>
      </c>
      <c r="B597" s="3" t="s">
        <v>1063</v>
      </c>
      <c r="C597" s="3" t="s">
        <v>9</v>
      </c>
      <c r="D597" s="3" t="s">
        <v>5</v>
      </c>
      <c r="E597" s="3" t="s">
        <v>10</v>
      </c>
      <c r="F597" s="3" t="s">
        <v>1064</v>
      </c>
      <c r="G597" s="3" t="s">
        <v>1065</v>
      </c>
      <c r="H597" s="3">
        <v>579</v>
      </c>
      <c r="I597" s="3" t="s">
        <v>13</v>
      </c>
    </row>
    <row r="598" spans="1:9" x14ac:dyDescent="0.35">
      <c r="A598" s="3">
        <v>103408556</v>
      </c>
      <c r="B598" s="3" t="s">
        <v>1066</v>
      </c>
      <c r="C598" s="3" t="s">
        <v>9</v>
      </c>
      <c r="D598" s="3" t="s">
        <v>5</v>
      </c>
      <c r="E598" s="3" t="s">
        <v>10</v>
      </c>
      <c r="F598" s="3" t="s">
        <v>1067</v>
      </c>
      <c r="G598" s="3" t="s">
        <v>1068</v>
      </c>
      <c r="H598" s="4">
        <v>5129.1400000000003</v>
      </c>
      <c r="I598" s="3" t="s">
        <v>11</v>
      </c>
    </row>
    <row r="599" spans="1:9" x14ac:dyDescent="0.35">
      <c r="A599" s="3">
        <v>103408550</v>
      </c>
      <c r="B599" s="3" t="s">
        <v>1069</v>
      </c>
      <c r="C599" s="3" t="s">
        <v>9</v>
      </c>
      <c r="D599" s="3" t="s">
        <v>5</v>
      </c>
      <c r="E599" s="3" t="s">
        <v>10</v>
      </c>
      <c r="F599" s="3" t="s">
        <v>1070</v>
      </c>
      <c r="G599" s="3" t="s">
        <v>1071</v>
      </c>
      <c r="H599" s="4">
        <v>2393.14</v>
      </c>
      <c r="I599" s="3" t="s">
        <v>11</v>
      </c>
    </row>
    <row r="600" spans="1:9" x14ac:dyDescent="0.35">
      <c r="A600" s="3">
        <v>103408583</v>
      </c>
      <c r="B600" s="3" t="s">
        <v>1072</v>
      </c>
      <c r="C600" s="3" t="s">
        <v>9</v>
      </c>
      <c r="D600" s="3" t="s">
        <v>5</v>
      </c>
      <c r="E600" s="3" t="s">
        <v>12</v>
      </c>
      <c r="F600" s="3" t="s">
        <v>1073</v>
      </c>
      <c r="G600" s="3" t="s">
        <v>1074</v>
      </c>
      <c r="H600" s="3">
        <v>854.14</v>
      </c>
      <c r="I600" s="3" t="s">
        <v>11</v>
      </c>
    </row>
    <row r="601" spans="1:9" x14ac:dyDescent="0.35">
      <c r="A601" s="3">
        <v>103408546</v>
      </c>
      <c r="B601" s="3" t="s">
        <v>4762</v>
      </c>
      <c r="C601" s="3" t="s">
        <v>9</v>
      </c>
      <c r="D601" s="3" t="s">
        <v>5</v>
      </c>
      <c r="E601" s="3" t="s">
        <v>10</v>
      </c>
      <c r="F601" s="3" t="s">
        <v>4763</v>
      </c>
      <c r="G601" s="3" t="s">
        <v>4764</v>
      </c>
      <c r="H601" s="4">
        <v>1939.99</v>
      </c>
      <c r="I601" s="3" t="s">
        <v>13</v>
      </c>
    </row>
    <row r="602" spans="1:9" x14ac:dyDescent="0.35">
      <c r="A602" s="3">
        <v>103408581</v>
      </c>
      <c r="B602" s="3" t="s">
        <v>1075</v>
      </c>
      <c r="C602" s="3" t="s">
        <v>9</v>
      </c>
      <c r="D602" s="3" t="s">
        <v>5</v>
      </c>
      <c r="E602" s="3" t="s">
        <v>10</v>
      </c>
      <c r="F602" s="3" t="s">
        <v>1076</v>
      </c>
      <c r="G602" s="3" t="s">
        <v>1077</v>
      </c>
      <c r="H602" s="4">
        <v>1922.89</v>
      </c>
      <c r="I602" s="3" t="s">
        <v>11</v>
      </c>
    </row>
    <row r="603" spans="1:9" x14ac:dyDescent="0.35">
      <c r="A603" s="3">
        <v>103408542</v>
      </c>
      <c r="B603" s="3" t="s">
        <v>1078</v>
      </c>
      <c r="C603" s="3" t="s">
        <v>9</v>
      </c>
      <c r="D603" s="3" t="s">
        <v>5</v>
      </c>
      <c r="E603" s="3" t="s">
        <v>10</v>
      </c>
      <c r="F603" s="3" t="s">
        <v>1079</v>
      </c>
      <c r="G603" s="3" t="s">
        <v>1080</v>
      </c>
      <c r="H603" s="4">
        <v>2849.05</v>
      </c>
      <c r="I603" s="3" t="s">
        <v>11</v>
      </c>
    </row>
    <row r="604" spans="1:9" x14ac:dyDescent="0.35">
      <c r="A604" s="3">
        <v>103408541</v>
      </c>
      <c r="B604" s="3" t="s">
        <v>1081</v>
      </c>
      <c r="C604" s="3" t="s">
        <v>9</v>
      </c>
      <c r="D604" s="3" t="s">
        <v>5</v>
      </c>
      <c r="E604" s="3" t="s">
        <v>10</v>
      </c>
      <c r="F604" s="3" t="s">
        <v>1082</v>
      </c>
      <c r="G604" s="3" t="s">
        <v>1083</v>
      </c>
      <c r="H604" s="4">
        <v>1661.55</v>
      </c>
      <c r="I604" s="3" t="s">
        <v>11</v>
      </c>
    </row>
    <row r="605" spans="1:9" x14ac:dyDescent="0.35">
      <c r="A605" s="3">
        <v>103408537</v>
      </c>
      <c r="B605" s="3" t="s">
        <v>1084</v>
      </c>
      <c r="C605" s="3" t="s">
        <v>9</v>
      </c>
      <c r="D605" s="3" t="s">
        <v>5</v>
      </c>
      <c r="E605" s="3" t="s">
        <v>10</v>
      </c>
      <c r="F605" s="3" t="s">
        <v>1085</v>
      </c>
      <c r="G605" s="3" t="s">
        <v>1086</v>
      </c>
      <c r="H605" s="3">
        <v>853.1</v>
      </c>
      <c r="I605" s="3" t="s">
        <v>11</v>
      </c>
    </row>
    <row r="606" spans="1:9" x14ac:dyDescent="0.35">
      <c r="A606" s="3">
        <v>103408574</v>
      </c>
      <c r="B606" s="3" t="s">
        <v>1087</v>
      </c>
      <c r="C606" s="3" t="s">
        <v>9</v>
      </c>
      <c r="D606" s="3" t="s">
        <v>5</v>
      </c>
      <c r="E606" s="3" t="s">
        <v>10</v>
      </c>
      <c r="F606" s="3" t="s">
        <v>1088</v>
      </c>
      <c r="G606" s="3" t="s">
        <v>1089</v>
      </c>
      <c r="H606" s="4">
        <v>2564.14</v>
      </c>
      <c r="I606" s="3" t="s">
        <v>11</v>
      </c>
    </row>
    <row r="607" spans="1:9" x14ac:dyDescent="0.35">
      <c r="A607" s="3">
        <v>103408573</v>
      </c>
      <c r="B607" s="3" t="s">
        <v>1090</v>
      </c>
      <c r="C607" s="3" t="s">
        <v>9</v>
      </c>
      <c r="D607" s="3" t="s">
        <v>5</v>
      </c>
      <c r="E607" s="3" t="s">
        <v>12</v>
      </c>
      <c r="F607" s="3" t="s">
        <v>1091</v>
      </c>
      <c r="G607" s="3" t="s">
        <v>1092</v>
      </c>
      <c r="H607" s="4">
        <v>1352.85</v>
      </c>
      <c r="I607" s="3" t="s">
        <v>11</v>
      </c>
    </row>
    <row r="608" spans="1:9" x14ac:dyDescent="0.35">
      <c r="A608" s="3">
        <v>103408572</v>
      </c>
      <c r="B608" s="3" t="s">
        <v>1093</v>
      </c>
      <c r="C608" s="3" t="s">
        <v>9</v>
      </c>
      <c r="D608" s="3" t="s">
        <v>5</v>
      </c>
      <c r="E608" s="3" t="s">
        <v>10</v>
      </c>
      <c r="F608" s="3" t="s">
        <v>1094</v>
      </c>
      <c r="G608" s="3" t="s">
        <v>1095</v>
      </c>
      <c r="H608" s="5">
        <v>2547</v>
      </c>
      <c r="I608" s="3" t="s">
        <v>11</v>
      </c>
    </row>
    <row r="609" spans="1:9" x14ac:dyDescent="0.35">
      <c r="A609" s="3">
        <v>103408532</v>
      </c>
      <c r="B609" s="3" t="s">
        <v>1096</v>
      </c>
      <c r="C609" s="3" t="s">
        <v>9</v>
      </c>
      <c r="D609" s="3" t="s">
        <v>5</v>
      </c>
      <c r="E609" s="3" t="s">
        <v>10</v>
      </c>
      <c r="F609" s="3" t="s">
        <v>1097</v>
      </c>
      <c r="G609" s="3" t="s">
        <v>1098</v>
      </c>
      <c r="H609" s="5">
        <v>3599</v>
      </c>
      <c r="I609" s="3" t="s">
        <v>11</v>
      </c>
    </row>
    <row r="610" spans="1:9" x14ac:dyDescent="0.35">
      <c r="A610" s="3">
        <v>103408569</v>
      </c>
      <c r="B610" s="3" t="s">
        <v>1099</v>
      </c>
      <c r="C610" s="3" t="s">
        <v>9</v>
      </c>
      <c r="D610" s="3" t="s">
        <v>5</v>
      </c>
      <c r="E610" s="3" t="s">
        <v>10</v>
      </c>
      <c r="F610" s="3" t="s">
        <v>1100</v>
      </c>
      <c r="G610" s="3" t="s">
        <v>1101</v>
      </c>
      <c r="H610" s="3">
        <v>939.55</v>
      </c>
      <c r="I610" s="3" t="s">
        <v>11</v>
      </c>
    </row>
    <row r="611" spans="1:9" x14ac:dyDescent="0.35">
      <c r="A611" s="3">
        <v>103408531</v>
      </c>
      <c r="B611" s="3" t="s">
        <v>1102</v>
      </c>
      <c r="C611" s="3" t="s">
        <v>9</v>
      </c>
      <c r="D611" s="3" t="s">
        <v>5</v>
      </c>
      <c r="E611" s="3" t="s">
        <v>10</v>
      </c>
      <c r="F611" s="3" t="s">
        <v>1103</v>
      </c>
      <c r="G611" s="3" t="s">
        <v>1104</v>
      </c>
      <c r="H611" s="4">
        <v>3247.29</v>
      </c>
      <c r="I611" s="3" t="s">
        <v>11</v>
      </c>
    </row>
    <row r="612" spans="1:9" x14ac:dyDescent="0.35">
      <c r="A612" s="3">
        <v>103408566</v>
      </c>
      <c r="B612" s="3" t="s">
        <v>1105</v>
      </c>
      <c r="C612" s="3" t="s">
        <v>9</v>
      </c>
      <c r="D612" s="3" t="s">
        <v>5</v>
      </c>
      <c r="E612" s="3" t="s">
        <v>10</v>
      </c>
      <c r="F612" s="3" t="s">
        <v>1106</v>
      </c>
      <c r="G612" s="3" t="s">
        <v>1107</v>
      </c>
      <c r="H612" s="5">
        <v>1798</v>
      </c>
      <c r="I612" s="3" t="s">
        <v>11</v>
      </c>
    </row>
    <row r="613" spans="1:9" x14ac:dyDescent="0.35">
      <c r="A613" s="3">
        <v>103408565</v>
      </c>
      <c r="B613" s="3" t="s">
        <v>1108</v>
      </c>
      <c r="C613" s="3" t="s">
        <v>9</v>
      </c>
      <c r="D613" s="3" t="s">
        <v>5</v>
      </c>
      <c r="E613" s="3" t="s">
        <v>10</v>
      </c>
      <c r="F613" s="3" t="s">
        <v>1109</v>
      </c>
      <c r="G613" s="3" t="s">
        <v>1110</v>
      </c>
      <c r="H613" s="4">
        <v>1424.05</v>
      </c>
      <c r="I613" s="3" t="s">
        <v>11</v>
      </c>
    </row>
    <row r="614" spans="1:9" x14ac:dyDescent="0.35">
      <c r="A614" s="3">
        <v>103408528</v>
      </c>
      <c r="B614" s="3" t="s">
        <v>1108</v>
      </c>
      <c r="C614" s="3" t="s">
        <v>9</v>
      </c>
      <c r="D614" s="3" t="s">
        <v>5</v>
      </c>
      <c r="E614" s="3" t="s">
        <v>10</v>
      </c>
      <c r="F614" s="3" t="s">
        <v>1111</v>
      </c>
      <c r="G614" s="3" t="s">
        <v>1112</v>
      </c>
      <c r="H614" s="5">
        <v>4999</v>
      </c>
      <c r="I614" s="3" t="s">
        <v>11</v>
      </c>
    </row>
    <row r="615" spans="1:9" x14ac:dyDescent="0.35">
      <c r="A615" s="3">
        <v>103408462</v>
      </c>
      <c r="B615" s="3" t="s">
        <v>1113</v>
      </c>
      <c r="C615" s="3" t="s">
        <v>9</v>
      </c>
      <c r="D615" s="3" t="s">
        <v>5</v>
      </c>
      <c r="E615" s="3" t="s">
        <v>10</v>
      </c>
      <c r="F615" s="3" t="s">
        <v>1114</v>
      </c>
      <c r="G615" s="3" t="s">
        <v>1115</v>
      </c>
      <c r="H615" s="3">
        <v>969</v>
      </c>
      <c r="I615" s="3" t="s">
        <v>11</v>
      </c>
    </row>
    <row r="616" spans="1:9" x14ac:dyDescent="0.35">
      <c r="A616" s="3">
        <v>103408526</v>
      </c>
      <c r="B616" s="3" t="s">
        <v>1116</v>
      </c>
      <c r="C616" s="3" t="s">
        <v>9</v>
      </c>
      <c r="D616" s="3" t="s">
        <v>5</v>
      </c>
      <c r="E616" s="3" t="s">
        <v>10</v>
      </c>
      <c r="F616" s="3" t="s">
        <v>1117</v>
      </c>
      <c r="G616" s="3" t="s">
        <v>1118</v>
      </c>
      <c r="H616" s="5">
        <v>4999</v>
      </c>
      <c r="I616" s="3" t="s">
        <v>11</v>
      </c>
    </row>
    <row r="617" spans="1:9" x14ac:dyDescent="0.35">
      <c r="A617" s="3">
        <v>103408521</v>
      </c>
      <c r="B617" s="3" t="s">
        <v>1119</v>
      </c>
      <c r="C617" s="3" t="s">
        <v>9</v>
      </c>
      <c r="D617" s="3" t="s">
        <v>5</v>
      </c>
      <c r="E617" s="3" t="s">
        <v>10</v>
      </c>
      <c r="F617" s="3" t="s">
        <v>1117</v>
      </c>
      <c r="G617" s="3" t="s">
        <v>1118</v>
      </c>
      <c r="H617" s="5">
        <v>5399</v>
      </c>
      <c r="I617" s="3" t="s">
        <v>11</v>
      </c>
    </row>
    <row r="618" spans="1:9" x14ac:dyDescent="0.35">
      <c r="A618" s="3">
        <v>103408458</v>
      </c>
      <c r="B618" s="3" t="s">
        <v>1120</v>
      </c>
      <c r="C618" s="3" t="s">
        <v>9</v>
      </c>
      <c r="D618" s="3" t="s">
        <v>5</v>
      </c>
      <c r="E618" s="3" t="s">
        <v>10</v>
      </c>
      <c r="F618" s="3" t="s">
        <v>1121</v>
      </c>
      <c r="G618" s="3" t="s">
        <v>1122</v>
      </c>
      <c r="H618" s="3">
        <v>969</v>
      </c>
      <c r="I618" s="3" t="s">
        <v>11</v>
      </c>
    </row>
    <row r="619" spans="1:9" x14ac:dyDescent="0.35">
      <c r="A619" s="3">
        <v>103408511</v>
      </c>
      <c r="B619" s="3" t="s">
        <v>1123</v>
      </c>
      <c r="C619" s="3" t="s">
        <v>9</v>
      </c>
      <c r="D619" s="3" t="s">
        <v>5</v>
      </c>
      <c r="E619" s="3" t="s">
        <v>10</v>
      </c>
      <c r="F619" s="3" t="s">
        <v>1124</v>
      </c>
      <c r="G619" s="3" t="s">
        <v>1125</v>
      </c>
      <c r="H619" s="3">
        <v>969</v>
      </c>
      <c r="I619" s="3" t="s">
        <v>11</v>
      </c>
    </row>
    <row r="620" spans="1:9" x14ac:dyDescent="0.35">
      <c r="A620" s="3">
        <v>103408508</v>
      </c>
      <c r="B620" s="3" t="s">
        <v>1126</v>
      </c>
      <c r="C620" s="3" t="s">
        <v>9</v>
      </c>
      <c r="D620" s="3" t="s">
        <v>5</v>
      </c>
      <c r="E620" s="3" t="s">
        <v>10</v>
      </c>
      <c r="F620" s="3" t="s">
        <v>1127</v>
      </c>
      <c r="G620" s="3" t="s">
        <v>1128</v>
      </c>
      <c r="H620" s="4">
        <v>2461.54</v>
      </c>
      <c r="I620" s="3" t="s">
        <v>11</v>
      </c>
    </row>
    <row r="621" spans="1:9" x14ac:dyDescent="0.35">
      <c r="A621" s="3">
        <v>103408507</v>
      </c>
      <c r="B621" s="3" t="s">
        <v>1129</v>
      </c>
      <c r="C621" s="3" t="s">
        <v>9</v>
      </c>
      <c r="D621" s="3" t="s">
        <v>5</v>
      </c>
      <c r="E621" s="3" t="s">
        <v>12</v>
      </c>
      <c r="F621" s="3" t="s">
        <v>1130</v>
      </c>
      <c r="G621" s="3" t="s">
        <v>1131</v>
      </c>
      <c r="H621" s="4">
        <v>2519.1</v>
      </c>
      <c r="I621" s="3" t="s">
        <v>11</v>
      </c>
    </row>
    <row r="622" spans="1:9" x14ac:dyDescent="0.35">
      <c r="A622" s="3">
        <v>103408447</v>
      </c>
      <c r="B622" s="3" t="s">
        <v>1132</v>
      </c>
      <c r="C622" s="3" t="s">
        <v>9</v>
      </c>
      <c r="D622" s="3" t="s">
        <v>5</v>
      </c>
      <c r="E622" s="3" t="s">
        <v>10</v>
      </c>
      <c r="F622" s="3" t="s">
        <v>1133</v>
      </c>
      <c r="G622" s="3" t="s">
        <v>1134</v>
      </c>
      <c r="H622" s="4">
        <v>1110.55</v>
      </c>
      <c r="I622" s="3" t="s">
        <v>11</v>
      </c>
    </row>
    <row r="623" spans="1:9" x14ac:dyDescent="0.35">
      <c r="A623" s="3">
        <v>103408502</v>
      </c>
      <c r="B623" s="3" t="s">
        <v>1135</v>
      </c>
      <c r="C623" s="3" t="s">
        <v>9</v>
      </c>
      <c r="D623" s="3" t="s">
        <v>5</v>
      </c>
      <c r="E623" s="3" t="s">
        <v>10</v>
      </c>
      <c r="F623" s="3" t="s">
        <v>1136</v>
      </c>
      <c r="G623" s="3" t="s">
        <v>1137</v>
      </c>
      <c r="H623" s="5">
        <v>3149</v>
      </c>
      <c r="I623" s="3" t="s">
        <v>11</v>
      </c>
    </row>
    <row r="624" spans="1:9" x14ac:dyDescent="0.35">
      <c r="A624" s="3">
        <v>103408439</v>
      </c>
      <c r="B624" s="3" t="s">
        <v>1138</v>
      </c>
      <c r="C624" s="3" t="s">
        <v>9</v>
      </c>
      <c r="D624" s="3" t="s">
        <v>5</v>
      </c>
      <c r="E624" s="3" t="s">
        <v>10</v>
      </c>
      <c r="F624" s="3" t="s">
        <v>1139</v>
      </c>
      <c r="G624" s="3" t="s">
        <v>1140</v>
      </c>
      <c r="H624" s="3">
        <v>369</v>
      </c>
      <c r="I624" s="3" t="s">
        <v>11</v>
      </c>
    </row>
    <row r="625" spans="1:9" x14ac:dyDescent="0.35">
      <c r="A625" s="3">
        <v>103408437</v>
      </c>
      <c r="B625" s="3" t="s">
        <v>1141</v>
      </c>
      <c r="C625" s="3" t="s">
        <v>9</v>
      </c>
      <c r="D625" s="3" t="s">
        <v>5</v>
      </c>
      <c r="E625" s="3" t="s">
        <v>10</v>
      </c>
      <c r="F625" s="3" t="s">
        <v>1142</v>
      </c>
      <c r="G625" s="3" t="s">
        <v>1143</v>
      </c>
      <c r="H625" s="4">
        <v>1423.1</v>
      </c>
      <c r="I625" s="3" t="s">
        <v>11</v>
      </c>
    </row>
    <row r="626" spans="1:9" x14ac:dyDescent="0.35">
      <c r="A626" s="3">
        <v>103408436</v>
      </c>
      <c r="B626" s="3" t="s">
        <v>1144</v>
      </c>
      <c r="C626" s="3" t="s">
        <v>9</v>
      </c>
      <c r="D626" s="3" t="s">
        <v>5</v>
      </c>
      <c r="E626" s="3" t="s">
        <v>10</v>
      </c>
      <c r="F626" s="3" t="s">
        <v>1145</v>
      </c>
      <c r="G626" s="3" t="s">
        <v>1146</v>
      </c>
      <c r="H626" s="3">
        <v>969</v>
      </c>
      <c r="I626" s="3" t="s">
        <v>11</v>
      </c>
    </row>
    <row r="627" spans="1:9" x14ac:dyDescent="0.35">
      <c r="A627" s="3">
        <v>103408432</v>
      </c>
      <c r="B627" s="3" t="s">
        <v>1147</v>
      </c>
      <c r="C627" s="3" t="s">
        <v>9</v>
      </c>
      <c r="D627" s="3" t="s">
        <v>5</v>
      </c>
      <c r="E627" s="3" t="s">
        <v>12</v>
      </c>
      <c r="F627" s="3" t="s">
        <v>1148</v>
      </c>
      <c r="G627" s="3" t="s">
        <v>1149</v>
      </c>
      <c r="H627" s="5">
        <v>3019</v>
      </c>
      <c r="I627" s="3" t="s">
        <v>11</v>
      </c>
    </row>
    <row r="628" spans="1:9" x14ac:dyDescent="0.35">
      <c r="A628" s="3">
        <v>103408497</v>
      </c>
      <c r="B628" s="3" t="s">
        <v>1150</v>
      </c>
      <c r="C628" s="3" t="s">
        <v>9</v>
      </c>
      <c r="D628" s="3" t="s">
        <v>5</v>
      </c>
      <c r="E628" s="3" t="s">
        <v>10</v>
      </c>
      <c r="F628" s="3" t="s">
        <v>1151</v>
      </c>
      <c r="G628" s="3" t="s">
        <v>1152</v>
      </c>
      <c r="H628" s="4">
        <v>2849.05</v>
      </c>
      <c r="I628" s="3" t="s">
        <v>11</v>
      </c>
    </row>
    <row r="629" spans="1:9" x14ac:dyDescent="0.35">
      <c r="A629" s="3">
        <v>103408495</v>
      </c>
      <c r="B629" s="3" t="s">
        <v>1153</v>
      </c>
      <c r="C629" s="3" t="s">
        <v>9</v>
      </c>
      <c r="D629" s="3" t="s">
        <v>5</v>
      </c>
      <c r="E629" s="3" t="s">
        <v>10</v>
      </c>
      <c r="F629" s="3" t="s">
        <v>1154</v>
      </c>
      <c r="G629" s="3" t="s">
        <v>1155</v>
      </c>
      <c r="H629" s="4">
        <v>1709.05</v>
      </c>
      <c r="I629" s="3" t="s">
        <v>11</v>
      </c>
    </row>
    <row r="630" spans="1:9" x14ac:dyDescent="0.35">
      <c r="A630" s="3">
        <v>103408492</v>
      </c>
      <c r="B630" s="3" t="s">
        <v>1156</v>
      </c>
      <c r="C630" s="3" t="s">
        <v>9</v>
      </c>
      <c r="D630" s="3" t="s">
        <v>5</v>
      </c>
      <c r="E630" s="3" t="s">
        <v>10</v>
      </c>
      <c r="F630" s="3" t="s">
        <v>1157</v>
      </c>
      <c r="G630" s="3" t="s">
        <v>1158</v>
      </c>
      <c r="H630" s="5">
        <v>1259</v>
      </c>
      <c r="I630" s="3" t="s">
        <v>11</v>
      </c>
    </row>
    <row r="631" spans="1:9" x14ac:dyDescent="0.35">
      <c r="A631" s="3">
        <v>103408425</v>
      </c>
      <c r="B631" s="3" t="s">
        <v>1159</v>
      </c>
      <c r="C631" s="3" t="s">
        <v>9</v>
      </c>
      <c r="D631" s="3" t="s">
        <v>5</v>
      </c>
      <c r="E631" s="3" t="s">
        <v>10</v>
      </c>
      <c r="F631" s="3" t="s">
        <v>1160</v>
      </c>
      <c r="G631" s="3" t="s">
        <v>1161</v>
      </c>
      <c r="H631" s="4">
        <v>1435.54</v>
      </c>
      <c r="I631" s="3" t="s">
        <v>11</v>
      </c>
    </row>
    <row r="632" spans="1:9" x14ac:dyDescent="0.35">
      <c r="A632" s="3">
        <v>103408489</v>
      </c>
      <c r="B632" s="3" t="s">
        <v>1162</v>
      </c>
      <c r="C632" s="3" t="s">
        <v>9</v>
      </c>
      <c r="D632" s="3" t="s">
        <v>5</v>
      </c>
      <c r="E632" s="3" t="s">
        <v>10</v>
      </c>
      <c r="F632" s="3" t="s">
        <v>1163</v>
      </c>
      <c r="G632" s="3" t="s">
        <v>1164</v>
      </c>
      <c r="H632" s="4">
        <v>2093.89</v>
      </c>
      <c r="I632" s="3" t="s">
        <v>11</v>
      </c>
    </row>
    <row r="633" spans="1:9" x14ac:dyDescent="0.35">
      <c r="A633" s="3">
        <v>103408488</v>
      </c>
      <c r="B633" s="3" t="s">
        <v>1165</v>
      </c>
      <c r="C633" s="3" t="s">
        <v>9</v>
      </c>
      <c r="D633" s="3" t="s">
        <v>5</v>
      </c>
      <c r="E633" s="3" t="s">
        <v>10</v>
      </c>
      <c r="F633" s="3" t="s">
        <v>1166</v>
      </c>
      <c r="G633" s="3" t="s">
        <v>1167</v>
      </c>
      <c r="H633" s="5">
        <v>1649</v>
      </c>
      <c r="I633" s="3" t="s">
        <v>11</v>
      </c>
    </row>
    <row r="634" spans="1:9" x14ac:dyDescent="0.35">
      <c r="A634" s="3">
        <v>103408419</v>
      </c>
      <c r="B634" s="3" t="s">
        <v>1168</v>
      </c>
      <c r="C634" s="3" t="s">
        <v>9</v>
      </c>
      <c r="D634" s="3" t="s">
        <v>5</v>
      </c>
      <c r="E634" s="3" t="s">
        <v>10</v>
      </c>
      <c r="F634" s="3" t="s">
        <v>1169</v>
      </c>
      <c r="G634" s="3" t="s">
        <v>1170</v>
      </c>
      <c r="H634" s="3">
        <v>969</v>
      </c>
      <c r="I634" s="3" t="s">
        <v>11</v>
      </c>
    </row>
    <row r="635" spans="1:9" x14ac:dyDescent="0.35">
      <c r="A635" s="3">
        <v>103408482</v>
      </c>
      <c r="B635" s="3" t="s">
        <v>1171</v>
      </c>
      <c r="C635" s="3" t="s">
        <v>9</v>
      </c>
      <c r="D635" s="3" t="s">
        <v>5</v>
      </c>
      <c r="E635" s="3" t="s">
        <v>10</v>
      </c>
      <c r="F635" s="3" t="s">
        <v>1172</v>
      </c>
      <c r="G635" s="3" t="s">
        <v>1173</v>
      </c>
      <c r="H635" s="4">
        <v>1025.05</v>
      </c>
      <c r="I635" s="3" t="s">
        <v>11</v>
      </c>
    </row>
    <row r="636" spans="1:9" x14ac:dyDescent="0.35">
      <c r="A636" s="3">
        <v>103408418</v>
      </c>
      <c r="B636" s="3" t="s">
        <v>1174</v>
      </c>
      <c r="C636" s="3" t="s">
        <v>9</v>
      </c>
      <c r="D636" s="3" t="s">
        <v>5</v>
      </c>
      <c r="E636" s="3" t="s">
        <v>10</v>
      </c>
      <c r="F636" s="3" t="s">
        <v>1175</v>
      </c>
      <c r="G636" s="3" t="s">
        <v>1176</v>
      </c>
      <c r="H636" s="4">
        <v>2991.55</v>
      </c>
      <c r="I636" s="3" t="s">
        <v>11</v>
      </c>
    </row>
    <row r="637" spans="1:9" x14ac:dyDescent="0.35">
      <c r="A637" s="3">
        <v>103408417</v>
      </c>
      <c r="B637" s="3" t="s">
        <v>1177</v>
      </c>
      <c r="C637" s="3" t="s">
        <v>9</v>
      </c>
      <c r="D637" s="3" t="s">
        <v>5</v>
      </c>
      <c r="E637" s="3" t="s">
        <v>12</v>
      </c>
      <c r="F637" s="3" t="s">
        <v>1178</v>
      </c>
      <c r="G637" s="3" t="s">
        <v>1179</v>
      </c>
      <c r="H637" s="4">
        <v>1538.05</v>
      </c>
      <c r="I637" s="3" t="s">
        <v>11</v>
      </c>
    </row>
    <row r="638" spans="1:9" x14ac:dyDescent="0.35">
      <c r="A638" s="3">
        <v>103408416</v>
      </c>
      <c r="B638" s="3" t="s">
        <v>1180</v>
      </c>
      <c r="C638" s="3" t="s">
        <v>9</v>
      </c>
      <c r="D638" s="3" t="s">
        <v>5</v>
      </c>
      <c r="E638" s="3" t="s">
        <v>10</v>
      </c>
      <c r="F638" s="3" t="s">
        <v>1181</v>
      </c>
      <c r="G638" s="3" t="s">
        <v>1182</v>
      </c>
      <c r="H638" s="4">
        <v>1799.1</v>
      </c>
      <c r="I638" s="3" t="s">
        <v>11</v>
      </c>
    </row>
    <row r="639" spans="1:9" x14ac:dyDescent="0.35">
      <c r="A639" s="3">
        <v>103408415</v>
      </c>
      <c r="B639" s="3" t="s">
        <v>4765</v>
      </c>
      <c r="C639" s="3" t="s">
        <v>9</v>
      </c>
      <c r="D639" s="3" t="s">
        <v>5</v>
      </c>
      <c r="E639" s="3" t="s">
        <v>10</v>
      </c>
      <c r="F639" s="3" t="s">
        <v>4766</v>
      </c>
      <c r="G639" s="3" t="s">
        <v>4767</v>
      </c>
      <c r="H639" s="4">
        <v>3133.1</v>
      </c>
      <c r="I639" s="3" t="s">
        <v>13</v>
      </c>
    </row>
    <row r="640" spans="1:9" x14ac:dyDescent="0.35">
      <c r="A640" s="3">
        <v>103408414</v>
      </c>
      <c r="B640" s="3" t="s">
        <v>1183</v>
      </c>
      <c r="C640" s="3" t="s">
        <v>9</v>
      </c>
      <c r="D640" s="3" t="s">
        <v>5</v>
      </c>
      <c r="E640" s="3" t="s">
        <v>10</v>
      </c>
      <c r="F640" s="3" t="s">
        <v>1184</v>
      </c>
      <c r="G640" s="3" t="s">
        <v>1185</v>
      </c>
      <c r="H640" s="3">
        <v>987.05</v>
      </c>
      <c r="I640" s="3" t="s">
        <v>11</v>
      </c>
    </row>
    <row r="641" spans="1:9" x14ac:dyDescent="0.35">
      <c r="A641" s="3">
        <v>103408479</v>
      </c>
      <c r="B641" s="3" t="s">
        <v>1186</v>
      </c>
      <c r="C641" s="3" t="s">
        <v>9</v>
      </c>
      <c r="D641" s="3" t="s">
        <v>5</v>
      </c>
      <c r="E641" s="3" t="s">
        <v>12</v>
      </c>
      <c r="F641" s="3" t="s">
        <v>1187</v>
      </c>
      <c r="G641" s="3" t="s">
        <v>1188</v>
      </c>
      <c r="H641" s="4">
        <v>4558.1000000000004</v>
      </c>
      <c r="I641" s="3" t="s">
        <v>11</v>
      </c>
    </row>
    <row r="642" spans="1:9" x14ac:dyDescent="0.35">
      <c r="A642" s="3">
        <v>103408475</v>
      </c>
      <c r="B642" s="3" t="s">
        <v>1189</v>
      </c>
      <c r="C642" s="3" t="s">
        <v>9</v>
      </c>
      <c r="D642" s="3" t="s">
        <v>5</v>
      </c>
      <c r="E642" s="3" t="s">
        <v>10</v>
      </c>
      <c r="F642" s="3" t="s">
        <v>1190</v>
      </c>
      <c r="G642" s="3" t="s">
        <v>1191</v>
      </c>
      <c r="H642" s="5">
        <v>2398</v>
      </c>
      <c r="I642" s="3" t="s">
        <v>11</v>
      </c>
    </row>
    <row r="643" spans="1:9" x14ac:dyDescent="0.35">
      <c r="A643" s="3">
        <v>103408473</v>
      </c>
      <c r="B643" s="3" t="s">
        <v>1192</v>
      </c>
      <c r="C643" s="3" t="s">
        <v>9</v>
      </c>
      <c r="D643" s="3" t="s">
        <v>5</v>
      </c>
      <c r="E643" s="3" t="s">
        <v>10</v>
      </c>
      <c r="F643" s="3" t="s">
        <v>1193</v>
      </c>
      <c r="G643" s="3" t="s">
        <v>1194</v>
      </c>
      <c r="H643" s="3">
        <v>549</v>
      </c>
      <c r="I643" s="3" t="s">
        <v>11</v>
      </c>
    </row>
    <row r="644" spans="1:9" x14ac:dyDescent="0.35">
      <c r="A644" s="3">
        <v>103408472</v>
      </c>
      <c r="B644" s="3" t="s">
        <v>1192</v>
      </c>
      <c r="C644" s="3" t="s">
        <v>9</v>
      </c>
      <c r="D644" s="3" t="s">
        <v>5</v>
      </c>
      <c r="E644" s="3" t="s">
        <v>10</v>
      </c>
      <c r="F644" s="3" t="s">
        <v>1195</v>
      </c>
      <c r="G644" s="3" t="s">
        <v>1196</v>
      </c>
      <c r="H644" s="4">
        <v>2495.7399999999998</v>
      </c>
      <c r="I644" s="3" t="s">
        <v>11</v>
      </c>
    </row>
    <row r="645" spans="1:9" x14ac:dyDescent="0.35">
      <c r="A645" s="3">
        <v>103408470</v>
      </c>
      <c r="B645" s="3" t="s">
        <v>1197</v>
      </c>
      <c r="C645" s="3" t="s">
        <v>9</v>
      </c>
      <c r="D645" s="3" t="s">
        <v>5</v>
      </c>
      <c r="E645" s="3" t="s">
        <v>10</v>
      </c>
      <c r="F645" s="3" t="s">
        <v>1198</v>
      </c>
      <c r="G645" s="3" t="s">
        <v>1199</v>
      </c>
      <c r="H645" s="5">
        <v>4999</v>
      </c>
      <c r="I645" s="3" t="s">
        <v>11</v>
      </c>
    </row>
    <row r="646" spans="1:9" x14ac:dyDescent="0.35">
      <c r="A646" s="3">
        <v>103408465</v>
      </c>
      <c r="B646" s="3" t="s">
        <v>1200</v>
      </c>
      <c r="C646" s="3" t="s">
        <v>9</v>
      </c>
      <c r="D646" s="3" t="s">
        <v>5</v>
      </c>
      <c r="E646" s="3" t="s">
        <v>10</v>
      </c>
      <c r="F646" s="3" t="s">
        <v>1201</v>
      </c>
      <c r="G646" s="3" t="s">
        <v>1202</v>
      </c>
      <c r="H646" s="4">
        <v>1794.64</v>
      </c>
      <c r="I646" s="3" t="s">
        <v>11</v>
      </c>
    </row>
    <row r="647" spans="1:9" x14ac:dyDescent="0.35">
      <c r="A647" s="3">
        <v>103408364</v>
      </c>
      <c r="B647" s="3" t="s">
        <v>1203</v>
      </c>
      <c r="C647" s="3" t="s">
        <v>9</v>
      </c>
      <c r="D647" s="3" t="s">
        <v>5</v>
      </c>
      <c r="E647" s="3" t="s">
        <v>10</v>
      </c>
      <c r="F647" s="3" t="s">
        <v>1204</v>
      </c>
      <c r="G647" s="3" t="s">
        <v>1205</v>
      </c>
      <c r="H647" s="4">
        <v>1044.05</v>
      </c>
      <c r="I647" s="3" t="s">
        <v>11</v>
      </c>
    </row>
    <row r="648" spans="1:9" x14ac:dyDescent="0.35">
      <c r="A648" s="3">
        <v>103408407</v>
      </c>
      <c r="B648" s="3" t="s">
        <v>1206</v>
      </c>
      <c r="C648" s="3" t="s">
        <v>9</v>
      </c>
      <c r="D648" s="3" t="s">
        <v>5</v>
      </c>
      <c r="E648" s="3" t="s">
        <v>10</v>
      </c>
      <c r="F648" s="3" t="s">
        <v>1207</v>
      </c>
      <c r="G648" s="3" t="s">
        <v>1208</v>
      </c>
      <c r="H648" s="5">
        <v>3149</v>
      </c>
      <c r="I648" s="3" t="s">
        <v>11</v>
      </c>
    </row>
    <row r="649" spans="1:9" x14ac:dyDescent="0.35">
      <c r="A649" s="3">
        <v>103408360</v>
      </c>
      <c r="B649" s="3" t="s">
        <v>1209</v>
      </c>
      <c r="C649" s="3" t="s">
        <v>9</v>
      </c>
      <c r="D649" s="3" t="s">
        <v>5</v>
      </c>
      <c r="E649" s="3" t="s">
        <v>10</v>
      </c>
      <c r="F649" s="3" t="s">
        <v>1210</v>
      </c>
      <c r="G649" s="3" t="s">
        <v>1211</v>
      </c>
      <c r="H649" s="4">
        <v>3419.05</v>
      </c>
      <c r="I649" s="3" t="s">
        <v>11</v>
      </c>
    </row>
    <row r="650" spans="1:9" x14ac:dyDescent="0.35">
      <c r="A650" s="3">
        <v>103408401</v>
      </c>
      <c r="B650" s="3" t="s">
        <v>1212</v>
      </c>
      <c r="C650" s="3" t="s">
        <v>9</v>
      </c>
      <c r="D650" s="3" t="s">
        <v>5</v>
      </c>
      <c r="E650" s="3" t="s">
        <v>10</v>
      </c>
      <c r="F650" s="3" t="s">
        <v>1213</v>
      </c>
      <c r="G650" s="3" t="s">
        <v>1214</v>
      </c>
      <c r="H650" s="3">
        <v>369.55</v>
      </c>
      <c r="I650" s="3" t="s">
        <v>11</v>
      </c>
    </row>
    <row r="651" spans="1:9" x14ac:dyDescent="0.35">
      <c r="A651" s="3">
        <v>103408398</v>
      </c>
      <c r="B651" s="3" t="s">
        <v>1215</v>
      </c>
      <c r="C651" s="3" t="s">
        <v>9</v>
      </c>
      <c r="D651" s="3" t="s">
        <v>5</v>
      </c>
      <c r="E651" s="3" t="s">
        <v>10</v>
      </c>
      <c r="F651" s="3" t="s">
        <v>1216</v>
      </c>
      <c r="G651" s="3" t="s">
        <v>1217</v>
      </c>
      <c r="H651" s="4">
        <v>1566.55</v>
      </c>
      <c r="I651" s="3" t="s">
        <v>11</v>
      </c>
    </row>
    <row r="652" spans="1:9" x14ac:dyDescent="0.35">
      <c r="A652" s="3">
        <v>103408397</v>
      </c>
      <c r="B652" s="3" t="s">
        <v>4768</v>
      </c>
      <c r="C652" s="3" t="s">
        <v>9</v>
      </c>
      <c r="D652" s="3" t="s">
        <v>5</v>
      </c>
      <c r="E652" s="3" t="s">
        <v>10</v>
      </c>
      <c r="F652" s="3" t="s">
        <v>4769</v>
      </c>
      <c r="G652" s="3" t="s">
        <v>4770</v>
      </c>
      <c r="H652" s="4">
        <v>2374.0500000000002</v>
      </c>
      <c r="I652" s="3" t="s">
        <v>13</v>
      </c>
    </row>
    <row r="653" spans="1:9" x14ac:dyDescent="0.35">
      <c r="A653" s="3">
        <v>103408353</v>
      </c>
      <c r="B653" s="3" t="s">
        <v>1218</v>
      </c>
      <c r="C653" s="3" t="s">
        <v>9</v>
      </c>
      <c r="D653" s="3" t="s">
        <v>5</v>
      </c>
      <c r="E653" s="3" t="s">
        <v>10</v>
      </c>
      <c r="F653" s="3" t="s">
        <v>1219</v>
      </c>
      <c r="G653" s="3" t="s">
        <v>1220</v>
      </c>
      <c r="H653" s="4">
        <v>3134.05</v>
      </c>
      <c r="I653" s="3" t="s">
        <v>11</v>
      </c>
    </row>
    <row r="654" spans="1:9" x14ac:dyDescent="0.35">
      <c r="A654" s="3">
        <v>103408393</v>
      </c>
      <c r="B654" s="3" t="s">
        <v>1221</v>
      </c>
      <c r="C654" s="3" t="s">
        <v>9</v>
      </c>
      <c r="D654" s="3" t="s">
        <v>5</v>
      </c>
      <c r="E654" s="3" t="s">
        <v>10</v>
      </c>
      <c r="F654" s="3" t="s">
        <v>1222</v>
      </c>
      <c r="G654" s="3" t="s">
        <v>1223</v>
      </c>
      <c r="H654" s="4">
        <v>4021.2</v>
      </c>
      <c r="I654" s="3" t="s">
        <v>11</v>
      </c>
    </row>
    <row r="655" spans="1:9" x14ac:dyDescent="0.35">
      <c r="A655" s="3">
        <v>103408391</v>
      </c>
      <c r="B655" s="3" t="s">
        <v>1224</v>
      </c>
      <c r="C655" s="3" t="s">
        <v>9</v>
      </c>
      <c r="D655" s="3" t="s">
        <v>5</v>
      </c>
      <c r="E655" s="3" t="s">
        <v>10</v>
      </c>
      <c r="F655" s="3" t="s">
        <v>1225</v>
      </c>
      <c r="G655" s="3" t="s">
        <v>1226</v>
      </c>
      <c r="H655" s="4">
        <v>1138.0999999999999</v>
      </c>
      <c r="I655" s="3" t="s">
        <v>11</v>
      </c>
    </row>
    <row r="656" spans="1:9" x14ac:dyDescent="0.35">
      <c r="A656" s="3">
        <v>103408351</v>
      </c>
      <c r="B656" s="3" t="s">
        <v>1227</v>
      </c>
      <c r="C656" s="3" t="s">
        <v>9</v>
      </c>
      <c r="D656" s="3" t="s">
        <v>5</v>
      </c>
      <c r="E656" s="3" t="s">
        <v>10</v>
      </c>
      <c r="F656" s="3" t="s">
        <v>1228</v>
      </c>
      <c r="G656" s="3" t="s">
        <v>1229</v>
      </c>
      <c r="H656" s="3">
        <v>969</v>
      </c>
      <c r="I656" s="3" t="s">
        <v>11</v>
      </c>
    </row>
    <row r="657" spans="1:9" x14ac:dyDescent="0.35">
      <c r="A657" s="3">
        <v>103408390</v>
      </c>
      <c r="B657" s="3" t="s">
        <v>1230</v>
      </c>
      <c r="C657" s="3" t="s">
        <v>9</v>
      </c>
      <c r="D657" s="3" t="s">
        <v>5</v>
      </c>
      <c r="E657" s="3" t="s">
        <v>10</v>
      </c>
      <c r="F657" s="3" t="s">
        <v>1231</v>
      </c>
      <c r="G657" s="3" t="s">
        <v>1232</v>
      </c>
      <c r="H657" s="5">
        <v>4669</v>
      </c>
      <c r="I657" s="3" t="s">
        <v>11</v>
      </c>
    </row>
    <row r="658" spans="1:9" x14ac:dyDescent="0.35">
      <c r="A658" s="3">
        <v>103408388</v>
      </c>
      <c r="B658" s="3" t="s">
        <v>1233</v>
      </c>
      <c r="C658" s="3" t="s">
        <v>9</v>
      </c>
      <c r="D658" s="3" t="s">
        <v>5</v>
      </c>
      <c r="E658" s="3" t="s">
        <v>10</v>
      </c>
      <c r="F658" s="3" t="s">
        <v>1234</v>
      </c>
      <c r="G658" s="3" t="s">
        <v>1235</v>
      </c>
      <c r="H658" s="5">
        <v>1119</v>
      </c>
      <c r="I658" s="3" t="s">
        <v>11</v>
      </c>
    </row>
    <row r="659" spans="1:9" x14ac:dyDescent="0.35">
      <c r="A659" s="3">
        <v>103408347</v>
      </c>
      <c r="B659" s="3" t="s">
        <v>1236</v>
      </c>
      <c r="C659" s="3" t="s">
        <v>9</v>
      </c>
      <c r="D659" s="3" t="s">
        <v>5</v>
      </c>
      <c r="E659" s="3" t="s">
        <v>10</v>
      </c>
      <c r="F659" s="3" t="s">
        <v>1237</v>
      </c>
      <c r="G659" s="3" t="s">
        <v>1238</v>
      </c>
      <c r="H659" s="5">
        <v>3149</v>
      </c>
      <c r="I659" s="3" t="s">
        <v>11</v>
      </c>
    </row>
    <row r="660" spans="1:9" x14ac:dyDescent="0.35">
      <c r="A660" s="3">
        <v>103408345</v>
      </c>
      <c r="B660" s="3" t="s">
        <v>1239</v>
      </c>
      <c r="C660" s="3" t="s">
        <v>9</v>
      </c>
      <c r="D660" s="3" t="s">
        <v>5</v>
      </c>
      <c r="E660" s="3" t="s">
        <v>10</v>
      </c>
      <c r="F660" s="3" t="s">
        <v>1240</v>
      </c>
      <c r="G660" s="3" t="s">
        <v>1241</v>
      </c>
      <c r="H660" s="4">
        <v>5724.7</v>
      </c>
      <c r="I660" s="3" t="s">
        <v>11</v>
      </c>
    </row>
    <row r="661" spans="1:9" x14ac:dyDescent="0.35">
      <c r="A661" s="3">
        <v>103408381</v>
      </c>
      <c r="B661" s="3" t="s">
        <v>1242</v>
      </c>
      <c r="C661" s="3" t="s">
        <v>9</v>
      </c>
      <c r="D661" s="3" t="s">
        <v>5</v>
      </c>
      <c r="E661" s="3" t="s">
        <v>10</v>
      </c>
      <c r="F661" s="3" t="s">
        <v>1243</v>
      </c>
      <c r="G661" s="3" t="s">
        <v>1244</v>
      </c>
      <c r="H661" s="4">
        <v>4749.05</v>
      </c>
      <c r="I661" s="3" t="s">
        <v>11</v>
      </c>
    </row>
    <row r="662" spans="1:9" x14ac:dyDescent="0.35">
      <c r="A662" s="3">
        <v>103408380</v>
      </c>
      <c r="B662" s="3" t="s">
        <v>1245</v>
      </c>
      <c r="C662" s="3" t="s">
        <v>9</v>
      </c>
      <c r="D662" s="3" t="s">
        <v>5</v>
      </c>
      <c r="E662" s="3" t="s">
        <v>10</v>
      </c>
      <c r="F662" s="3" t="s">
        <v>1246</v>
      </c>
      <c r="G662" s="3" t="s">
        <v>1247</v>
      </c>
      <c r="H662" s="4">
        <v>1063.05</v>
      </c>
      <c r="I662" s="3" t="s">
        <v>11</v>
      </c>
    </row>
    <row r="663" spans="1:9" x14ac:dyDescent="0.35">
      <c r="A663" s="3">
        <v>103408339</v>
      </c>
      <c r="B663" s="3" t="s">
        <v>1248</v>
      </c>
      <c r="C663" s="3" t="s">
        <v>9</v>
      </c>
      <c r="D663" s="3" t="s">
        <v>5</v>
      </c>
      <c r="E663" s="3" t="s">
        <v>10</v>
      </c>
      <c r="F663" s="3" t="s">
        <v>1249</v>
      </c>
      <c r="G663" s="3" t="s">
        <v>1250</v>
      </c>
      <c r="H663" s="4">
        <v>2345.5500000000002</v>
      </c>
      <c r="I663" s="3" t="s">
        <v>11</v>
      </c>
    </row>
    <row r="664" spans="1:9" x14ac:dyDescent="0.35">
      <c r="A664" s="3">
        <v>103408377</v>
      </c>
      <c r="B664" s="3" t="s">
        <v>1251</v>
      </c>
      <c r="C664" s="3" t="s">
        <v>9</v>
      </c>
      <c r="D664" s="3" t="s">
        <v>5</v>
      </c>
      <c r="E664" s="3" t="s">
        <v>12</v>
      </c>
      <c r="F664" s="3" t="s">
        <v>1252</v>
      </c>
      <c r="G664" s="3" t="s">
        <v>1253</v>
      </c>
      <c r="H664" s="3">
        <v>969</v>
      </c>
      <c r="I664" s="3" t="s">
        <v>11</v>
      </c>
    </row>
    <row r="665" spans="1:9" x14ac:dyDescent="0.35">
      <c r="A665" s="3">
        <v>103408333</v>
      </c>
      <c r="B665" s="3" t="s">
        <v>1254</v>
      </c>
      <c r="C665" s="3" t="s">
        <v>9</v>
      </c>
      <c r="D665" s="3" t="s">
        <v>5</v>
      </c>
      <c r="E665" s="3" t="s">
        <v>10</v>
      </c>
      <c r="F665" s="3" t="s">
        <v>1255</v>
      </c>
      <c r="G665" s="3" t="s">
        <v>1256</v>
      </c>
      <c r="H665" s="4">
        <v>4928.6000000000004</v>
      </c>
      <c r="I665" s="3" t="s">
        <v>11</v>
      </c>
    </row>
    <row r="666" spans="1:9" x14ac:dyDescent="0.35">
      <c r="A666" s="3">
        <v>103408373</v>
      </c>
      <c r="B666" s="3" t="s">
        <v>1257</v>
      </c>
      <c r="C666" s="3" t="s">
        <v>9</v>
      </c>
      <c r="D666" s="3" t="s">
        <v>5</v>
      </c>
      <c r="E666" s="3" t="s">
        <v>10</v>
      </c>
      <c r="F666" s="3" t="s">
        <v>1258</v>
      </c>
      <c r="G666" s="3" t="s">
        <v>1259</v>
      </c>
      <c r="H666" s="4">
        <v>2279.0500000000002</v>
      </c>
      <c r="I666" s="3" t="s">
        <v>11</v>
      </c>
    </row>
    <row r="667" spans="1:9" x14ac:dyDescent="0.35">
      <c r="A667" s="3">
        <v>103408370</v>
      </c>
      <c r="B667" s="3" t="s">
        <v>1260</v>
      </c>
      <c r="C667" s="3" t="s">
        <v>9</v>
      </c>
      <c r="D667" s="3" t="s">
        <v>5</v>
      </c>
      <c r="E667" s="3" t="s">
        <v>10</v>
      </c>
      <c r="F667" s="3" t="s">
        <v>1261</v>
      </c>
      <c r="G667" s="3" t="s">
        <v>1262</v>
      </c>
      <c r="H667" s="4">
        <v>3324.05</v>
      </c>
      <c r="I667" s="3" t="s">
        <v>11</v>
      </c>
    </row>
    <row r="668" spans="1:9" x14ac:dyDescent="0.35">
      <c r="A668" s="3">
        <v>103408327</v>
      </c>
      <c r="B668" s="3" t="s">
        <v>1263</v>
      </c>
      <c r="C668" s="3" t="s">
        <v>9</v>
      </c>
      <c r="D668" s="3" t="s">
        <v>5</v>
      </c>
      <c r="E668" s="3" t="s">
        <v>10</v>
      </c>
      <c r="F668" s="3" t="s">
        <v>1264</v>
      </c>
      <c r="G668" s="3" t="s">
        <v>1265</v>
      </c>
      <c r="H668" s="4">
        <v>4274.05</v>
      </c>
      <c r="I668" s="3" t="s">
        <v>11</v>
      </c>
    </row>
    <row r="669" spans="1:9" x14ac:dyDescent="0.35">
      <c r="A669" s="3">
        <v>103408369</v>
      </c>
      <c r="B669" s="3" t="s">
        <v>1266</v>
      </c>
      <c r="C669" s="3" t="s">
        <v>9</v>
      </c>
      <c r="D669" s="3" t="s">
        <v>5</v>
      </c>
      <c r="E669" s="3" t="s">
        <v>10</v>
      </c>
      <c r="F669" s="3" t="s">
        <v>1267</v>
      </c>
      <c r="G669" s="3" t="s">
        <v>1268</v>
      </c>
      <c r="H669" s="5">
        <v>3499</v>
      </c>
      <c r="I669" s="3" t="s">
        <v>11</v>
      </c>
    </row>
    <row r="670" spans="1:9" x14ac:dyDescent="0.35">
      <c r="A670" s="3">
        <v>103408325</v>
      </c>
      <c r="B670" s="3" t="s">
        <v>1269</v>
      </c>
      <c r="C670" s="3" t="s">
        <v>9</v>
      </c>
      <c r="D670" s="3" t="s">
        <v>5</v>
      </c>
      <c r="E670" s="3" t="s">
        <v>10</v>
      </c>
      <c r="F670" s="3" t="s">
        <v>1270</v>
      </c>
      <c r="G670" s="3" t="s">
        <v>1271</v>
      </c>
      <c r="H670" s="3">
        <v>521.54999999999995</v>
      </c>
      <c r="I670" s="3" t="s">
        <v>11</v>
      </c>
    </row>
    <row r="671" spans="1:9" x14ac:dyDescent="0.35">
      <c r="A671" s="3">
        <v>103408323</v>
      </c>
      <c r="B671" s="3" t="s">
        <v>1272</v>
      </c>
      <c r="C671" s="3" t="s">
        <v>9</v>
      </c>
      <c r="D671" s="3" t="s">
        <v>5</v>
      </c>
      <c r="E671" s="3" t="s">
        <v>10</v>
      </c>
      <c r="F671" s="3" t="s">
        <v>1273</v>
      </c>
      <c r="G671" s="3" t="s">
        <v>1274</v>
      </c>
      <c r="H671" s="4">
        <v>3797.1</v>
      </c>
      <c r="I671" s="3" t="s">
        <v>11</v>
      </c>
    </row>
    <row r="672" spans="1:9" x14ac:dyDescent="0.35">
      <c r="A672" s="3">
        <v>103408318</v>
      </c>
      <c r="B672" s="3" t="s">
        <v>4771</v>
      </c>
      <c r="C672" s="3" t="s">
        <v>9</v>
      </c>
      <c r="D672" s="3" t="s">
        <v>5</v>
      </c>
      <c r="E672" s="3" t="s">
        <v>10</v>
      </c>
      <c r="F672" s="3" t="s">
        <v>4772</v>
      </c>
      <c r="G672" s="3" t="s">
        <v>4773</v>
      </c>
      <c r="H672" s="4">
        <v>1128.5999999999999</v>
      </c>
      <c r="I672" s="3" t="s">
        <v>13</v>
      </c>
    </row>
    <row r="673" spans="1:9" x14ac:dyDescent="0.35">
      <c r="A673" s="3">
        <v>103408317</v>
      </c>
      <c r="B673" s="3" t="s">
        <v>1275</v>
      </c>
      <c r="C673" s="3" t="s">
        <v>9</v>
      </c>
      <c r="D673" s="3" t="s">
        <v>5</v>
      </c>
      <c r="E673" s="3" t="s">
        <v>10</v>
      </c>
      <c r="F673" s="3" t="s">
        <v>1276</v>
      </c>
      <c r="G673" s="3" t="s">
        <v>1277</v>
      </c>
      <c r="H673" s="3">
        <v>969</v>
      </c>
      <c r="I673" s="3" t="s">
        <v>11</v>
      </c>
    </row>
    <row r="674" spans="1:9" x14ac:dyDescent="0.35">
      <c r="A674" s="3">
        <v>103408262</v>
      </c>
      <c r="B674" s="3" t="s">
        <v>1278</v>
      </c>
      <c r="C674" s="3" t="s">
        <v>9</v>
      </c>
      <c r="D674" s="3" t="s">
        <v>5</v>
      </c>
      <c r="E674" s="3" t="s">
        <v>12</v>
      </c>
      <c r="F674" s="3" t="s">
        <v>1279</v>
      </c>
      <c r="G674" s="3" t="s">
        <v>1280</v>
      </c>
      <c r="H674" s="5">
        <v>3499</v>
      </c>
      <c r="I674" s="3" t="s">
        <v>11</v>
      </c>
    </row>
    <row r="675" spans="1:9" x14ac:dyDescent="0.35">
      <c r="A675" s="3">
        <v>103408314</v>
      </c>
      <c r="B675" s="3" t="s">
        <v>1278</v>
      </c>
      <c r="C675" s="3" t="s">
        <v>9</v>
      </c>
      <c r="D675" s="3" t="s">
        <v>5</v>
      </c>
      <c r="E675" s="3" t="s">
        <v>10</v>
      </c>
      <c r="F675" s="3" t="s">
        <v>1281</v>
      </c>
      <c r="G675" s="3" t="s">
        <v>1282</v>
      </c>
      <c r="H675" s="5">
        <v>2699</v>
      </c>
      <c r="I675" s="3" t="s">
        <v>11</v>
      </c>
    </row>
    <row r="676" spans="1:9" x14ac:dyDescent="0.35">
      <c r="A676" s="3">
        <v>103408312</v>
      </c>
      <c r="B676" s="3" t="s">
        <v>1283</v>
      </c>
      <c r="C676" s="3" t="s">
        <v>9</v>
      </c>
      <c r="D676" s="3" t="s">
        <v>5</v>
      </c>
      <c r="E676" s="3" t="s">
        <v>10</v>
      </c>
      <c r="F676" s="3" t="s">
        <v>1284</v>
      </c>
      <c r="G676" s="3" t="s">
        <v>1285</v>
      </c>
      <c r="H676" s="4">
        <v>3419.14</v>
      </c>
      <c r="I676" s="3" t="s">
        <v>11</v>
      </c>
    </row>
    <row r="677" spans="1:9" x14ac:dyDescent="0.35">
      <c r="A677" s="3">
        <v>103408259</v>
      </c>
      <c r="B677" s="3" t="s">
        <v>1286</v>
      </c>
      <c r="C677" s="3" t="s">
        <v>9</v>
      </c>
      <c r="D677" s="3" t="s">
        <v>5</v>
      </c>
      <c r="E677" s="3" t="s">
        <v>10</v>
      </c>
      <c r="F677" s="3" t="s">
        <v>340</v>
      </c>
      <c r="G677" s="3" t="s">
        <v>341</v>
      </c>
      <c r="H677" s="3">
        <v>351.07</v>
      </c>
      <c r="I677" s="3" t="s">
        <v>11</v>
      </c>
    </row>
    <row r="678" spans="1:9" x14ac:dyDescent="0.35">
      <c r="A678" s="3">
        <v>103408258</v>
      </c>
      <c r="B678" s="3" t="s">
        <v>1287</v>
      </c>
      <c r="C678" s="3" t="s">
        <v>9</v>
      </c>
      <c r="D678" s="3" t="s">
        <v>5</v>
      </c>
      <c r="E678" s="3" t="s">
        <v>12</v>
      </c>
      <c r="F678" s="3" t="s">
        <v>1288</v>
      </c>
      <c r="G678" s="3" t="s">
        <v>1289</v>
      </c>
      <c r="H678" s="3">
        <v>899</v>
      </c>
      <c r="I678" s="3" t="s">
        <v>11</v>
      </c>
    </row>
    <row r="679" spans="1:9" x14ac:dyDescent="0.35">
      <c r="A679" s="3">
        <v>103408257</v>
      </c>
      <c r="B679" s="3" t="s">
        <v>1290</v>
      </c>
      <c r="C679" s="3" t="s">
        <v>9</v>
      </c>
      <c r="D679" s="3" t="s">
        <v>5</v>
      </c>
      <c r="E679" s="3" t="s">
        <v>10</v>
      </c>
      <c r="F679" s="3" t="s">
        <v>1291</v>
      </c>
      <c r="G679" s="3" t="s">
        <v>1292</v>
      </c>
      <c r="H679" s="5">
        <v>4549</v>
      </c>
      <c r="I679" s="3" t="s">
        <v>11</v>
      </c>
    </row>
    <row r="680" spans="1:9" x14ac:dyDescent="0.35">
      <c r="A680" s="3">
        <v>103408246</v>
      </c>
      <c r="B680" s="3" t="s">
        <v>1293</v>
      </c>
      <c r="C680" s="3" t="s">
        <v>9</v>
      </c>
      <c r="D680" s="3" t="s">
        <v>5</v>
      </c>
      <c r="E680" s="3" t="s">
        <v>10</v>
      </c>
      <c r="F680" s="3" t="s">
        <v>1294</v>
      </c>
      <c r="G680" s="3" t="s">
        <v>1295</v>
      </c>
      <c r="H680" s="4">
        <v>3239.1</v>
      </c>
      <c r="I680" s="3" t="s">
        <v>11</v>
      </c>
    </row>
    <row r="681" spans="1:9" x14ac:dyDescent="0.35">
      <c r="A681" s="3">
        <v>103408301</v>
      </c>
      <c r="B681" s="3" t="s">
        <v>1296</v>
      </c>
      <c r="C681" s="3" t="s">
        <v>9</v>
      </c>
      <c r="D681" s="3" t="s">
        <v>5</v>
      </c>
      <c r="E681" s="3" t="s">
        <v>12</v>
      </c>
      <c r="F681" s="3" t="s">
        <v>1297</v>
      </c>
      <c r="G681" s="3" t="s">
        <v>1298</v>
      </c>
      <c r="H681" s="4">
        <v>2773.05</v>
      </c>
      <c r="I681" s="3" t="s">
        <v>11</v>
      </c>
    </row>
    <row r="682" spans="1:9" x14ac:dyDescent="0.35">
      <c r="A682" s="3">
        <v>103408240</v>
      </c>
      <c r="B682" s="3" t="s">
        <v>1299</v>
      </c>
      <c r="C682" s="3" t="s">
        <v>9</v>
      </c>
      <c r="D682" s="3" t="s">
        <v>5</v>
      </c>
      <c r="E682" s="3" t="s">
        <v>10</v>
      </c>
      <c r="F682" s="3" t="s">
        <v>1300</v>
      </c>
      <c r="G682" s="3" t="s">
        <v>1301</v>
      </c>
      <c r="H682" s="4">
        <v>1566.55</v>
      </c>
      <c r="I682" s="3" t="s">
        <v>11</v>
      </c>
    </row>
    <row r="683" spans="1:9" x14ac:dyDescent="0.35">
      <c r="A683" s="3">
        <v>103408297</v>
      </c>
      <c r="B683" s="3" t="s">
        <v>1302</v>
      </c>
      <c r="C683" s="3" t="s">
        <v>9</v>
      </c>
      <c r="D683" s="3" t="s">
        <v>5</v>
      </c>
      <c r="E683" s="3" t="s">
        <v>10</v>
      </c>
      <c r="F683" s="3" t="s">
        <v>1303</v>
      </c>
      <c r="G683" s="3" t="s">
        <v>1304</v>
      </c>
      <c r="H683" s="3">
        <v>987.05</v>
      </c>
      <c r="I683" s="3" t="s">
        <v>11</v>
      </c>
    </row>
    <row r="684" spans="1:9" x14ac:dyDescent="0.35">
      <c r="A684" s="3">
        <v>103408236</v>
      </c>
      <c r="B684" s="3" t="s">
        <v>1305</v>
      </c>
      <c r="C684" s="3" t="s">
        <v>9</v>
      </c>
      <c r="D684" s="3" t="s">
        <v>5</v>
      </c>
      <c r="E684" s="3" t="s">
        <v>10</v>
      </c>
      <c r="F684" s="3" t="s">
        <v>1306</v>
      </c>
      <c r="G684" s="3" t="s">
        <v>1307</v>
      </c>
      <c r="H684" s="4">
        <v>1661.55</v>
      </c>
      <c r="I684" s="3" t="s">
        <v>11</v>
      </c>
    </row>
    <row r="685" spans="1:9" x14ac:dyDescent="0.35">
      <c r="A685" s="3">
        <v>103408232</v>
      </c>
      <c r="B685" s="3" t="s">
        <v>1308</v>
      </c>
      <c r="C685" s="3" t="s">
        <v>9</v>
      </c>
      <c r="D685" s="3" t="s">
        <v>5</v>
      </c>
      <c r="E685" s="3" t="s">
        <v>10</v>
      </c>
      <c r="F685" s="3" t="s">
        <v>1309</v>
      </c>
      <c r="G685" s="3" t="s">
        <v>1310</v>
      </c>
      <c r="H685" s="5">
        <v>4199</v>
      </c>
      <c r="I685" s="3" t="s">
        <v>11</v>
      </c>
    </row>
    <row r="686" spans="1:9" x14ac:dyDescent="0.35">
      <c r="A686" s="3">
        <v>103408229</v>
      </c>
      <c r="B686" s="3" t="s">
        <v>1311</v>
      </c>
      <c r="C686" s="3" t="s">
        <v>9</v>
      </c>
      <c r="D686" s="3" t="s">
        <v>5</v>
      </c>
      <c r="E686" s="3" t="s">
        <v>10</v>
      </c>
      <c r="F686" s="3" t="s">
        <v>1312</v>
      </c>
      <c r="G686" s="3" t="s">
        <v>1313</v>
      </c>
      <c r="H686" s="3">
        <v>999</v>
      </c>
      <c r="I686" s="3" t="s">
        <v>11</v>
      </c>
    </row>
    <row r="687" spans="1:9" x14ac:dyDescent="0.35">
      <c r="A687" s="3">
        <v>103408294</v>
      </c>
      <c r="B687" s="3" t="s">
        <v>1314</v>
      </c>
      <c r="C687" s="3" t="s">
        <v>9</v>
      </c>
      <c r="D687" s="3" t="s">
        <v>5</v>
      </c>
      <c r="E687" s="3" t="s">
        <v>10</v>
      </c>
      <c r="F687" s="3" t="s">
        <v>1315</v>
      </c>
      <c r="G687" s="3" t="s">
        <v>1316</v>
      </c>
      <c r="H687" s="4">
        <v>1837.39</v>
      </c>
      <c r="I687" s="3" t="s">
        <v>11</v>
      </c>
    </row>
    <row r="688" spans="1:9" x14ac:dyDescent="0.35">
      <c r="A688" s="3">
        <v>103408228</v>
      </c>
      <c r="B688" s="3" t="s">
        <v>1317</v>
      </c>
      <c r="C688" s="3" t="s">
        <v>9</v>
      </c>
      <c r="D688" s="3" t="s">
        <v>5</v>
      </c>
      <c r="E688" s="3" t="s">
        <v>10</v>
      </c>
      <c r="F688" s="3" t="s">
        <v>1318</v>
      </c>
      <c r="G688" s="3" t="s">
        <v>1319</v>
      </c>
      <c r="H688" s="5">
        <v>4799</v>
      </c>
      <c r="I688" s="3" t="s">
        <v>11</v>
      </c>
    </row>
    <row r="689" spans="1:9" x14ac:dyDescent="0.35">
      <c r="A689" s="3">
        <v>103408227</v>
      </c>
      <c r="B689" s="3" t="s">
        <v>1320</v>
      </c>
      <c r="C689" s="3" t="s">
        <v>9</v>
      </c>
      <c r="D689" s="3" t="s">
        <v>5</v>
      </c>
      <c r="E689" s="3" t="s">
        <v>10</v>
      </c>
      <c r="F689" s="3" t="s">
        <v>17</v>
      </c>
      <c r="G689" s="3" t="s">
        <v>18</v>
      </c>
      <c r="H689" s="4">
        <v>1110.55</v>
      </c>
      <c r="I689" s="3" t="s">
        <v>11</v>
      </c>
    </row>
    <row r="690" spans="1:9" x14ac:dyDescent="0.35">
      <c r="A690" s="3">
        <v>103408226</v>
      </c>
      <c r="B690" s="3" t="s">
        <v>1321</v>
      </c>
      <c r="C690" s="3" t="s">
        <v>9</v>
      </c>
      <c r="D690" s="3" t="s">
        <v>5</v>
      </c>
      <c r="E690" s="3" t="s">
        <v>10</v>
      </c>
      <c r="F690" s="3" t="s">
        <v>1322</v>
      </c>
      <c r="G690" s="3" t="s">
        <v>1323</v>
      </c>
      <c r="H690" s="5">
        <v>1558</v>
      </c>
      <c r="I690" s="3" t="s">
        <v>11</v>
      </c>
    </row>
    <row r="691" spans="1:9" x14ac:dyDescent="0.35">
      <c r="A691" s="3">
        <v>103408291</v>
      </c>
      <c r="B691" s="3" t="s">
        <v>1324</v>
      </c>
      <c r="C691" s="3" t="s">
        <v>9</v>
      </c>
      <c r="D691" s="3" t="s">
        <v>5</v>
      </c>
      <c r="E691" s="3" t="s">
        <v>10</v>
      </c>
      <c r="F691" s="3" t="s">
        <v>1325</v>
      </c>
      <c r="G691" s="3" t="s">
        <v>1326</v>
      </c>
      <c r="H691" s="4">
        <v>3419.05</v>
      </c>
      <c r="I691" s="3" t="s">
        <v>11</v>
      </c>
    </row>
    <row r="692" spans="1:9" x14ac:dyDescent="0.35">
      <c r="A692" s="3">
        <v>103408290</v>
      </c>
      <c r="B692" s="3" t="s">
        <v>1327</v>
      </c>
      <c r="C692" s="3" t="s">
        <v>9</v>
      </c>
      <c r="D692" s="3" t="s">
        <v>5</v>
      </c>
      <c r="E692" s="3" t="s">
        <v>12</v>
      </c>
      <c r="F692" s="3" t="s">
        <v>1328</v>
      </c>
      <c r="G692" s="3" t="s">
        <v>1329</v>
      </c>
      <c r="H692" s="5">
        <v>2449</v>
      </c>
      <c r="I692" s="3" t="s">
        <v>11</v>
      </c>
    </row>
    <row r="693" spans="1:9" x14ac:dyDescent="0.35">
      <c r="A693" s="3">
        <v>103408225</v>
      </c>
      <c r="B693" s="3" t="s">
        <v>1330</v>
      </c>
      <c r="C693" s="3" t="s">
        <v>9</v>
      </c>
      <c r="D693" s="3" t="s">
        <v>5</v>
      </c>
      <c r="E693" s="3" t="s">
        <v>10</v>
      </c>
      <c r="F693" s="3" t="s">
        <v>1331</v>
      </c>
      <c r="G693" s="3" t="s">
        <v>1332</v>
      </c>
      <c r="H693" s="4">
        <v>2350.39</v>
      </c>
      <c r="I693" s="3" t="s">
        <v>11</v>
      </c>
    </row>
    <row r="694" spans="1:9" x14ac:dyDescent="0.35">
      <c r="A694" s="3">
        <v>103408289</v>
      </c>
      <c r="B694" s="3" t="s">
        <v>1333</v>
      </c>
      <c r="C694" s="3" t="s">
        <v>9</v>
      </c>
      <c r="D694" s="3" t="s">
        <v>5</v>
      </c>
      <c r="E694" s="3" t="s">
        <v>10</v>
      </c>
      <c r="F694" s="3" t="s">
        <v>1334</v>
      </c>
      <c r="G694" s="3" t="s">
        <v>1335</v>
      </c>
      <c r="H694" s="4">
        <v>2564.14</v>
      </c>
      <c r="I694" s="3" t="s">
        <v>11</v>
      </c>
    </row>
    <row r="695" spans="1:9" x14ac:dyDescent="0.35">
      <c r="A695" s="3">
        <v>103408287</v>
      </c>
      <c r="B695" s="3" t="s">
        <v>1336</v>
      </c>
      <c r="C695" s="3" t="s">
        <v>9</v>
      </c>
      <c r="D695" s="3" t="s">
        <v>5</v>
      </c>
      <c r="E695" s="3" t="s">
        <v>10</v>
      </c>
      <c r="F695" s="3" t="s">
        <v>1337</v>
      </c>
      <c r="G695" s="3" t="s">
        <v>1338</v>
      </c>
      <c r="H695" s="5">
        <v>4799</v>
      </c>
      <c r="I695" s="3" t="s">
        <v>11</v>
      </c>
    </row>
    <row r="696" spans="1:9" x14ac:dyDescent="0.35">
      <c r="A696" s="3">
        <v>103408217</v>
      </c>
      <c r="B696" s="3" t="s">
        <v>1339</v>
      </c>
      <c r="C696" s="3" t="s">
        <v>9</v>
      </c>
      <c r="D696" s="3" t="s">
        <v>5</v>
      </c>
      <c r="E696" s="3" t="s">
        <v>10</v>
      </c>
      <c r="F696" s="3" t="s">
        <v>1340</v>
      </c>
      <c r="G696" s="3" t="s">
        <v>1341</v>
      </c>
      <c r="H696" s="3">
        <v>571.99</v>
      </c>
      <c r="I696" s="3" t="s">
        <v>11</v>
      </c>
    </row>
    <row r="697" spans="1:9" x14ac:dyDescent="0.35">
      <c r="A697" s="3">
        <v>103408278</v>
      </c>
      <c r="B697" s="3" t="s">
        <v>1342</v>
      </c>
      <c r="C697" s="3" t="s">
        <v>9</v>
      </c>
      <c r="D697" s="3" t="s">
        <v>5</v>
      </c>
      <c r="E697" s="3" t="s">
        <v>10</v>
      </c>
      <c r="F697" s="3" t="s">
        <v>1343</v>
      </c>
      <c r="G697" s="3" t="s">
        <v>1344</v>
      </c>
      <c r="H697" s="5">
        <v>1599</v>
      </c>
      <c r="I697" s="3" t="s">
        <v>11</v>
      </c>
    </row>
    <row r="698" spans="1:9" x14ac:dyDescent="0.35">
      <c r="A698" s="3">
        <v>103408215</v>
      </c>
      <c r="B698" s="3" t="s">
        <v>1345</v>
      </c>
      <c r="C698" s="3" t="s">
        <v>9</v>
      </c>
      <c r="D698" s="3" t="s">
        <v>5</v>
      </c>
      <c r="E698" s="3" t="s">
        <v>10</v>
      </c>
      <c r="F698" s="3" t="s">
        <v>1346</v>
      </c>
      <c r="G698" s="3" t="s">
        <v>1347</v>
      </c>
      <c r="H698" s="4">
        <v>2960.2</v>
      </c>
      <c r="I698" s="3" t="s">
        <v>11</v>
      </c>
    </row>
    <row r="699" spans="1:9" x14ac:dyDescent="0.35">
      <c r="A699" s="3">
        <v>103408274</v>
      </c>
      <c r="B699" s="3" t="s">
        <v>1348</v>
      </c>
      <c r="C699" s="3" t="s">
        <v>9</v>
      </c>
      <c r="D699" s="3" t="s">
        <v>5</v>
      </c>
      <c r="E699" s="3" t="s">
        <v>10</v>
      </c>
      <c r="F699" s="3" t="s">
        <v>1349</v>
      </c>
      <c r="G699" s="3" t="s">
        <v>1350</v>
      </c>
      <c r="H699" s="5">
        <v>4949</v>
      </c>
      <c r="I699" s="3" t="s">
        <v>11</v>
      </c>
    </row>
    <row r="700" spans="1:9" x14ac:dyDescent="0.35">
      <c r="A700" s="3">
        <v>103408272</v>
      </c>
      <c r="B700" s="3" t="s">
        <v>1351</v>
      </c>
      <c r="C700" s="3" t="s">
        <v>9</v>
      </c>
      <c r="D700" s="3" t="s">
        <v>5</v>
      </c>
      <c r="E700" s="3" t="s">
        <v>10</v>
      </c>
      <c r="F700" s="3" t="s">
        <v>1352</v>
      </c>
      <c r="G700" s="3" t="s">
        <v>1353</v>
      </c>
      <c r="H700" s="4">
        <v>2699.1</v>
      </c>
      <c r="I700" s="3" t="s">
        <v>11</v>
      </c>
    </row>
    <row r="701" spans="1:9" x14ac:dyDescent="0.35">
      <c r="A701" s="3">
        <v>103408267</v>
      </c>
      <c r="B701" s="3" t="s">
        <v>1354</v>
      </c>
      <c r="C701" s="3" t="s">
        <v>9</v>
      </c>
      <c r="D701" s="3" t="s">
        <v>5</v>
      </c>
      <c r="E701" s="3" t="s">
        <v>10</v>
      </c>
      <c r="F701" s="3" t="s">
        <v>1355</v>
      </c>
      <c r="G701" s="3" t="s">
        <v>1356</v>
      </c>
      <c r="H701" s="5">
        <v>1599</v>
      </c>
      <c r="I701" s="3" t="s">
        <v>11</v>
      </c>
    </row>
    <row r="702" spans="1:9" x14ac:dyDescent="0.35">
      <c r="A702" s="3">
        <v>103408266</v>
      </c>
      <c r="B702" s="3" t="s">
        <v>1357</v>
      </c>
      <c r="C702" s="3" t="s">
        <v>9</v>
      </c>
      <c r="D702" s="3" t="s">
        <v>5</v>
      </c>
      <c r="E702" s="3" t="s">
        <v>10</v>
      </c>
      <c r="F702" s="3" t="s">
        <v>1358</v>
      </c>
      <c r="G702" s="3" t="s">
        <v>1359</v>
      </c>
      <c r="H702" s="4">
        <v>2136.5500000000002</v>
      </c>
      <c r="I702" s="3" t="s">
        <v>11</v>
      </c>
    </row>
    <row r="703" spans="1:9" x14ac:dyDescent="0.35">
      <c r="A703" s="3">
        <v>103408265</v>
      </c>
      <c r="B703" s="3" t="s">
        <v>1360</v>
      </c>
      <c r="C703" s="3" t="s">
        <v>9</v>
      </c>
      <c r="D703" s="3" t="s">
        <v>5</v>
      </c>
      <c r="E703" s="3" t="s">
        <v>10</v>
      </c>
      <c r="F703" s="3" t="s">
        <v>1361</v>
      </c>
      <c r="G703" s="3" t="s">
        <v>1362</v>
      </c>
      <c r="H703" s="5">
        <v>2197</v>
      </c>
      <c r="I703" s="3" t="s">
        <v>11</v>
      </c>
    </row>
    <row r="704" spans="1:9" x14ac:dyDescent="0.35">
      <c r="A704" s="3">
        <v>103408202</v>
      </c>
      <c r="B704" s="3" t="s">
        <v>1363</v>
      </c>
      <c r="C704" s="3" t="s">
        <v>9</v>
      </c>
      <c r="D704" s="3" t="s">
        <v>5</v>
      </c>
      <c r="E704" s="3" t="s">
        <v>10</v>
      </c>
      <c r="F704" s="3" t="s">
        <v>1364</v>
      </c>
      <c r="G704" s="3" t="s">
        <v>1365</v>
      </c>
      <c r="H704" s="4">
        <v>2611.5500000000002</v>
      </c>
      <c r="I704" s="3" t="s">
        <v>11</v>
      </c>
    </row>
    <row r="705" spans="1:9" x14ac:dyDescent="0.35">
      <c r="A705" s="3">
        <v>103408201</v>
      </c>
      <c r="B705" s="3" t="s">
        <v>1366</v>
      </c>
      <c r="C705" s="3" t="s">
        <v>9</v>
      </c>
      <c r="D705" s="3" t="s">
        <v>5</v>
      </c>
      <c r="E705" s="3" t="s">
        <v>10</v>
      </c>
      <c r="F705" s="3" t="s">
        <v>1367</v>
      </c>
      <c r="G705" s="3" t="s">
        <v>1368</v>
      </c>
      <c r="H705" s="4">
        <v>2495.7399999999998</v>
      </c>
      <c r="I705" s="3" t="s">
        <v>11</v>
      </c>
    </row>
    <row r="706" spans="1:9" x14ac:dyDescent="0.35">
      <c r="A706" s="3">
        <v>103408198</v>
      </c>
      <c r="B706" s="3" t="s">
        <v>1369</v>
      </c>
      <c r="C706" s="3" t="s">
        <v>9</v>
      </c>
      <c r="D706" s="3" t="s">
        <v>5</v>
      </c>
      <c r="E706" s="3" t="s">
        <v>10</v>
      </c>
      <c r="F706" s="3" t="s">
        <v>1370</v>
      </c>
      <c r="G706" s="3" t="s">
        <v>1371</v>
      </c>
      <c r="H706" s="5">
        <v>2099</v>
      </c>
      <c r="I706" s="3" t="s">
        <v>11</v>
      </c>
    </row>
    <row r="707" spans="1:9" x14ac:dyDescent="0.35">
      <c r="A707" s="3">
        <v>103408156</v>
      </c>
      <c r="B707" s="3" t="s">
        <v>1372</v>
      </c>
      <c r="C707" s="3" t="s">
        <v>9</v>
      </c>
      <c r="D707" s="3" t="s">
        <v>5</v>
      </c>
      <c r="E707" s="3" t="s">
        <v>10</v>
      </c>
      <c r="F707" s="3" t="s">
        <v>1373</v>
      </c>
      <c r="G707" s="3" t="s">
        <v>1374</v>
      </c>
      <c r="H707" s="4">
        <v>2849.05</v>
      </c>
      <c r="I707" s="3" t="s">
        <v>11</v>
      </c>
    </row>
    <row r="708" spans="1:9" x14ac:dyDescent="0.35">
      <c r="A708" s="3">
        <v>103408157</v>
      </c>
      <c r="B708" s="3" t="s">
        <v>1372</v>
      </c>
      <c r="C708" s="3" t="s">
        <v>9</v>
      </c>
      <c r="D708" s="3" t="s">
        <v>5</v>
      </c>
      <c r="E708" s="3" t="s">
        <v>10</v>
      </c>
      <c r="F708" s="3" t="s">
        <v>694</v>
      </c>
      <c r="G708" s="3" t="s">
        <v>1375</v>
      </c>
      <c r="H708" s="5">
        <v>1569</v>
      </c>
      <c r="I708" s="3" t="s">
        <v>11</v>
      </c>
    </row>
    <row r="709" spans="1:9" x14ac:dyDescent="0.35">
      <c r="A709" s="3">
        <v>103408154</v>
      </c>
      <c r="B709" s="3" t="s">
        <v>1376</v>
      </c>
      <c r="C709" s="3" t="s">
        <v>9</v>
      </c>
      <c r="D709" s="3" t="s">
        <v>5</v>
      </c>
      <c r="E709" s="3" t="s">
        <v>10</v>
      </c>
      <c r="F709" s="3" t="s">
        <v>1377</v>
      </c>
      <c r="G709" s="3" t="s">
        <v>1378</v>
      </c>
      <c r="H709" s="4">
        <v>2488.0500000000002</v>
      </c>
      <c r="I709" s="3" t="s">
        <v>11</v>
      </c>
    </row>
    <row r="710" spans="1:9" x14ac:dyDescent="0.35">
      <c r="A710" s="3">
        <v>103408153</v>
      </c>
      <c r="B710" s="3" t="s">
        <v>1379</v>
      </c>
      <c r="C710" s="3" t="s">
        <v>9</v>
      </c>
      <c r="D710" s="3" t="s">
        <v>5</v>
      </c>
      <c r="E710" s="3" t="s">
        <v>10</v>
      </c>
      <c r="F710" s="3" t="s">
        <v>1380</v>
      </c>
      <c r="G710" s="3" t="s">
        <v>1381</v>
      </c>
      <c r="H710" s="4">
        <v>1799.1</v>
      </c>
      <c r="I710" s="3" t="s">
        <v>11</v>
      </c>
    </row>
    <row r="711" spans="1:9" x14ac:dyDescent="0.35">
      <c r="A711" s="3">
        <v>103408148</v>
      </c>
      <c r="B711" s="3" t="s">
        <v>1382</v>
      </c>
      <c r="C711" s="3" t="s">
        <v>9</v>
      </c>
      <c r="D711" s="3" t="s">
        <v>5</v>
      </c>
      <c r="E711" s="3" t="s">
        <v>10</v>
      </c>
      <c r="F711" s="3" t="s">
        <v>1383</v>
      </c>
      <c r="G711" s="3" t="s">
        <v>1384</v>
      </c>
      <c r="H711" s="5">
        <v>3599</v>
      </c>
      <c r="I711" s="3" t="s">
        <v>11</v>
      </c>
    </row>
    <row r="712" spans="1:9" x14ac:dyDescent="0.35">
      <c r="A712" s="3">
        <v>103408144</v>
      </c>
      <c r="B712" s="3" t="s">
        <v>1385</v>
      </c>
      <c r="C712" s="3" t="s">
        <v>9</v>
      </c>
      <c r="D712" s="3" t="s">
        <v>5</v>
      </c>
      <c r="E712" s="3" t="s">
        <v>10</v>
      </c>
      <c r="F712" s="3" t="s">
        <v>1386</v>
      </c>
      <c r="G712" s="3" t="s">
        <v>1387</v>
      </c>
      <c r="H712" s="4">
        <v>3411.75</v>
      </c>
      <c r="I712" s="3" t="s">
        <v>11</v>
      </c>
    </row>
    <row r="713" spans="1:9" x14ac:dyDescent="0.35">
      <c r="A713" s="3">
        <v>103408143</v>
      </c>
      <c r="B713" s="3" t="s">
        <v>1388</v>
      </c>
      <c r="C713" s="3" t="s">
        <v>9</v>
      </c>
      <c r="D713" s="3" t="s">
        <v>5</v>
      </c>
      <c r="E713" s="3" t="s">
        <v>10</v>
      </c>
      <c r="F713" s="3" t="s">
        <v>1267</v>
      </c>
      <c r="G713" s="3" t="s">
        <v>1268</v>
      </c>
      <c r="H713" s="5">
        <v>4799</v>
      </c>
      <c r="I713" s="3" t="s">
        <v>11</v>
      </c>
    </row>
    <row r="714" spans="1:9" x14ac:dyDescent="0.35">
      <c r="A714" s="3">
        <v>103408184</v>
      </c>
      <c r="B714" s="3" t="s">
        <v>1389</v>
      </c>
      <c r="C714" s="3" t="s">
        <v>9</v>
      </c>
      <c r="D714" s="3" t="s">
        <v>5</v>
      </c>
      <c r="E714" s="3" t="s">
        <v>10</v>
      </c>
      <c r="F714" s="3" t="s">
        <v>1390</v>
      </c>
      <c r="G714" s="3" t="s">
        <v>1391</v>
      </c>
      <c r="H714" s="4">
        <v>1329.05</v>
      </c>
      <c r="I714" s="3" t="s">
        <v>11</v>
      </c>
    </row>
    <row r="715" spans="1:9" x14ac:dyDescent="0.35">
      <c r="A715" s="3">
        <v>103408140</v>
      </c>
      <c r="B715" s="3" t="s">
        <v>1392</v>
      </c>
      <c r="C715" s="3" t="s">
        <v>9</v>
      </c>
      <c r="D715" s="3" t="s">
        <v>5</v>
      </c>
      <c r="E715" s="3" t="s">
        <v>12</v>
      </c>
      <c r="F715" s="3" t="s">
        <v>1393</v>
      </c>
      <c r="G715" s="3" t="s">
        <v>1394</v>
      </c>
      <c r="H715" s="3">
        <v>899</v>
      </c>
      <c r="I715" s="3" t="s">
        <v>11</v>
      </c>
    </row>
    <row r="716" spans="1:9" x14ac:dyDescent="0.35">
      <c r="A716" s="3">
        <v>103408183</v>
      </c>
      <c r="B716" s="3" t="s">
        <v>1395</v>
      </c>
      <c r="C716" s="3" t="s">
        <v>9</v>
      </c>
      <c r="D716" s="3" t="s">
        <v>5</v>
      </c>
      <c r="E716" s="3" t="s">
        <v>10</v>
      </c>
      <c r="F716" s="3" t="s">
        <v>1396</v>
      </c>
      <c r="G716" s="3" t="s">
        <v>1397</v>
      </c>
      <c r="H716" s="4">
        <v>1640.74</v>
      </c>
      <c r="I716" s="3" t="s">
        <v>11</v>
      </c>
    </row>
    <row r="717" spans="1:9" x14ac:dyDescent="0.35">
      <c r="A717" s="3">
        <v>103408139</v>
      </c>
      <c r="B717" s="3" t="s">
        <v>1398</v>
      </c>
      <c r="C717" s="3" t="s">
        <v>9</v>
      </c>
      <c r="D717" s="3" t="s">
        <v>5</v>
      </c>
      <c r="E717" s="3" t="s">
        <v>10</v>
      </c>
      <c r="F717" s="3" t="s">
        <v>1399</v>
      </c>
      <c r="G717" s="3" t="s">
        <v>1400</v>
      </c>
      <c r="H717" s="3">
        <v>768.55</v>
      </c>
      <c r="I717" s="3" t="s">
        <v>11</v>
      </c>
    </row>
    <row r="718" spans="1:9" x14ac:dyDescent="0.35">
      <c r="A718" s="3">
        <v>103408138</v>
      </c>
      <c r="B718" s="3" t="s">
        <v>1401</v>
      </c>
      <c r="C718" s="3" t="s">
        <v>9</v>
      </c>
      <c r="D718" s="3" t="s">
        <v>5</v>
      </c>
      <c r="E718" s="3" t="s">
        <v>10</v>
      </c>
      <c r="F718" s="3" t="s">
        <v>1402</v>
      </c>
      <c r="G718" s="3" t="s">
        <v>1403</v>
      </c>
      <c r="H718" s="4">
        <v>5556.55</v>
      </c>
      <c r="I718" s="3" t="s">
        <v>11</v>
      </c>
    </row>
    <row r="719" spans="1:9" x14ac:dyDescent="0.35">
      <c r="A719" s="3">
        <v>103408137</v>
      </c>
      <c r="B719" s="3" t="s">
        <v>1404</v>
      </c>
      <c r="C719" s="3" t="s">
        <v>9</v>
      </c>
      <c r="D719" s="3" t="s">
        <v>5</v>
      </c>
      <c r="E719" s="3" t="s">
        <v>10</v>
      </c>
      <c r="F719" s="3" t="s">
        <v>1405</v>
      </c>
      <c r="G719" s="3" t="s">
        <v>1406</v>
      </c>
      <c r="H719" s="5">
        <v>2099</v>
      </c>
      <c r="I719" s="3" t="s">
        <v>11</v>
      </c>
    </row>
    <row r="720" spans="1:9" x14ac:dyDescent="0.35">
      <c r="A720" s="3">
        <v>103408179</v>
      </c>
      <c r="B720" s="3" t="s">
        <v>1407</v>
      </c>
      <c r="C720" s="3" t="s">
        <v>9</v>
      </c>
      <c r="D720" s="3" t="s">
        <v>5</v>
      </c>
      <c r="E720" s="3" t="s">
        <v>10</v>
      </c>
      <c r="F720" s="3" t="s">
        <v>1370</v>
      </c>
      <c r="G720" s="3" t="s">
        <v>1371</v>
      </c>
      <c r="H720" s="5">
        <v>2099</v>
      </c>
      <c r="I720" s="3" t="s">
        <v>11</v>
      </c>
    </row>
    <row r="721" spans="1:9" x14ac:dyDescent="0.35">
      <c r="A721" s="3">
        <v>103408178</v>
      </c>
      <c r="B721" s="3" t="s">
        <v>1408</v>
      </c>
      <c r="C721" s="3" t="s">
        <v>9</v>
      </c>
      <c r="D721" s="3" t="s">
        <v>5</v>
      </c>
      <c r="E721" s="3" t="s">
        <v>10</v>
      </c>
      <c r="F721" s="3" t="s">
        <v>1322</v>
      </c>
      <c r="G721" s="3" t="s">
        <v>1323</v>
      </c>
      <c r="H721" s="4">
        <v>1196.05</v>
      </c>
      <c r="I721" s="3" t="s">
        <v>11</v>
      </c>
    </row>
    <row r="722" spans="1:9" x14ac:dyDescent="0.35">
      <c r="A722" s="3">
        <v>103408176</v>
      </c>
      <c r="B722" s="3" t="s">
        <v>1409</v>
      </c>
      <c r="C722" s="3" t="s">
        <v>9</v>
      </c>
      <c r="D722" s="3" t="s">
        <v>5</v>
      </c>
      <c r="E722" s="3" t="s">
        <v>10</v>
      </c>
      <c r="F722" s="3" t="s">
        <v>1410</v>
      </c>
      <c r="G722" s="3" t="s">
        <v>1411</v>
      </c>
      <c r="H722" s="4">
        <v>4511.6000000000004</v>
      </c>
      <c r="I722" s="3" t="s">
        <v>11</v>
      </c>
    </row>
    <row r="723" spans="1:9" x14ac:dyDescent="0.35">
      <c r="A723" s="3">
        <v>103408175</v>
      </c>
      <c r="B723" s="3" t="s">
        <v>1412</v>
      </c>
      <c r="C723" s="3" t="s">
        <v>9</v>
      </c>
      <c r="D723" s="3" t="s">
        <v>5</v>
      </c>
      <c r="E723" s="3" t="s">
        <v>10</v>
      </c>
      <c r="F723" s="3" t="s">
        <v>1413</v>
      </c>
      <c r="G723" s="3" t="s">
        <v>1414</v>
      </c>
      <c r="H723" s="4">
        <v>3419.05</v>
      </c>
      <c r="I723" s="3" t="s">
        <v>11</v>
      </c>
    </row>
    <row r="724" spans="1:9" x14ac:dyDescent="0.35">
      <c r="A724" s="3">
        <v>103408133</v>
      </c>
      <c r="B724" s="3" t="s">
        <v>1415</v>
      </c>
      <c r="C724" s="3" t="s">
        <v>9</v>
      </c>
      <c r="D724" s="3" t="s">
        <v>5</v>
      </c>
      <c r="E724" s="3" t="s">
        <v>10</v>
      </c>
      <c r="F724" s="3" t="s">
        <v>1416</v>
      </c>
      <c r="G724" s="3" t="s">
        <v>1417</v>
      </c>
      <c r="H724" s="5">
        <v>2398</v>
      </c>
      <c r="I724" s="3" t="s">
        <v>11</v>
      </c>
    </row>
    <row r="725" spans="1:9" x14ac:dyDescent="0.35">
      <c r="A725" s="3">
        <v>103408173</v>
      </c>
      <c r="B725" s="3" t="s">
        <v>1418</v>
      </c>
      <c r="C725" s="3" t="s">
        <v>9</v>
      </c>
      <c r="D725" s="3" t="s">
        <v>5</v>
      </c>
      <c r="E725" s="3" t="s">
        <v>12</v>
      </c>
      <c r="F725" s="3" t="s">
        <v>1419</v>
      </c>
      <c r="G725" s="3" t="s">
        <v>1420</v>
      </c>
      <c r="H725" s="4">
        <v>2849.05</v>
      </c>
      <c r="I725" s="3" t="s">
        <v>11</v>
      </c>
    </row>
    <row r="726" spans="1:9" x14ac:dyDescent="0.35">
      <c r="A726" s="3">
        <v>103408170</v>
      </c>
      <c r="B726" s="3" t="s">
        <v>4774</v>
      </c>
      <c r="C726" s="3" t="s">
        <v>9</v>
      </c>
      <c r="D726" s="3" t="s">
        <v>5</v>
      </c>
      <c r="E726" s="3" t="s">
        <v>10</v>
      </c>
      <c r="F726" s="3" t="s">
        <v>4775</v>
      </c>
      <c r="G726" s="3" t="s">
        <v>4776</v>
      </c>
      <c r="H726" s="4">
        <v>2469.0500000000002</v>
      </c>
      <c r="I726" s="3" t="s">
        <v>13</v>
      </c>
    </row>
    <row r="727" spans="1:9" x14ac:dyDescent="0.35">
      <c r="A727" s="3">
        <v>103408169</v>
      </c>
      <c r="B727" s="3" t="s">
        <v>1421</v>
      </c>
      <c r="C727" s="3" t="s">
        <v>9</v>
      </c>
      <c r="D727" s="3" t="s">
        <v>5</v>
      </c>
      <c r="E727" s="3" t="s">
        <v>10</v>
      </c>
      <c r="F727" s="3" t="s">
        <v>1422</v>
      </c>
      <c r="G727" s="3" t="s">
        <v>1423</v>
      </c>
      <c r="H727" s="3">
        <v>479</v>
      </c>
      <c r="I727" s="3" t="s">
        <v>11</v>
      </c>
    </row>
    <row r="728" spans="1:9" x14ac:dyDescent="0.35">
      <c r="A728" s="3">
        <v>103408168</v>
      </c>
      <c r="B728" s="3" t="s">
        <v>1424</v>
      </c>
      <c r="C728" s="3" t="s">
        <v>9</v>
      </c>
      <c r="D728" s="3" t="s">
        <v>5</v>
      </c>
      <c r="E728" s="3" t="s">
        <v>10</v>
      </c>
      <c r="F728" s="3" t="s">
        <v>1425</v>
      </c>
      <c r="G728" s="3" t="s">
        <v>1426</v>
      </c>
      <c r="H728" s="3">
        <v>742.99</v>
      </c>
      <c r="I728" s="3" t="s">
        <v>11</v>
      </c>
    </row>
    <row r="729" spans="1:9" x14ac:dyDescent="0.35">
      <c r="A729" s="3">
        <v>103408166</v>
      </c>
      <c r="B729" s="3" t="s">
        <v>1427</v>
      </c>
      <c r="C729" s="3" t="s">
        <v>9</v>
      </c>
      <c r="D729" s="3" t="s">
        <v>5</v>
      </c>
      <c r="E729" s="3" t="s">
        <v>10</v>
      </c>
      <c r="F729" s="3" t="s">
        <v>1428</v>
      </c>
      <c r="G729" s="3" t="s">
        <v>1429</v>
      </c>
      <c r="H729" s="3">
        <v>999.49</v>
      </c>
      <c r="I729" s="3" t="s">
        <v>11</v>
      </c>
    </row>
    <row r="730" spans="1:9" x14ac:dyDescent="0.35">
      <c r="A730" s="3">
        <v>103408125</v>
      </c>
      <c r="B730" s="3" t="s">
        <v>1430</v>
      </c>
      <c r="C730" s="3" t="s">
        <v>9</v>
      </c>
      <c r="D730" s="3" t="s">
        <v>5</v>
      </c>
      <c r="E730" s="3" t="s">
        <v>10</v>
      </c>
      <c r="F730" s="3" t="s">
        <v>1431</v>
      </c>
      <c r="G730" s="3" t="s">
        <v>1432</v>
      </c>
      <c r="H730" s="3">
        <v>468.4</v>
      </c>
      <c r="I730" s="3" t="s">
        <v>11</v>
      </c>
    </row>
    <row r="731" spans="1:9" x14ac:dyDescent="0.35">
      <c r="A731" s="3">
        <v>103408124</v>
      </c>
      <c r="B731" s="3" t="s">
        <v>1433</v>
      </c>
      <c r="C731" s="3" t="s">
        <v>9</v>
      </c>
      <c r="D731" s="3" t="s">
        <v>5</v>
      </c>
      <c r="E731" s="3" t="s">
        <v>12</v>
      </c>
      <c r="F731" s="3" t="s">
        <v>1434</v>
      </c>
      <c r="G731" s="3" t="s">
        <v>1435</v>
      </c>
      <c r="H731" s="4">
        <v>2526.0500000000002</v>
      </c>
      <c r="I731" s="3" t="s">
        <v>11</v>
      </c>
    </row>
    <row r="732" spans="1:9" x14ac:dyDescent="0.35">
      <c r="A732" s="3">
        <v>103408123</v>
      </c>
      <c r="B732" s="3" t="s">
        <v>1436</v>
      </c>
      <c r="C732" s="3" t="s">
        <v>9</v>
      </c>
      <c r="D732" s="3" t="s">
        <v>5</v>
      </c>
      <c r="E732" s="3" t="s">
        <v>10</v>
      </c>
      <c r="F732" s="3" t="s">
        <v>1437</v>
      </c>
      <c r="G732" s="3" t="s">
        <v>1438</v>
      </c>
      <c r="H732" s="4">
        <v>2849.05</v>
      </c>
      <c r="I732" s="3" t="s">
        <v>11</v>
      </c>
    </row>
    <row r="733" spans="1:9" x14ac:dyDescent="0.35">
      <c r="A733" s="3">
        <v>103408122</v>
      </c>
      <c r="B733" s="3" t="s">
        <v>1439</v>
      </c>
      <c r="C733" s="3" t="s">
        <v>9</v>
      </c>
      <c r="D733" s="3" t="s">
        <v>5</v>
      </c>
      <c r="E733" s="3" t="s">
        <v>10</v>
      </c>
      <c r="F733" s="3" t="s">
        <v>1440</v>
      </c>
      <c r="G733" s="3" t="s">
        <v>1441</v>
      </c>
      <c r="H733" s="4">
        <v>4094.1</v>
      </c>
      <c r="I733" s="3" t="s">
        <v>11</v>
      </c>
    </row>
    <row r="734" spans="1:9" x14ac:dyDescent="0.35">
      <c r="A734" s="3">
        <v>103407964</v>
      </c>
      <c r="B734" s="3" t="s">
        <v>1442</v>
      </c>
      <c r="C734" s="3" t="s">
        <v>9</v>
      </c>
      <c r="D734" s="3" t="s">
        <v>5</v>
      </c>
      <c r="E734" s="3" t="s">
        <v>12</v>
      </c>
      <c r="F734" s="3" t="s">
        <v>1443</v>
      </c>
      <c r="G734" s="3" t="s">
        <v>1444</v>
      </c>
      <c r="H734" s="3">
        <v>969</v>
      </c>
      <c r="I734" s="3" t="s">
        <v>11</v>
      </c>
    </row>
    <row r="735" spans="1:9" x14ac:dyDescent="0.35">
      <c r="A735" s="3">
        <v>103408119</v>
      </c>
      <c r="B735" s="3" t="s">
        <v>1445</v>
      </c>
      <c r="C735" s="3" t="s">
        <v>9</v>
      </c>
      <c r="D735" s="3" t="s">
        <v>5</v>
      </c>
      <c r="E735" s="3" t="s">
        <v>12</v>
      </c>
      <c r="F735" s="3" t="s">
        <v>1446</v>
      </c>
      <c r="G735" s="3" t="s">
        <v>1447</v>
      </c>
      <c r="H735" s="5">
        <v>1499</v>
      </c>
      <c r="I735" s="3" t="s">
        <v>11</v>
      </c>
    </row>
    <row r="736" spans="1:9" x14ac:dyDescent="0.35">
      <c r="A736" s="3">
        <v>103407963</v>
      </c>
      <c r="B736" s="3" t="s">
        <v>1448</v>
      </c>
      <c r="C736" s="3" t="s">
        <v>9</v>
      </c>
      <c r="D736" s="3" t="s">
        <v>5</v>
      </c>
      <c r="E736" s="3" t="s">
        <v>10</v>
      </c>
      <c r="F736" s="3" t="s">
        <v>1449</v>
      </c>
      <c r="G736" s="3" t="s">
        <v>1450</v>
      </c>
      <c r="H736" s="5">
        <v>1999</v>
      </c>
      <c r="I736" s="3" t="s">
        <v>11</v>
      </c>
    </row>
    <row r="737" spans="1:9" x14ac:dyDescent="0.35">
      <c r="A737" s="3">
        <v>103408116</v>
      </c>
      <c r="B737" s="3" t="s">
        <v>1451</v>
      </c>
      <c r="C737" s="3" t="s">
        <v>9</v>
      </c>
      <c r="D737" s="3" t="s">
        <v>5</v>
      </c>
      <c r="E737" s="3" t="s">
        <v>10</v>
      </c>
      <c r="F737" s="3" t="s">
        <v>1267</v>
      </c>
      <c r="G737" s="3" t="s">
        <v>1268</v>
      </c>
      <c r="H737" s="5">
        <v>3569</v>
      </c>
      <c r="I737" s="3" t="s">
        <v>11</v>
      </c>
    </row>
    <row r="738" spans="1:9" x14ac:dyDescent="0.35">
      <c r="A738" s="3">
        <v>103408115</v>
      </c>
      <c r="B738" s="3" t="s">
        <v>1452</v>
      </c>
      <c r="C738" s="3" t="s">
        <v>9</v>
      </c>
      <c r="D738" s="3" t="s">
        <v>5</v>
      </c>
      <c r="E738" s="3" t="s">
        <v>10</v>
      </c>
      <c r="F738" s="3" t="s">
        <v>1431</v>
      </c>
      <c r="G738" s="3" t="s">
        <v>1432</v>
      </c>
      <c r="H738" s="4">
        <v>1216.57</v>
      </c>
      <c r="I738" s="3" t="s">
        <v>11</v>
      </c>
    </row>
    <row r="739" spans="1:9" x14ac:dyDescent="0.35">
      <c r="A739" s="3">
        <v>103407958</v>
      </c>
      <c r="B739" s="3" t="s">
        <v>1453</v>
      </c>
      <c r="C739" s="3" t="s">
        <v>9</v>
      </c>
      <c r="D739" s="3" t="s">
        <v>5</v>
      </c>
      <c r="E739" s="3" t="s">
        <v>10</v>
      </c>
      <c r="F739" s="3" t="s">
        <v>1454</v>
      </c>
      <c r="G739" s="3" t="s">
        <v>1455</v>
      </c>
      <c r="H739" s="4">
        <v>1651.1</v>
      </c>
      <c r="I739" s="3" t="s">
        <v>11</v>
      </c>
    </row>
    <row r="740" spans="1:9" x14ac:dyDescent="0.35">
      <c r="A740" s="3">
        <v>103407957</v>
      </c>
      <c r="B740" s="3" t="s">
        <v>1456</v>
      </c>
      <c r="C740" s="3" t="s">
        <v>9</v>
      </c>
      <c r="D740" s="3" t="s">
        <v>5</v>
      </c>
      <c r="E740" s="3" t="s">
        <v>10</v>
      </c>
      <c r="F740" s="3" t="s">
        <v>1457</v>
      </c>
      <c r="G740" s="3" t="s">
        <v>1458</v>
      </c>
      <c r="H740" s="5">
        <v>3999</v>
      </c>
      <c r="I740" s="3" t="s">
        <v>11</v>
      </c>
    </row>
    <row r="741" spans="1:9" x14ac:dyDescent="0.35">
      <c r="A741" s="3">
        <v>103408113</v>
      </c>
      <c r="B741" s="3" t="s">
        <v>1459</v>
      </c>
      <c r="C741" s="3" t="s">
        <v>9</v>
      </c>
      <c r="D741" s="3" t="s">
        <v>5</v>
      </c>
      <c r="E741" s="3" t="s">
        <v>10</v>
      </c>
      <c r="F741" s="3" t="s">
        <v>1460</v>
      </c>
      <c r="G741" s="3" t="s">
        <v>1461</v>
      </c>
      <c r="H741" s="4">
        <v>3704.05</v>
      </c>
      <c r="I741" s="3" t="s">
        <v>11</v>
      </c>
    </row>
    <row r="742" spans="1:9" x14ac:dyDescent="0.35">
      <c r="A742" s="3">
        <v>103407955</v>
      </c>
      <c r="B742" s="3" t="s">
        <v>1462</v>
      </c>
      <c r="C742" s="3" t="s">
        <v>9</v>
      </c>
      <c r="D742" s="3" t="s">
        <v>5</v>
      </c>
      <c r="E742" s="3" t="s">
        <v>10</v>
      </c>
      <c r="F742" s="3" t="s">
        <v>1463</v>
      </c>
      <c r="G742" s="3" t="s">
        <v>1464</v>
      </c>
      <c r="H742" s="3">
        <v>979</v>
      </c>
      <c r="I742" s="3" t="s">
        <v>11</v>
      </c>
    </row>
    <row r="743" spans="1:9" x14ac:dyDescent="0.35">
      <c r="A743" s="3">
        <v>103408111</v>
      </c>
      <c r="B743" s="3" t="s">
        <v>1465</v>
      </c>
      <c r="C743" s="3" t="s">
        <v>9</v>
      </c>
      <c r="D743" s="3" t="s">
        <v>5</v>
      </c>
      <c r="E743" s="3" t="s">
        <v>10</v>
      </c>
      <c r="F743" s="3" t="s">
        <v>1466</v>
      </c>
      <c r="G743" s="3" t="s">
        <v>1467</v>
      </c>
      <c r="H743" s="4">
        <v>7075.6</v>
      </c>
      <c r="I743" s="3" t="s">
        <v>11</v>
      </c>
    </row>
    <row r="744" spans="1:9" x14ac:dyDescent="0.35">
      <c r="A744" s="3">
        <v>103407952</v>
      </c>
      <c r="B744" s="3" t="s">
        <v>1468</v>
      </c>
      <c r="C744" s="3" t="s">
        <v>9</v>
      </c>
      <c r="D744" s="3" t="s">
        <v>5</v>
      </c>
      <c r="E744" s="3" t="s">
        <v>10</v>
      </c>
      <c r="F744" s="3" t="s">
        <v>1469</v>
      </c>
      <c r="G744" s="3" t="s">
        <v>1470</v>
      </c>
      <c r="H744" s="3">
        <v>691.69</v>
      </c>
      <c r="I744" s="3" t="s">
        <v>11</v>
      </c>
    </row>
    <row r="745" spans="1:9" x14ac:dyDescent="0.35">
      <c r="A745" s="3">
        <v>103408104</v>
      </c>
      <c r="B745" s="3" t="s">
        <v>1471</v>
      </c>
      <c r="C745" s="3" t="s">
        <v>9</v>
      </c>
      <c r="D745" s="3" t="s">
        <v>5</v>
      </c>
      <c r="E745" s="3" t="s">
        <v>10</v>
      </c>
      <c r="F745" s="3" t="s">
        <v>1472</v>
      </c>
      <c r="G745" s="3" t="s">
        <v>1473</v>
      </c>
      <c r="H745" s="3">
        <v>910.1</v>
      </c>
      <c r="I745" s="3" t="s">
        <v>11</v>
      </c>
    </row>
    <row r="746" spans="1:9" x14ac:dyDescent="0.35">
      <c r="A746" s="3">
        <v>103407947</v>
      </c>
      <c r="B746" s="3" t="s">
        <v>1474</v>
      </c>
      <c r="C746" s="3" t="s">
        <v>9</v>
      </c>
      <c r="D746" s="3" t="s">
        <v>5</v>
      </c>
      <c r="E746" s="3" t="s">
        <v>10</v>
      </c>
      <c r="F746" s="3" t="s">
        <v>1475</v>
      </c>
      <c r="G746" s="3" t="s">
        <v>1476</v>
      </c>
      <c r="H746" s="3">
        <v>669</v>
      </c>
      <c r="I746" s="3" t="s">
        <v>11</v>
      </c>
    </row>
    <row r="747" spans="1:9" x14ac:dyDescent="0.35">
      <c r="A747" s="3">
        <v>103408096</v>
      </c>
      <c r="B747" s="3" t="s">
        <v>1477</v>
      </c>
      <c r="C747" s="3" t="s">
        <v>9</v>
      </c>
      <c r="D747" s="3" t="s">
        <v>5</v>
      </c>
      <c r="E747" s="3" t="s">
        <v>10</v>
      </c>
      <c r="F747" s="3" t="s">
        <v>1478</v>
      </c>
      <c r="G747" s="3" t="s">
        <v>1479</v>
      </c>
      <c r="H747" s="3">
        <v>521.54999999999995</v>
      </c>
      <c r="I747" s="3" t="s">
        <v>11</v>
      </c>
    </row>
    <row r="748" spans="1:9" x14ac:dyDescent="0.35">
      <c r="A748" s="3">
        <v>103407940</v>
      </c>
      <c r="B748" s="3" t="s">
        <v>1480</v>
      </c>
      <c r="C748" s="3" t="s">
        <v>9</v>
      </c>
      <c r="D748" s="3" t="s">
        <v>5</v>
      </c>
      <c r="E748" s="3" t="s">
        <v>10</v>
      </c>
      <c r="F748" s="3" t="s">
        <v>1481</v>
      </c>
      <c r="G748" s="3" t="s">
        <v>1482</v>
      </c>
      <c r="H748" s="5">
        <v>1499</v>
      </c>
      <c r="I748" s="3" t="s">
        <v>11</v>
      </c>
    </row>
    <row r="749" spans="1:9" x14ac:dyDescent="0.35">
      <c r="A749" s="3">
        <v>103407939</v>
      </c>
      <c r="B749" s="3" t="s">
        <v>1483</v>
      </c>
      <c r="C749" s="3" t="s">
        <v>9</v>
      </c>
      <c r="D749" s="3" t="s">
        <v>5</v>
      </c>
      <c r="E749" s="3" t="s">
        <v>10</v>
      </c>
      <c r="F749" s="3" t="s">
        <v>1484</v>
      </c>
      <c r="G749" s="3" t="s">
        <v>1485</v>
      </c>
      <c r="H749" s="4">
        <v>3989.05</v>
      </c>
      <c r="I749" s="3" t="s">
        <v>11</v>
      </c>
    </row>
    <row r="750" spans="1:9" x14ac:dyDescent="0.35">
      <c r="A750" s="3">
        <v>103407938</v>
      </c>
      <c r="B750" s="3" t="s">
        <v>1486</v>
      </c>
      <c r="C750" s="3" t="s">
        <v>9</v>
      </c>
      <c r="D750" s="3" t="s">
        <v>5</v>
      </c>
      <c r="E750" s="3" t="s">
        <v>10</v>
      </c>
      <c r="F750" s="3" t="s">
        <v>1487</v>
      </c>
      <c r="G750" s="3" t="s">
        <v>1488</v>
      </c>
      <c r="H750" s="5">
        <v>1949</v>
      </c>
      <c r="I750" s="3" t="s">
        <v>11</v>
      </c>
    </row>
    <row r="751" spans="1:9" x14ac:dyDescent="0.35">
      <c r="A751" s="3">
        <v>103408080</v>
      </c>
      <c r="B751" s="3" t="s">
        <v>1489</v>
      </c>
      <c r="C751" s="3" t="s">
        <v>9</v>
      </c>
      <c r="D751" s="3" t="s">
        <v>5</v>
      </c>
      <c r="E751" s="3" t="s">
        <v>10</v>
      </c>
      <c r="F751" s="3" t="s">
        <v>1490</v>
      </c>
      <c r="G751" s="3" t="s">
        <v>1491</v>
      </c>
      <c r="H751" s="5">
        <v>3207</v>
      </c>
      <c r="I751" s="3" t="s">
        <v>11</v>
      </c>
    </row>
    <row r="752" spans="1:9" x14ac:dyDescent="0.35">
      <c r="A752" s="3">
        <v>103408078</v>
      </c>
      <c r="B752" s="3" t="s">
        <v>1492</v>
      </c>
      <c r="C752" s="3" t="s">
        <v>9</v>
      </c>
      <c r="D752" s="3" t="s">
        <v>5</v>
      </c>
      <c r="E752" s="3" t="s">
        <v>10</v>
      </c>
      <c r="F752" s="3" t="s">
        <v>1493</v>
      </c>
      <c r="G752" s="3" t="s">
        <v>1494</v>
      </c>
      <c r="H752" s="4">
        <v>1775.55</v>
      </c>
      <c r="I752" s="3" t="s">
        <v>11</v>
      </c>
    </row>
    <row r="753" spans="1:9" x14ac:dyDescent="0.35">
      <c r="A753" s="3">
        <v>103408073</v>
      </c>
      <c r="B753" s="3" t="s">
        <v>1495</v>
      </c>
      <c r="C753" s="3" t="s">
        <v>9</v>
      </c>
      <c r="D753" s="3" t="s">
        <v>5</v>
      </c>
      <c r="E753" s="3" t="s">
        <v>10</v>
      </c>
      <c r="F753" s="3" t="s">
        <v>1496</v>
      </c>
      <c r="G753" s="3" t="s">
        <v>1497</v>
      </c>
      <c r="H753" s="4">
        <v>1994.05</v>
      </c>
      <c r="I753" s="3" t="s">
        <v>11</v>
      </c>
    </row>
    <row r="754" spans="1:9" x14ac:dyDescent="0.35">
      <c r="A754" s="3">
        <v>103408070</v>
      </c>
      <c r="B754" s="3" t="s">
        <v>1498</v>
      </c>
      <c r="C754" s="3" t="s">
        <v>9</v>
      </c>
      <c r="D754" s="3" t="s">
        <v>5</v>
      </c>
      <c r="E754" s="3" t="s">
        <v>10</v>
      </c>
      <c r="F754" s="3" t="s">
        <v>1499</v>
      </c>
      <c r="G754" s="3" t="s">
        <v>1500</v>
      </c>
      <c r="H754" s="4">
        <v>2279.0500000000002</v>
      </c>
      <c r="I754" s="3" t="s">
        <v>11</v>
      </c>
    </row>
    <row r="755" spans="1:9" x14ac:dyDescent="0.35">
      <c r="A755" s="3">
        <v>103407934</v>
      </c>
      <c r="B755" s="3" t="s">
        <v>1501</v>
      </c>
      <c r="C755" s="3" t="s">
        <v>9</v>
      </c>
      <c r="D755" s="3" t="s">
        <v>5</v>
      </c>
      <c r="E755" s="3" t="s">
        <v>10</v>
      </c>
      <c r="F755" s="3" t="s">
        <v>1502</v>
      </c>
      <c r="G755" s="3" t="s">
        <v>1503</v>
      </c>
      <c r="H755" s="5">
        <v>1169</v>
      </c>
      <c r="I755" s="3" t="s">
        <v>11</v>
      </c>
    </row>
    <row r="756" spans="1:9" x14ac:dyDescent="0.35">
      <c r="A756" s="3">
        <v>103408065</v>
      </c>
      <c r="B756" s="3" t="s">
        <v>1504</v>
      </c>
      <c r="C756" s="3" t="s">
        <v>9</v>
      </c>
      <c r="D756" s="3" t="s">
        <v>5</v>
      </c>
      <c r="E756" s="3" t="s">
        <v>10</v>
      </c>
      <c r="F756" s="3" t="s">
        <v>1505</v>
      </c>
      <c r="G756" s="3" t="s">
        <v>1506</v>
      </c>
      <c r="H756" s="4">
        <v>1670.1</v>
      </c>
      <c r="I756" s="3" t="s">
        <v>11</v>
      </c>
    </row>
    <row r="757" spans="1:9" x14ac:dyDescent="0.35">
      <c r="A757" s="3">
        <v>103407931</v>
      </c>
      <c r="B757" s="3" t="s">
        <v>1507</v>
      </c>
      <c r="C757" s="3" t="s">
        <v>9</v>
      </c>
      <c r="D757" s="3" t="s">
        <v>5</v>
      </c>
      <c r="E757" s="3" t="s">
        <v>12</v>
      </c>
      <c r="F757" s="3" t="s">
        <v>1508</v>
      </c>
      <c r="G757" s="3" t="s">
        <v>1509</v>
      </c>
      <c r="H757" s="3">
        <v>549</v>
      </c>
      <c r="I757" s="3" t="s">
        <v>11</v>
      </c>
    </row>
    <row r="758" spans="1:9" x14ac:dyDescent="0.35">
      <c r="A758" s="3">
        <v>103408059</v>
      </c>
      <c r="B758" s="3" t="s">
        <v>1510</v>
      </c>
      <c r="C758" s="3" t="s">
        <v>9</v>
      </c>
      <c r="D758" s="3" t="s">
        <v>5</v>
      </c>
      <c r="E758" s="3" t="s">
        <v>10</v>
      </c>
      <c r="F758" s="3" t="s">
        <v>1511</v>
      </c>
      <c r="G758" s="3" t="s">
        <v>1512</v>
      </c>
      <c r="H758" s="4">
        <v>3324.05</v>
      </c>
      <c r="I758" s="3" t="s">
        <v>11</v>
      </c>
    </row>
    <row r="759" spans="1:9" x14ac:dyDescent="0.35">
      <c r="A759" s="3">
        <v>103407928</v>
      </c>
      <c r="B759" s="3" t="s">
        <v>1513</v>
      </c>
      <c r="C759" s="3" t="s">
        <v>9</v>
      </c>
      <c r="D759" s="3" t="s">
        <v>5</v>
      </c>
      <c r="E759" s="3" t="s">
        <v>10</v>
      </c>
      <c r="F759" s="3" t="s">
        <v>1514</v>
      </c>
      <c r="G759" s="3" t="s">
        <v>1515</v>
      </c>
      <c r="H759" s="5">
        <v>2999</v>
      </c>
      <c r="I759" s="3" t="s">
        <v>11</v>
      </c>
    </row>
    <row r="760" spans="1:9" x14ac:dyDescent="0.35">
      <c r="A760" s="3">
        <v>103407927</v>
      </c>
      <c r="B760" s="3" t="s">
        <v>1516</v>
      </c>
      <c r="C760" s="3" t="s">
        <v>9</v>
      </c>
      <c r="D760" s="3" t="s">
        <v>5</v>
      </c>
      <c r="E760" s="3" t="s">
        <v>10</v>
      </c>
      <c r="F760" s="3" t="s">
        <v>1517</v>
      </c>
      <c r="G760" s="3" t="s">
        <v>1518</v>
      </c>
      <c r="H760" s="4">
        <v>4274.05</v>
      </c>
      <c r="I760" s="3" t="s">
        <v>11</v>
      </c>
    </row>
    <row r="761" spans="1:9" x14ac:dyDescent="0.35">
      <c r="A761" s="3">
        <v>103407925</v>
      </c>
      <c r="B761" s="3" t="s">
        <v>1519</v>
      </c>
      <c r="C761" s="3" t="s">
        <v>9</v>
      </c>
      <c r="D761" s="3" t="s">
        <v>5</v>
      </c>
      <c r="E761" s="3" t="s">
        <v>10</v>
      </c>
      <c r="F761" s="3" t="s">
        <v>1520</v>
      </c>
      <c r="G761" s="3" t="s">
        <v>1521</v>
      </c>
      <c r="H761" s="4">
        <v>3632.94</v>
      </c>
      <c r="I761" s="3" t="s">
        <v>11</v>
      </c>
    </row>
    <row r="762" spans="1:9" x14ac:dyDescent="0.35">
      <c r="A762" s="3">
        <v>103408055</v>
      </c>
      <c r="B762" s="3" t="s">
        <v>1522</v>
      </c>
      <c r="C762" s="3" t="s">
        <v>9</v>
      </c>
      <c r="D762" s="3" t="s">
        <v>5</v>
      </c>
      <c r="E762" s="3" t="s">
        <v>10</v>
      </c>
      <c r="F762" s="3" t="s">
        <v>1523</v>
      </c>
      <c r="G762" s="3" t="s">
        <v>1524</v>
      </c>
      <c r="H762" s="4">
        <v>1888.6</v>
      </c>
      <c r="I762" s="3" t="s">
        <v>11</v>
      </c>
    </row>
    <row r="763" spans="1:9" x14ac:dyDescent="0.35">
      <c r="A763" s="3">
        <v>103407923</v>
      </c>
      <c r="B763" s="3" t="s">
        <v>1525</v>
      </c>
      <c r="C763" s="3" t="s">
        <v>9</v>
      </c>
      <c r="D763" s="3" t="s">
        <v>5</v>
      </c>
      <c r="E763" s="3" t="s">
        <v>10</v>
      </c>
      <c r="F763" s="3" t="s">
        <v>1526</v>
      </c>
      <c r="G763" s="3" t="s">
        <v>1527</v>
      </c>
      <c r="H763" s="5">
        <v>2279</v>
      </c>
      <c r="I763" s="3" t="s">
        <v>11</v>
      </c>
    </row>
    <row r="764" spans="1:9" x14ac:dyDescent="0.35">
      <c r="A764" s="3">
        <v>103408049</v>
      </c>
      <c r="B764" s="3" t="s">
        <v>1528</v>
      </c>
      <c r="C764" s="3" t="s">
        <v>9</v>
      </c>
      <c r="D764" s="3" t="s">
        <v>5</v>
      </c>
      <c r="E764" s="3" t="s">
        <v>10</v>
      </c>
      <c r="F764" s="3" t="s">
        <v>1529</v>
      </c>
      <c r="G764" s="3" t="s">
        <v>1530</v>
      </c>
      <c r="H764" s="3">
        <v>455.05</v>
      </c>
      <c r="I764" s="3" t="s">
        <v>11</v>
      </c>
    </row>
    <row r="765" spans="1:9" x14ac:dyDescent="0.35">
      <c r="A765" s="3">
        <v>103408045</v>
      </c>
      <c r="B765" s="3" t="s">
        <v>1531</v>
      </c>
      <c r="C765" s="3" t="s">
        <v>9</v>
      </c>
      <c r="D765" s="3" t="s">
        <v>5</v>
      </c>
      <c r="E765" s="3" t="s">
        <v>10</v>
      </c>
      <c r="F765" s="3" t="s">
        <v>1532</v>
      </c>
      <c r="G765" s="3" t="s">
        <v>1533</v>
      </c>
      <c r="H765" s="4">
        <v>1775.55</v>
      </c>
      <c r="I765" s="3" t="s">
        <v>11</v>
      </c>
    </row>
    <row r="766" spans="1:9" x14ac:dyDescent="0.35">
      <c r="A766" s="3">
        <v>103408044</v>
      </c>
      <c r="B766" s="3" t="s">
        <v>1534</v>
      </c>
      <c r="C766" s="3" t="s">
        <v>9</v>
      </c>
      <c r="D766" s="3" t="s">
        <v>5</v>
      </c>
      <c r="E766" s="3" t="s">
        <v>10</v>
      </c>
      <c r="F766" s="3" t="s">
        <v>1535</v>
      </c>
      <c r="G766" s="3" t="s">
        <v>1536</v>
      </c>
      <c r="H766" s="5">
        <v>1349</v>
      </c>
      <c r="I766" s="3" t="s">
        <v>11</v>
      </c>
    </row>
    <row r="767" spans="1:9" x14ac:dyDescent="0.35">
      <c r="A767" s="3">
        <v>103408041</v>
      </c>
      <c r="B767" s="3" t="s">
        <v>1537</v>
      </c>
      <c r="C767" s="3" t="s">
        <v>9</v>
      </c>
      <c r="D767" s="3" t="s">
        <v>5</v>
      </c>
      <c r="E767" s="3" t="s">
        <v>10</v>
      </c>
      <c r="F767" s="3" t="s">
        <v>1538</v>
      </c>
      <c r="G767" s="3" t="s">
        <v>1539</v>
      </c>
      <c r="H767" s="5">
        <v>3038</v>
      </c>
      <c r="I767" s="3" t="s">
        <v>11</v>
      </c>
    </row>
    <row r="768" spans="1:9" x14ac:dyDescent="0.35">
      <c r="A768" s="3">
        <v>103407918</v>
      </c>
      <c r="B768" s="3" t="s">
        <v>1540</v>
      </c>
      <c r="C768" s="3" t="s">
        <v>9</v>
      </c>
      <c r="D768" s="3" t="s">
        <v>5</v>
      </c>
      <c r="E768" s="3" t="s">
        <v>10</v>
      </c>
      <c r="F768" s="3" t="s">
        <v>1541</v>
      </c>
      <c r="G768" s="3" t="s">
        <v>1542</v>
      </c>
      <c r="H768" s="3">
        <v>629</v>
      </c>
      <c r="I768" s="3" t="s">
        <v>11</v>
      </c>
    </row>
    <row r="769" spans="1:9" x14ac:dyDescent="0.35">
      <c r="A769" s="3">
        <v>103408039</v>
      </c>
      <c r="B769" s="3" t="s">
        <v>1543</v>
      </c>
      <c r="C769" s="3" t="s">
        <v>9</v>
      </c>
      <c r="D769" s="3" t="s">
        <v>5</v>
      </c>
      <c r="E769" s="3" t="s">
        <v>10</v>
      </c>
      <c r="F769" s="3" t="s">
        <v>1544</v>
      </c>
      <c r="G769" s="3" t="s">
        <v>1545</v>
      </c>
      <c r="H769" s="4">
        <v>3390.55</v>
      </c>
      <c r="I769" s="3" t="s">
        <v>11</v>
      </c>
    </row>
    <row r="770" spans="1:9" x14ac:dyDescent="0.35">
      <c r="A770" s="3">
        <v>103408035</v>
      </c>
      <c r="B770" s="3" t="s">
        <v>1546</v>
      </c>
      <c r="C770" s="3" t="s">
        <v>9</v>
      </c>
      <c r="D770" s="3" t="s">
        <v>5</v>
      </c>
      <c r="E770" s="3" t="s">
        <v>10</v>
      </c>
      <c r="F770" s="3" t="s">
        <v>1547</v>
      </c>
      <c r="G770" s="3" t="s">
        <v>1548</v>
      </c>
      <c r="H770" s="4">
        <v>2326.5500000000002</v>
      </c>
      <c r="I770" s="3" t="s">
        <v>11</v>
      </c>
    </row>
    <row r="771" spans="1:9" x14ac:dyDescent="0.35">
      <c r="A771" s="3">
        <v>103407914</v>
      </c>
      <c r="B771" s="3" t="s">
        <v>1549</v>
      </c>
      <c r="C771" s="3" t="s">
        <v>9</v>
      </c>
      <c r="D771" s="3" t="s">
        <v>5</v>
      </c>
      <c r="E771" s="3" t="s">
        <v>10</v>
      </c>
      <c r="F771" s="3" t="s">
        <v>1550</v>
      </c>
      <c r="G771" s="3" t="s">
        <v>1551</v>
      </c>
      <c r="H771" s="5">
        <v>2399</v>
      </c>
      <c r="I771" s="3" t="s">
        <v>11</v>
      </c>
    </row>
    <row r="772" spans="1:9" x14ac:dyDescent="0.35">
      <c r="A772" s="3">
        <v>103408034</v>
      </c>
      <c r="B772" s="3" t="s">
        <v>1549</v>
      </c>
      <c r="C772" s="3" t="s">
        <v>9</v>
      </c>
      <c r="D772" s="3" t="s">
        <v>5</v>
      </c>
      <c r="E772" s="3" t="s">
        <v>10</v>
      </c>
      <c r="F772" s="3" t="s">
        <v>1552</v>
      </c>
      <c r="G772" s="3" t="s">
        <v>1553</v>
      </c>
      <c r="H772" s="5">
        <v>5999</v>
      </c>
      <c r="I772" s="3" t="s">
        <v>11</v>
      </c>
    </row>
    <row r="773" spans="1:9" x14ac:dyDescent="0.35">
      <c r="A773" s="3">
        <v>103407913</v>
      </c>
      <c r="B773" s="3" t="s">
        <v>1554</v>
      </c>
      <c r="C773" s="3" t="s">
        <v>9</v>
      </c>
      <c r="D773" s="3" t="s">
        <v>5</v>
      </c>
      <c r="E773" s="3" t="s">
        <v>10</v>
      </c>
      <c r="F773" s="3" t="s">
        <v>1555</v>
      </c>
      <c r="G773" s="3" t="s">
        <v>1556</v>
      </c>
      <c r="H773" s="4">
        <v>2659.05</v>
      </c>
      <c r="I773" s="3" t="s">
        <v>11</v>
      </c>
    </row>
    <row r="774" spans="1:9" x14ac:dyDescent="0.35">
      <c r="A774" s="3">
        <v>103407912</v>
      </c>
      <c r="B774" s="3" t="s">
        <v>1557</v>
      </c>
      <c r="C774" s="3" t="s">
        <v>9</v>
      </c>
      <c r="D774" s="3" t="s">
        <v>5</v>
      </c>
      <c r="E774" s="3" t="s">
        <v>10</v>
      </c>
      <c r="F774" s="3" t="s">
        <v>1558</v>
      </c>
      <c r="G774" s="3" t="s">
        <v>1559</v>
      </c>
      <c r="H774" s="4">
        <v>2083.87</v>
      </c>
      <c r="I774" s="3" t="s">
        <v>11</v>
      </c>
    </row>
    <row r="775" spans="1:9" x14ac:dyDescent="0.35">
      <c r="A775" s="3">
        <v>103407910</v>
      </c>
      <c r="B775" s="3" t="s">
        <v>1560</v>
      </c>
      <c r="C775" s="3" t="s">
        <v>9</v>
      </c>
      <c r="D775" s="3" t="s">
        <v>5</v>
      </c>
      <c r="E775" s="3" t="s">
        <v>10</v>
      </c>
      <c r="F775" s="3" t="s">
        <v>1561</v>
      </c>
      <c r="G775" s="3" t="s">
        <v>1562</v>
      </c>
      <c r="H775" s="4">
        <v>2991.55</v>
      </c>
      <c r="I775" s="3" t="s">
        <v>11</v>
      </c>
    </row>
    <row r="776" spans="1:9" x14ac:dyDescent="0.35">
      <c r="A776" s="3">
        <v>103407909</v>
      </c>
      <c r="B776" s="3" t="s">
        <v>1563</v>
      </c>
      <c r="C776" s="3" t="s">
        <v>9</v>
      </c>
      <c r="D776" s="3" t="s">
        <v>5</v>
      </c>
      <c r="E776" s="3" t="s">
        <v>12</v>
      </c>
      <c r="F776" s="3" t="s">
        <v>373</v>
      </c>
      <c r="G776" s="3" t="s">
        <v>374</v>
      </c>
      <c r="H776" s="3">
        <v>669</v>
      </c>
      <c r="I776" s="3" t="s">
        <v>11</v>
      </c>
    </row>
    <row r="777" spans="1:9" x14ac:dyDescent="0.35">
      <c r="A777" s="3">
        <v>103407908</v>
      </c>
      <c r="B777" s="3" t="s">
        <v>1564</v>
      </c>
      <c r="C777" s="3" t="s">
        <v>9</v>
      </c>
      <c r="D777" s="3" t="s">
        <v>5</v>
      </c>
      <c r="E777" s="3" t="s">
        <v>10</v>
      </c>
      <c r="F777" s="3" t="s">
        <v>1565</v>
      </c>
      <c r="G777" s="3" t="s">
        <v>1566</v>
      </c>
      <c r="H777" s="4">
        <v>2773.05</v>
      </c>
      <c r="I777" s="3" t="s">
        <v>11</v>
      </c>
    </row>
    <row r="778" spans="1:9" x14ac:dyDescent="0.35">
      <c r="A778" s="3">
        <v>103407906</v>
      </c>
      <c r="B778" s="3" t="s">
        <v>1567</v>
      </c>
      <c r="C778" s="3" t="s">
        <v>9</v>
      </c>
      <c r="D778" s="3" t="s">
        <v>5</v>
      </c>
      <c r="E778" s="3" t="s">
        <v>10</v>
      </c>
      <c r="F778" s="3" t="s">
        <v>1568</v>
      </c>
      <c r="G778" s="3" t="s">
        <v>1569</v>
      </c>
      <c r="H778" s="4">
        <v>2339.1</v>
      </c>
      <c r="I778" s="3" t="s">
        <v>11</v>
      </c>
    </row>
    <row r="779" spans="1:9" x14ac:dyDescent="0.35">
      <c r="A779" s="3">
        <v>103408028</v>
      </c>
      <c r="B779" s="3" t="s">
        <v>1570</v>
      </c>
      <c r="C779" s="3" t="s">
        <v>9</v>
      </c>
      <c r="D779" s="3" t="s">
        <v>5</v>
      </c>
      <c r="E779" s="3" t="s">
        <v>10</v>
      </c>
      <c r="F779" s="3" t="s">
        <v>1571</v>
      </c>
      <c r="G779" s="3" t="s">
        <v>1572</v>
      </c>
      <c r="H779" s="4">
        <v>7294.19</v>
      </c>
      <c r="I779" s="3" t="s">
        <v>11</v>
      </c>
    </row>
    <row r="780" spans="1:9" x14ac:dyDescent="0.35">
      <c r="A780" s="3">
        <v>103408019</v>
      </c>
      <c r="B780" s="3" t="s">
        <v>1573</v>
      </c>
      <c r="C780" s="3" t="s">
        <v>9</v>
      </c>
      <c r="D780" s="3" t="s">
        <v>5</v>
      </c>
      <c r="E780" s="3" t="s">
        <v>10</v>
      </c>
      <c r="F780" s="3" t="s">
        <v>1574</v>
      </c>
      <c r="G780" s="3" t="s">
        <v>1575</v>
      </c>
      <c r="H780" s="4">
        <v>1136.25</v>
      </c>
      <c r="I780" s="3" t="s">
        <v>11</v>
      </c>
    </row>
    <row r="781" spans="1:9" x14ac:dyDescent="0.35">
      <c r="A781" s="3">
        <v>103407905</v>
      </c>
      <c r="B781" s="3" t="s">
        <v>1576</v>
      </c>
      <c r="C781" s="3" t="s">
        <v>9</v>
      </c>
      <c r="D781" s="3" t="s">
        <v>5</v>
      </c>
      <c r="E781" s="3" t="s">
        <v>10</v>
      </c>
      <c r="F781" s="3" t="s">
        <v>1577</v>
      </c>
      <c r="G781" s="3" t="s">
        <v>1578</v>
      </c>
      <c r="H781" s="5">
        <v>1599</v>
      </c>
      <c r="I781" s="3" t="s">
        <v>11</v>
      </c>
    </row>
    <row r="782" spans="1:9" x14ac:dyDescent="0.35">
      <c r="A782" s="3">
        <v>103408018</v>
      </c>
      <c r="B782" s="3" t="s">
        <v>1579</v>
      </c>
      <c r="C782" s="3" t="s">
        <v>9</v>
      </c>
      <c r="D782" s="3" t="s">
        <v>5</v>
      </c>
      <c r="E782" s="3" t="s">
        <v>10</v>
      </c>
      <c r="F782" s="3" t="s">
        <v>1580</v>
      </c>
      <c r="G782" s="3" t="s">
        <v>1581</v>
      </c>
      <c r="H782" s="4">
        <v>5984.05</v>
      </c>
      <c r="I782" s="3" t="s">
        <v>11</v>
      </c>
    </row>
    <row r="783" spans="1:9" x14ac:dyDescent="0.35">
      <c r="A783" s="3">
        <v>103408015</v>
      </c>
      <c r="B783" s="3" t="s">
        <v>1582</v>
      </c>
      <c r="C783" s="3" t="s">
        <v>9</v>
      </c>
      <c r="D783" s="3" t="s">
        <v>5</v>
      </c>
      <c r="E783" s="3" t="s">
        <v>10</v>
      </c>
      <c r="F783" s="3" t="s">
        <v>1583</v>
      </c>
      <c r="G783" s="3" t="s">
        <v>1584</v>
      </c>
      <c r="H783" s="4">
        <v>2469.0500000000002</v>
      </c>
      <c r="I783" s="3" t="s">
        <v>11</v>
      </c>
    </row>
    <row r="784" spans="1:9" x14ac:dyDescent="0.35">
      <c r="A784" s="3">
        <v>103408006</v>
      </c>
      <c r="B784" s="3" t="s">
        <v>1585</v>
      </c>
      <c r="C784" s="3" t="s">
        <v>9</v>
      </c>
      <c r="D784" s="3" t="s">
        <v>5</v>
      </c>
      <c r="E784" s="3" t="s">
        <v>12</v>
      </c>
      <c r="F784" s="3" t="s">
        <v>1586</v>
      </c>
      <c r="G784" s="3" t="s">
        <v>1587</v>
      </c>
      <c r="H784" s="5">
        <v>1528</v>
      </c>
      <c r="I784" s="3" t="s">
        <v>11</v>
      </c>
    </row>
    <row r="785" spans="1:9" x14ac:dyDescent="0.35">
      <c r="A785" s="3">
        <v>103407898</v>
      </c>
      <c r="B785" s="3" t="s">
        <v>1588</v>
      </c>
      <c r="C785" s="3" t="s">
        <v>9</v>
      </c>
      <c r="D785" s="3" t="s">
        <v>5</v>
      </c>
      <c r="E785" s="3" t="s">
        <v>10</v>
      </c>
      <c r="F785" s="3" t="s">
        <v>1589</v>
      </c>
      <c r="G785" s="3" t="s">
        <v>1590</v>
      </c>
      <c r="H785" s="5">
        <v>2199</v>
      </c>
      <c r="I785" s="3" t="s">
        <v>11</v>
      </c>
    </row>
    <row r="786" spans="1:9" x14ac:dyDescent="0.35">
      <c r="A786" s="3">
        <v>103407897</v>
      </c>
      <c r="B786" s="3" t="s">
        <v>1591</v>
      </c>
      <c r="C786" s="3" t="s">
        <v>9</v>
      </c>
      <c r="D786" s="3" t="s">
        <v>5</v>
      </c>
      <c r="E786" s="3" t="s">
        <v>10</v>
      </c>
      <c r="F786" s="3" t="s">
        <v>1592</v>
      </c>
      <c r="G786" s="3" t="s">
        <v>1593</v>
      </c>
      <c r="H786" s="5">
        <v>1119</v>
      </c>
      <c r="I786" s="3" t="s">
        <v>11</v>
      </c>
    </row>
    <row r="787" spans="1:9" x14ac:dyDescent="0.35">
      <c r="A787" s="3">
        <v>103407982</v>
      </c>
      <c r="B787" s="3" t="s">
        <v>1594</v>
      </c>
      <c r="C787" s="3" t="s">
        <v>9</v>
      </c>
      <c r="D787" s="3" t="s">
        <v>5</v>
      </c>
      <c r="E787" s="3" t="s">
        <v>10</v>
      </c>
      <c r="F787" s="3" t="s">
        <v>1595</v>
      </c>
      <c r="G787" s="3" t="s">
        <v>1596</v>
      </c>
      <c r="H787" s="3">
        <v>629</v>
      </c>
      <c r="I787" s="3" t="s">
        <v>11</v>
      </c>
    </row>
    <row r="788" spans="1:9" x14ac:dyDescent="0.35">
      <c r="A788" s="3">
        <v>103407980</v>
      </c>
      <c r="B788" s="3" t="s">
        <v>1597</v>
      </c>
      <c r="C788" s="3" t="s">
        <v>9</v>
      </c>
      <c r="D788" s="3" t="s">
        <v>5</v>
      </c>
      <c r="E788" s="3" t="s">
        <v>10</v>
      </c>
      <c r="F788" s="3" t="s">
        <v>1598</v>
      </c>
      <c r="G788" s="3" t="s">
        <v>1599</v>
      </c>
      <c r="H788" s="5">
        <v>1399</v>
      </c>
      <c r="I788" s="3" t="s">
        <v>11</v>
      </c>
    </row>
    <row r="789" spans="1:9" x14ac:dyDescent="0.35">
      <c r="A789" s="3">
        <v>103407979</v>
      </c>
      <c r="B789" s="3" t="s">
        <v>1600</v>
      </c>
      <c r="C789" s="3" t="s">
        <v>9</v>
      </c>
      <c r="D789" s="3" t="s">
        <v>5</v>
      </c>
      <c r="E789" s="3" t="s">
        <v>10</v>
      </c>
      <c r="F789" s="3" t="s">
        <v>1601</v>
      </c>
      <c r="G789" s="3" t="s">
        <v>1602</v>
      </c>
      <c r="H789" s="4">
        <v>3761.14</v>
      </c>
      <c r="I789" s="3" t="s">
        <v>11</v>
      </c>
    </row>
    <row r="790" spans="1:9" x14ac:dyDescent="0.35">
      <c r="A790" s="3">
        <v>103407978</v>
      </c>
      <c r="B790" s="3" t="s">
        <v>1603</v>
      </c>
      <c r="C790" s="3" t="s">
        <v>9</v>
      </c>
      <c r="D790" s="3" t="s">
        <v>5</v>
      </c>
      <c r="E790" s="3" t="s">
        <v>10</v>
      </c>
      <c r="F790" s="3" t="s">
        <v>1604</v>
      </c>
      <c r="G790" s="3" t="s">
        <v>1605</v>
      </c>
      <c r="H790" s="3">
        <v>999.49</v>
      </c>
      <c r="I790" s="3" t="s">
        <v>11</v>
      </c>
    </row>
    <row r="791" spans="1:9" x14ac:dyDescent="0.35">
      <c r="A791" s="3">
        <v>103407891</v>
      </c>
      <c r="B791" s="3" t="s">
        <v>1606</v>
      </c>
      <c r="C791" s="3" t="s">
        <v>9</v>
      </c>
      <c r="D791" s="3" t="s">
        <v>5</v>
      </c>
      <c r="E791" s="3" t="s">
        <v>10</v>
      </c>
      <c r="F791" s="3" t="s">
        <v>1607</v>
      </c>
      <c r="G791" s="3" t="s">
        <v>1608</v>
      </c>
      <c r="H791" s="4">
        <v>4939.05</v>
      </c>
      <c r="I791" s="3" t="s">
        <v>11</v>
      </c>
    </row>
    <row r="792" spans="1:9" x14ac:dyDescent="0.35">
      <c r="A792" s="3">
        <v>103407890</v>
      </c>
      <c r="B792" s="3" t="s">
        <v>1609</v>
      </c>
      <c r="C792" s="3" t="s">
        <v>9</v>
      </c>
      <c r="D792" s="3" t="s">
        <v>5</v>
      </c>
      <c r="E792" s="3" t="s">
        <v>12</v>
      </c>
      <c r="F792" s="3" t="s">
        <v>1610</v>
      </c>
      <c r="G792" s="3" t="s">
        <v>1611</v>
      </c>
      <c r="H792" s="4">
        <v>2666.74</v>
      </c>
      <c r="I792" s="3" t="s">
        <v>11</v>
      </c>
    </row>
    <row r="793" spans="1:9" x14ac:dyDescent="0.35">
      <c r="A793" s="3">
        <v>103407969</v>
      </c>
      <c r="B793" s="3" t="s">
        <v>1612</v>
      </c>
      <c r="C793" s="3" t="s">
        <v>9</v>
      </c>
      <c r="D793" s="3" t="s">
        <v>5</v>
      </c>
      <c r="E793" s="3" t="s">
        <v>10</v>
      </c>
      <c r="F793" s="3" t="s">
        <v>1613</v>
      </c>
      <c r="G793" s="3" t="s">
        <v>1614</v>
      </c>
      <c r="H793" s="3">
        <v>389</v>
      </c>
      <c r="I793" s="3" t="s">
        <v>11</v>
      </c>
    </row>
    <row r="794" spans="1:9" x14ac:dyDescent="0.35">
      <c r="A794" s="3">
        <v>103407861</v>
      </c>
      <c r="B794" s="3" t="s">
        <v>1615</v>
      </c>
      <c r="C794" s="3" t="s">
        <v>9</v>
      </c>
      <c r="D794" s="3" t="s">
        <v>5</v>
      </c>
      <c r="E794" s="3" t="s">
        <v>12</v>
      </c>
      <c r="F794" s="3" t="s">
        <v>1616</v>
      </c>
      <c r="G794" s="3" t="s">
        <v>1617</v>
      </c>
      <c r="H794" s="4">
        <v>4691.1000000000004</v>
      </c>
      <c r="I794" s="3" t="s">
        <v>11</v>
      </c>
    </row>
    <row r="795" spans="1:9" x14ac:dyDescent="0.35">
      <c r="A795" s="3">
        <v>103407852</v>
      </c>
      <c r="B795" s="3" t="s">
        <v>1618</v>
      </c>
      <c r="C795" s="3" t="s">
        <v>9</v>
      </c>
      <c r="D795" s="3" t="s">
        <v>5</v>
      </c>
      <c r="E795" s="3" t="s">
        <v>10</v>
      </c>
      <c r="F795" s="3" t="s">
        <v>1619</v>
      </c>
      <c r="G795" s="3" t="s">
        <v>1620</v>
      </c>
      <c r="H795" s="5">
        <v>3599</v>
      </c>
      <c r="I795" s="3" t="s">
        <v>11</v>
      </c>
    </row>
    <row r="796" spans="1:9" x14ac:dyDescent="0.35">
      <c r="A796" s="3">
        <v>103407849</v>
      </c>
      <c r="B796" s="3" t="s">
        <v>1621</v>
      </c>
      <c r="C796" s="3" t="s">
        <v>9</v>
      </c>
      <c r="D796" s="3" t="s">
        <v>5</v>
      </c>
      <c r="E796" s="3" t="s">
        <v>10</v>
      </c>
      <c r="F796" s="3" t="s">
        <v>1622</v>
      </c>
      <c r="G796" s="3" t="s">
        <v>1623</v>
      </c>
      <c r="H796" s="3">
        <v>369.55</v>
      </c>
      <c r="I796" s="3" t="s">
        <v>11</v>
      </c>
    </row>
    <row r="797" spans="1:9" x14ac:dyDescent="0.35">
      <c r="A797" s="3">
        <v>103407848</v>
      </c>
      <c r="B797" s="3" t="s">
        <v>1624</v>
      </c>
      <c r="C797" s="3" t="s">
        <v>9</v>
      </c>
      <c r="D797" s="3" t="s">
        <v>5</v>
      </c>
      <c r="E797" s="3" t="s">
        <v>10</v>
      </c>
      <c r="F797" s="3" t="s">
        <v>1625</v>
      </c>
      <c r="G797" s="3" t="s">
        <v>1626</v>
      </c>
      <c r="H797" s="4">
        <v>2469.0500000000002</v>
      </c>
      <c r="I797" s="3" t="s">
        <v>11</v>
      </c>
    </row>
    <row r="798" spans="1:9" x14ac:dyDescent="0.35">
      <c r="A798" s="3">
        <v>103407846</v>
      </c>
      <c r="B798" s="3" t="s">
        <v>1627</v>
      </c>
      <c r="C798" s="3" t="s">
        <v>9</v>
      </c>
      <c r="D798" s="3" t="s">
        <v>5</v>
      </c>
      <c r="E798" s="3" t="s">
        <v>10</v>
      </c>
      <c r="F798" s="3" t="s">
        <v>1628</v>
      </c>
      <c r="G798" s="3" t="s">
        <v>1629</v>
      </c>
      <c r="H798" s="4">
        <v>1424.05</v>
      </c>
      <c r="I798" s="3" t="s">
        <v>11</v>
      </c>
    </row>
    <row r="799" spans="1:9" x14ac:dyDescent="0.35">
      <c r="A799" s="3">
        <v>103407843</v>
      </c>
      <c r="B799" s="3" t="s">
        <v>1630</v>
      </c>
      <c r="C799" s="3" t="s">
        <v>9</v>
      </c>
      <c r="D799" s="3" t="s">
        <v>5</v>
      </c>
      <c r="E799" s="3" t="s">
        <v>10</v>
      </c>
      <c r="F799" s="3" t="s">
        <v>1631</v>
      </c>
      <c r="G799" s="3" t="s">
        <v>1632</v>
      </c>
      <c r="H799" s="5">
        <v>2919</v>
      </c>
      <c r="I799" s="3" t="s">
        <v>11</v>
      </c>
    </row>
    <row r="800" spans="1:9" x14ac:dyDescent="0.35">
      <c r="A800" s="3">
        <v>103407841</v>
      </c>
      <c r="B800" s="3" t="s">
        <v>1633</v>
      </c>
      <c r="C800" s="3" t="s">
        <v>9</v>
      </c>
      <c r="D800" s="3" t="s">
        <v>5</v>
      </c>
      <c r="E800" s="3" t="s">
        <v>10</v>
      </c>
      <c r="F800" s="3" t="s">
        <v>1634</v>
      </c>
      <c r="G800" s="3" t="s">
        <v>1635</v>
      </c>
      <c r="H800" s="5">
        <v>2249</v>
      </c>
      <c r="I800" s="3" t="s">
        <v>11</v>
      </c>
    </row>
    <row r="801" spans="1:9" x14ac:dyDescent="0.35">
      <c r="A801" s="3">
        <v>103407876</v>
      </c>
      <c r="B801" s="3" t="s">
        <v>1636</v>
      </c>
      <c r="C801" s="3" t="s">
        <v>9</v>
      </c>
      <c r="D801" s="3" t="s">
        <v>5</v>
      </c>
      <c r="E801" s="3" t="s">
        <v>10</v>
      </c>
      <c r="F801" s="3" t="s">
        <v>1637</v>
      </c>
      <c r="G801" s="3" t="s">
        <v>1638</v>
      </c>
      <c r="H801" s="5">
        <v>5849</v>
      </c>
      <c r="I801" s="3" t="s">
        <v>11</v>
      </c>
    </row>
    <row r="802" spans="1:9" x14ac:dyDescent="0.35">
      <c r="A802" s="3">
        <v>103407874</v>
      </c>
      <c r="B802" s="3" t="s">
        <v>1639</v>
      </c>
      <c r="C802" s="3" t="s">
        <v>9</v>
      </c>
      <c r="D802" s="3" t="s">
        <v>5</v>
      </c>
      <c r="E802" s="3" t="s">
        <v>10</v>
      </c>
      <c r="F802" s="3" t="s">
        <v>1640</v>
      </c>
      <c r="G802" s="3" t="s">
        <v>1641</v>
      </c>
      <c r="H802" s="5">
        <v>2249</v>
      </c>
      <c r="I802" s="3" t="s">
        <v>11</v>
      </c>
    </row>
    <row r="803" spans="1:9" x14ac:dyDescent="0.35">
      <c r="A803" s="3">
        <v>103407836</v>
      </c>
      <c r="B803" s="3" t="s">
        <v>1642</v>
      </c>
      <c r="C803" s="3" t="s">
        <v>9</v>
      </c>
      <c r="D803" s="3" t="s">
        <v>5</v>
      </c>
      <c r="E803" s="3" t="s">
        <v>10</v>
      </c>
      <c r="F803" s="3" t="s">
        <v>1643</v>
      </c>
      <c r="G803" s="3" t="s">
        <v>1644</v>
      </c>
      <c r="H803" s="4">
        <v>3989.05</v>
      </c>
      <c r="I803" s="3" t="s">
        <v>11</v>
      </c>
    </row>
    <row r="804" spans="1:9" x14ac:dyDescent="0.35">
      <c r="A804" s="3">
        <v>103407832</v>
      </c>
      <c r="B804" s="3" t="s">
        <v>1645</v>
      </c>
      <c r="C804" s="3" t="s">
        <v>9</v>
      </c>
      <c r="D804" s="3" t="s">
        <v>5</v>
      </c>
      <c r="E804" s="3" t="s">
        <v>10</v>
      </c>
      <c r="F804" s="3" t="s">
        <v>1646</v>
      </c>
      <c r="G804" s="3" t="s">
        <v>1647</v>
      </c>
      <c r="H804" s="4">
        <v>3040.52</v>
      </c>
      <c r="I804" s="3" t="s">
        <v>11</v>
      </c>
    </row>
    <row r="805" spans="1:9" x14ac:dyDescent="0.35">
      <c r="A805" s="3">
        <v>103407829</v>
      </c>
      <c r="B805" s="3" t="s">
        <v>1648</v>
      </c>
      <c r="C805" s="3" t="s">
        <v>9</v>
      </c>
      <c r="D805" s="3" t="s">
        <v>5</v>
      </c>
      <c r="E805" s="3" t="s">
        <v>10</v>
      </c>
      <c r="F805" s="3" t="s">
        <v>1649</v>
      </c>
      <c r="G805" s="3" t="s">
        <v>1650</v>
      </c>
      <c r="H805" s="3">
        <v>359</v>
      </c>
      <c r="I805" s="3" t="s">
        <v>11</v>
      </c>
    </row>
    <row r="806" spans="1:9" x14ac:dyDescent="0.35">
      <c r="A806" s="3">
        <v>103407828</v>
      </c>
      <c r="B806" s="3" t="s">
        <v>1651</v>
      </c>
      <c r="C806" s="3" t="s">
        <v>9</v>
      </c>
      <c r="D806" s="3" t="s">
        <v>5</v>
      </c>
      <c r="E806" s="3" t="s">
        <v>10</v>
      </c>
      <c r="F806" s="3" t="s">
        <v>1652</v>
      </c>
      <c r="G806" s="3" t="s">
        <v>1653</v>
      </c>
      <c r="H806" s="4">
        <v>5129.05</v>
      </c>
      <c r="I806" s="3" t="s">
        <v>11</v>
      </c>
    </row>
    <row r="807" spans="1:9" x14ac:dyDescent="0.35">
      <c r="A807" s="3">
        <v>103407867</v>
      </c>
      <c r="B807" s="3" t="s">
        <v>1654</v>
      </c>
      <c r="C807" s="3" t="s">
        <v>9</v>
      </c>
      <c r="D807" s="3" t="s">
        <v>5</v>
      </c>
      <c r="E807" s="3" t="s">
        <v>10</v>
      </c>
      <c r="F807" s="3" t="s">
        <v>1655</v>
      </c>
      <c r="G807" s="3" t="s">
        <v>1656</v>
      </c>
      <c r="H807" s="4">
        <v>1578.47</v>
      </c>
      <c r="I807" s="3" t="s">
        <v>11</v>
      </c>
    </row>
    <row r="808" spans="1:9" x14ac:dyDescent="0.35">
      <c r="A808" s="3">
        <v>103407823</v>
      </c>
      <c r="B808" s="3" t="s">
        <v>1657</v>
      </c>
      <c r="C808" s="3" t="s">
        <v>9</v>
      </c>
      <c r="D808" s="3" t="s">
        <v>5</v>
      </c>
      <c r="E808" s="3" t="s">
        <v>10</v>
      </c>
      <c r="F808" s="3" t="s">
        <v>1658</v>
      </c>
      <c r="G808" s="3" t="s">
        <v>1659</v>
      </c>
      <c r="H808" s="3">
        <v>350.55</v>
      </c>
      <c r="I808" s="3" t="s">
        <v>11</v>
      </c>
    </row>
    <row r="809" spans="1:9" x14ac:dyDescent="0.35">
      <c r="A809" s="3">
        <v>103407760</v>
      </c>
      <c r="B809" s="3" t="s">
        <v>1660</v>
      </c>
      <c r="C809" s="3" t="s">
        <v>9</v>
      </c>
      <c r="D809" s="3" t="s">
        <v>5</v>
      </c>
      <c r="E809" s="3" t="s">
        <v>10</v>
      </c>
      <c r="F809" s="3" t="s">
        <v>998</v>
      </c>
      <c r="G809" s="3" t="s">
        <v>999</v>
      </c>
      <c r="H809" s="5">
        <v>5048</v>
      </c>
      <c r="I809" s="3" t="s">
        <v>11</v>
      </c>
    </row>
    <row r="810" spans="1:9" x14ac:dyDescent="0.35">
      <c r="A810" s="3">
        <v>103407817</v>
      </c>
      <c r="B810" s="3" t="s">
        <v>1661</v>
      </c>
      <c r="C810" s="3" t="s">
        <v>9</v>
      </c>
      <c r="D810" s="3" t="s">
        <v>5</v>
      </c>
      <c r="E810" s="3" t="s">
        <v>10</v>
      </c>
      <c r="F810" s="3" t="s">
        <v>1649</v>
      </c>
      <c r="G810" s="3" t="s">
        <v>1650</v>
      </c>
      <c r="H810" s="3">
        <v>758</v>
      </c>
      <c r="I810" s="3" t="s">
        <v>11</v>
      </c>
    </row>
    <row r="811" spans="1:9" x14ac:dyDescent="0.35">
      <c r="A811" s="3">
        <v>103407752</v>
      </c>
      <c r="B811" s="3" t="s">
        <v>1662</v>
      </c>
      <c r="C811" s="3" t="s">
        <v>9</v>
      </c>
      <c r="D811" s="3" t="s">
        <v>5</v>
      </c>
      <c r="E811" s="3" t="s">
        <v>10</v>
      </c>
      <c r="F811" s="3" t="s">
        <v>1663</v>
      </c>
      <c r="G811" s="3" t="s">
        <v>1664</v>
      </c>
      <c r="H811" s="4">
        <v>5129.05</v>
      </c>
      <c r="I811" s="3" t="s">
        <v>11</v>
      </c>
    </row>
    <row r="812" spans="1:9" x14ac:dyDescent="0.35">
      <c r="A812" s="3">
        <v>103407805</v>
      </c>
      <c r="B812" s="3" t="s">
        <v>1665</v>
      </c>
      <c r="C812" s="3" t="s">
        <v>9</v>
      </c>
      <c r="D812" s="3" t="s">
        <v>5</v>
      </c>
      <c r="E812" s="3" t="s">
        <v>10</v>
      </c>
      <c r="F812" s="3" t="s">
        <v>1666</v>
      </c>
      <c r="G812" s="3" t="s">
        <v>1667</v>
      </c>
      <c r="H812" s="3">
        <v>369</v>
      </c>
      <c r="I812" s="3" t="s">
        <v>11</v>
      </c>
    </row>
    <row r="813" spans="1:9" x14ac:dyDescent="0.35">
      <c r="A813" s="3">
        <v>103407747</v>
      </c>
      <c r="B813" s="3" t="s">
        <v>1668</v>
      </c>
      <c r="C813" s="3" t="s">
        <v>9</v>
      </c>
      <c r="D813" s="3" t="s">
        <v>5</v>
      </c>
      <c r="E813" s="3" t="s">
        <v>10</v>
      </c>
      <c r="F813" s="3" t="s">
        <v>1669</v>
      </c>
      <c r="G813" s="3" t="s">
        <v>1670</v>
      </c>
      <c r="H813" s="4">
        <v>3889.39</v>
      </c>
      <c r="I813" s="3" t="s">
        <v>11</v>
      </c>
    </row>
    <row r="814" spans="1:9" x14ac:dyDescent="0.35">
      <c r="A814" s="3">
        <v>103407803</v>
      </c>
      <c r="B814" s="3" t="s">
        <v>1671</v>
      </c>
      <c r="C814" s="3" t="s">
        <v>9</v>
      </c>
      <c r="D814" s="3" t="s">
        <v>5</v>
      </c>
      <c r="E814" s="3" t="s">
        <v>10</v>
      </c>
      <c r="F814" s="3" t="s">
        <v>1672</v>
      </c>
      <c r="G814" s="3" t="s">
        <v>1673</v>
      </c>
      <c r="H814" s="4">
        <v>1281.55</v>
      </c>
      <c r="I814" s="3" t="s">
        <v>11</v>
      </c>
    </row>
    <row r="815" spans="1:9" x14ac:dyDescent="0.35">
      <c r="A815" s="3">
        <v>103407746</v>
      </c>
      <c r="B815" s="3" t="s">
        <v>1674</v>
      </c>
      <c r="C815" s="3" t="s">
        <v>9</v>
      </c>
      <c r="D815" s="3" t="s">
        <v>5</v>
      </c>
      <c r="E815" s="3" t="s">
        <v>10</v>
      </c>
      <c r="F815" s="3" t="s">
        <v>1675</v>
      </c>
      <c r="G815" s="3" t="s">
        <v>1676</v>
      </c>
      <c r="H815" s="4">
        <v>2611.5500000000002</v>
      </c>
      <c r="I815" s="3" t="s">
        <v>11</v>
      </c>
    </row>
    <row r="816" spans="1:9" x14ac:dyDescent="0.35">
      <c r="A816" s="3">
        <v>103407802</v>
      </c>
      <c r="B816" s="3" t="s">
        <v>1677</v>
      </c>
      <c r="C816" s="3" t="s">
        <v>9</v>
      </c>
      <c r="D816" s="3" t="s">
        <v>5</v>
      </c>
      <c r="E816" s="3" t="s">
        <v>10</v>
      </c>
      <c r="F816" s="3" t="s">
        <v>1678</v>
      </c>
      <c r="G816" s="3" t="s">
        <v>1679</v>
      </c>
      <c r="H816" s="5">
        <v>4499</v>
      </c>
      <c r="I816" s="3" t="s">
        <v>11</v>
      </c>
    </row>
    <row r="817" spans="1:9" x14ac:dyDescent="0.35">
      <c r="A817" s="3">
        <v>103407743</v>
      </c>
      <c r="B817" s="3" t="s">
        <v>1680</v>
      </c>
      <c r="C817" s="3" t="s">
        <v>9</v>
      </c>
      <c r="D817" s="3" t="s">
        <v>5</v>
      </c>
      <c r="E817" s="3" t="s">
        <v>10</v>
      </c>
      <c r="F817" s="3" t="s">
        <v>1681</v>
      </c>
      <c r="G817" s="3" t="s">
        <v>1682</v>
      </c>
      <c r="H817" s="4">
        <v>3375.54</v>
      </c>
      <c r="I817" s="3" t="s">
        <v>11</v>
      </c>
    </row>
    <row r="818" spans="1:9" x14ac:dyDescent="0.35">
      <c r="A818" s="3">
        <v>103407799</v>
      </c>
      <c r="B818" s="3" t="s">
        <v>1683</v>
      </c>
      <c r="C818" s="3" t="s">
        <v>9</v>
      </c>
      <c r="D818" s="3" t="s">
        <v>5</v>
      </c>
      <c r="E818" s="3" t="s">
        <v>10</v>
      </c>
      <c r="F818" s="3" t="s">
        <v>1684</v>
      </c>
      <c r="G818" s="3" t="s">
        <v>1685</v>
      </c>
      <c r="H818" s="4">
        <v>3846.64</v>
      </c>
      <c r="I818" s="3" t="s">
        <v>11</v>
      </c>
    </row>
    <row r="819" spans="1:9" x14ac:dyDescent="0.35">
      <c r="A819" s="3">
        <v>103407798</v>
      </c>
      <c r="B819" s="3" t="s">
        <v>1686</v>
      </c>
      <c r="C819" s="3" t="s">
        <v>9</v>
      </c>
      <c r="D819" s="3" t="s">
        <v>5</v>
      </c>
      <c r="E819" s="3" t="s">
        <v>10</v>
      </c>
      <c r="F819" s="3" t="s">
        <v>1687</v>
      </c>
      <c r="G819" s="3" t="s">
        <v>1688</v>
      </c>
      <c r="H819" s="4">
        <v>1994.05</v>
      </c>
      <c r="I819" s="3" t="s">
        <v>11</v>
      </c>
    </row>
    <row r="820" spans="1:9" x14ac:dyDescent="0.35">
      <c r="A820" s="3">
        <v>103407797</v>
      </c>
      <c r="B820" s="3" t="s">
        <v>1689</v>
      </c>
      <c r="C820" s="3" t="s">
        <v>9</v>
      </c>
      <c r="D820" s="3" t="s">
        <v>5</v>
      </c>
      <c r="E820" s="3" t="s">
        <v>10</v>
      </c>
      <c r="F820" s="3" t="s">
        <v>1690</v>
      </c>
      <c r="G820" s="3" t="s">
        <v>1691</v>
      </c>
      <c r="H820" s="4">
        <v>1129.55</v>
      </c>
      <c r="I820" s="3" t="s">
        <v>11</v>
      </c>
    </row>
    <row r="821" spans="1:9" x14ac:dyDescent="0.35">
      <c r="A821" s="3">
        <v>103407742</v>
      </c>
      <c r="B821" s="3" t="s">
        <v>1692</v>
      </c>
      <c r="C821" s="3" t="s">
        <v>9</v>
      </c>
      <c r="D821" s="3" t="s">
        <v>5</v>
      </c>
      <c r="E821" s="3" t="s">
        <v>10</v>
      </c>
      <c r="F821" s="3" t="s">
        <v>1693</v>
      </c>
      <c r="G821" s="3" t="s">
        <v>1694</v>
      </c>
      <c r="H821" s="5">
        <v>2309</v>
      </c>
      <c r="I821" s="3" t="s">
        <v>11</v>
      </c>
    </row>
    <row r="822" spans="1:9" x14ac:dyDescent="0.35">
      <c r="A822" s="3">
        <v>103407738</v>
      </c>
      <c r="B822" s="3" t="s">
        <v>1695</v>
      </c>
      <c r="C822" s="3" t="s">
        <v>9</v>
      </c>
      <c r="D822" s="3" t="s">
        <v>5</v>
      </c>
      <c r="E822" s="3" t="s">
        <v>12</v>
      </c>
      <c r="F822" s="3" t="s">
        <v>1696</v>
      </c>
      <c r="G822" s="3" t="s">
        <v>1697</v>
      </c>
      <c r="H822" s="3">
        <v>999</v>
      </c>
      <c r="I822" s="3" t="s">
        <v>11</v>
      </c>
    </row>
    <row r="823" spans="1:9" x14ac:dyDescent="0.35">
      <c r="A823" s="3">
        <v>103407796</v>
      </c>
      <c r="B823" s="3" t="s">
        <v>1698</v>
      </c>
      <c r="C823" s="3" t="s">
        <v>9</v>
      </c>
      <c r="D823" s="3" t="s">
        <v>5</v>
      </c>
      <c r="E823" s="3" t="s">
        <v>10</v>
      </c>
      <c r="F823" s="3" t="s">
        <v>1699</v>
      </c>
      <c r="G823" s="3" t="s">
        <v>1700</v>
      </c>
      <c r="H823" s="4">
        <v>1878.3</v>
      </c>
      <c r="I823" s="3" t="s">
        <v>11</v>
      </c>
    </row>
    <row r="824" spans="1:9" x14ac:dyDescent="0.35">
      <c r="A824" s="3">
        <v>103407735</v>
      </c>
      <c r="B824" s="3" t="s">
        <v>1701</v>
      </c>
      <c r="C824" s="3" t="s">
        <v>9</v>
      </c>
      <c r="D824" s="3" t="s">
        <v>5</v>
      </c>
      <c r="E824" s="3" t="s">
        <v>10</v>
      </c>
      <c r="F824" s="3" t="s">
        <v>1702</v>
      </c>
      <c r="G824" s="3" t="s">
        <v>1703</v>
      </c>
      <c r="H824" s="4">
        <v>1758.97</v>
      </c>
      <c r="I824" s="3" t="s">
        <v>11</v>
      </c>
    </row>
    <row r="825" spans="1:9" x14ac:dyDescent="0.35">
      <c r="A825" s="3">
        <v>103407790</v>
      </c>
      <c r="B825" s="3" t="s">
        <v>4777</v>
      </c>
      <c r="C825" s="3" t="s">
        <v>9</v>
      </c>
      <c r="D825" s="3" t="s">
        <v>5</v>
      </c>
      <c r="E825" s="3" t="s">
        <v>10</v>
      </c>
      <c r="F825" s="3" t="s">
        <v>4778</v>
      </c>
      <c r="G825" s="3" t="s">
        <v>4779</v>
      </c>
      <c r="H825" s="3">
        <v>580.54</v>
      </c>
      <c r="I825" s="3" t="s">
        <v>13</v>
      </c>
    </row>
    <row r="826" spans="1:9" x14ac:dyDescent="0.35">
      <c r="A826" s="3">
        <v>103407786</v>
      </c>
      <c r="B826" s="3" t="s">
        <v>1704</v>
      </c>
      <c r="C826" s="3" t="s">
        <v>9</v>
      </c>
      <c r="D826" s="3" t="s">
        <v>5</v>
      </c>
      <c r="E826" s="3" t="s">
        <v>10</v>
      </c>
      <c r="F826" s="3" t="s">
        <v>1705</v>
      </c>
      <c r="G826" s="3" t="s">
        <v>1706</v>
      </c>
      <c r="H826" s="5">
        <v>1349</v>
      </c>
      <c r="I826" s="3" t="s">
        <v>11</v>
      </c>
    </row>
    <row r="827" spans="1:9" x14ac:dyDescent="0.35">
      <c r="A827" s="3">
        <v>103407784</v>
      </c>
      <c r="B827" s="3" t="s">
        <v>1707</v>
      </c>
      <c r="C827" s="3" t="s">
        <v>9</v>
      </c>
      <c r="D827" s="3" t="s">
        <v>5</v>
      </c>
      <c r="E827" s="3" t="s">
        <v>10</v>
      </c>
      <c r="F827" s="3" t="s">
        <v>1708</v>
      </c>
      <c r="G827" s="3" t="s">
        <v>1709</v>
      </c>
      <c r="H827" s="3">
        <v>540.6</v>
      </c>
      <c r="I827" s="3" t="s">
        <v>11</v>
      </c>
    </row>
    <row r="828" spans="1:9" x14ac:dyDescent="0.35">
      <c r="A828" s="3">
        <v>103407730</v>
      </c>
      <c r="B828" s="3" t="s">
        <v>1710</v>
      </c>
      <c r="C828" s="3" t="s">
        <v>9</v>
      </c>
      <c r="D828" s="3" t="s">
        <v>5</v>
      </c>
      <c r="E828" s="3" t="s">
        <v>10</v>
      </c>
      <c r="F828" s="3" t="s">
        <v>1711</v>
      </c>
      <c r="G828" s="3" t="s">
        <v>1712</v>
      </c>
      <c r="H828" s="5">
        <v>2999</v>
      </c>
      <c r="I828" s="3" t="s">
        <v>11</v>
      </c>
    </row>
    <row r="829" spans="1:9" x14ac:dyDescent="0.35">
      <c r="A829" s="3">
        <v>103407728</v>
      </c>
      <c r="B829" s="3" t="s">
        <v>1713</v>
      </c>
      <c r="C829" s="3" t="s">
        <v>9</v>
      </c>
      <c r="D829" s="3" t="s">
        <v>5</v>
      </c>
      <c r="E829" s="3" t="s">
        <v>10</v>
      </c>
      <c r="F829" s="3" t="s">
        <v>20</v>
      </c>
      <c r="G829" s="3" t="s">
        <v>1714</v>
      </c>
      <c r="H829" s="4">
        <v>5865.35</v>
      </c>
      <c r="I829" s="3" t="s">
        <v>11</v>
      </c>
    </row>
    <row r="830" spans="1:9" x14ac:dyDescent="0.35">
      <c r="A830" s="3">
        <v>103407779</v>
      </c>
      <c r="B830" s="3" t="s">
        <v>1715</v>
      </c>
      <c r="C830" s="3" t="s">
        <v>9</v>
      </c>
      <c r="D830" s="3" t="s">
        <v>5</v>
      </c>
      <c r="E830" s="3" t="s">
        <v>10</v>
      </c>
      <c r="F830" s="3" t="s">
        <v>1716</v>
      </c>
      <c r="G830" s="3" t="s">
        <v>1717</v>
      </c>
      <c r="H830" s="4">
        <v>3419.05</v>
      </c>
      <c r="I830" s="3" t="s">
        <v>11</v>
      </c>
    </row>
    <row r="831" spans="1:9" x14ac:dyDescent="0.35">
      <c r="A831" s="3">
        <v>103407776</v>
      </c>
      <c r="B831" s="3" t="s">
        <v>1718</v>
      </c>
      <c r="C831" s="3" t="s">
        <v>9</v>
      </c>
      <c r="D831" s="3" t="s">
        <v>5</v>
      </c>
      <c r="E831" s="3" t="s">
        <v>10</v>
      </c>
      <c r="F831" s="3" t="s">
        <v>1719</v>
      </c>
      <c r="G831" s="3" t="s">
        <v>1720</v>
      </c>
      <c r="H831" s="3">
        <v>329</v>
      </c>
      <c r="I831" s="3" t="s">
        <v>11</v>
      </c>
    </row>
    <row r="832" spans="1:9" x14ac:dyDescent="0.35">
      <c r="A832" s="3">
        <v>103407723</v>
      </c>
      <c r="B832" s="3" t="s">
        <v>1721</v>
      </c>
      <c r="C832" s="3" t="s">
        <v>9</v>
      </c>
      <c r="D832" s="3" t="s">
        <v>5</v>
      </c>
      <c r="E832" s="3" t="s">
        <v>10</v>
      </c>
      <c r="F832" s="3" t="s">
        <v>1722</v>
      </c>
      <c r="G832" s="3" t="s">
        <v>1723</v>
      </c>
      <c r="H832" s="3">
        <v>626.04999999999995</v>
      </c>
      <c r="I832" s="3" t="s">
        <v>11</v>
      </c>
    </row>
    <row r="833" spans="1:9" x14ac:dyDescent="0.35">
      <c r="A833" s="3">
        <v>103407767</v>
      </c>
      <c r="B833" s="3" t="s">
        <v>1724</v>
      </c>
      <c r="C833" s="3" t="s">
        <v>9</v>
      </c>
      <c r="D833" s="3" t="s">
        <v>5</v>
      </c>
      <c r="E833" s="3" t="s">
        <v>10</v>
      </c>
      <c r="F833" s="3" t="s">
        <v>1725</v>
      </c>
      <c r="G833" s="3" t="s">
        <v>1726</v>
      </c>
      <c r="H833" s="4">
        <v>1939.99</v>
      </c>
      <c r="I833" s="3" t="s">
        <v>11</v>
      </c>
    </row>
    <row r="834" spans="1:9" x14ac:dyDescent="0.35">
      <c r="A834" s="3">
        <v>103407766</v>
      </c>
      <c r="B834" s="3" t="s">
        <v>1727</v>
      </c>
      <c r="C834" s="3" t="s">
        <v>9</v>
      </c>
      <c r="D834" s="3" t="s">
        <v>5</v>
      </c>
      <c r="E834" s="3" t="s">
        <v>10</v>
      </c>
      <c r="F834" s="3" t="s">
        <v>1728</v>
      </c>
      <c r="G834" s="3" t="s">
        <v>1729</v>
      </c>
      <c r="H834" s="4">
        <v>4559.05</v>
      </c>
      <c r="I834" s="3" t="s">
        <v>11</v>
      </c>
    </row>
    <row r="835" spans="1:9" x14ac:dyDescent="0.35">
      <c r="A835" s="3">
        <v>103407661</v>
      </c>
      <c r="B835" s="3" t="s">
        <v>1730</v>
      </c>
      <c r="C835" s="3" t="s">
        <v>9</v>
      </c>
      <c r="D835" s="3" t="s">
        <v>5</v>
      </c>
      <c r="E835" s="3" t="s">
        <v>10</v>
      </c>
      <c r="F835" s="3" t="s">
        <v>1731</v>
      </c>
      <c r="G835" s="3" t="s">
        <v>1732</v>
      </c>
      <c r="H835" s="4">
        <v>1388.95</v>
      </c>
      <c r="I835" s="3" t="s">
        <v>11</v>
      </c>
    </row>
    <row r="836" spans="1:9" x14ac:dyDescent="0.35">
      <c r="A836" s="3">
        <v>103407720</v>
      </c>
      <c r="B836" s="3" t="s">
        <v>1733</v>
      </c>
      <c r="C836" s="3" t="s">
        <v>9</v>
      </c>
      <c r="D836" s="3" t="s">
        <v>5</v>
      </c>
      <c r="E836" s="3" t="s">
        <v>10</v>
      </c>
      <c r="F836" s="3" t="s">
        <v>1734</v>
      </c>
      <c r="G836" s="3" t="s">
        <v>1735</v>
      </c>
      <c r="H836" s="3">
        <v>599</v>
      </c>
      <c r="I836" s="3" t="s">
        <v>11</v>
      </c>
    </row>
    <row r="837" spans="1:9" x14ac:dyDescent="0.35">
      <c r="A837" s="3">
        <v>103407717</v>
      </c>
      <c r="B837" s="3" t="s">
        <v>1736</v>
      </c>
      <c r="C837" s="3" t="s">
        <v>9</v>
      </c>
      <c r="D837" s="3" t="s">
        <v>5</v>
      </c>
      <c r="E837" s="3" t="s">
        <v>10</v>
      </c>
      <c r="F837" s="3" t="s">
        <v>1737</v>
      </c>
      <c r="G837" s="3" t="s">
        <v>1738</v>
      </c>
      <c r="H837" s="4">
        <v>2307.64</v>
      </c>
      <c r="I837" s="3" t="s">
        <v>11</v>
      </c>
    </row>
    <row r="838" spans="1:9" x14ac:dyDescent="0.35">
      <c r="A838" s="3">
        <v>103407656</v>
      </c>
      <c r="B838" s="3" t="s">
        <v>1739</v>
      </c>
      <c r="C838" s="3" t="s">
        <v>9</v>
      </c>
      <c r="D838" s="3" t="s">
        <v>5</v>
      </c>
      <c r="E838" s="3" t="s">
        <v>10</v>
      </c>
      <c r="F838" s="3" t="s">
        <v>1740</v>
      </c>
      <c r="G838" s="3" t="s">
        <v>1741</v>
      </c>
      <c r="H838" s="5">
        <v>2999</v>
      </c>
      <c r="I838" s="3" t="s">
        <v>11</v>
      </c>
    </row>
    <row r="839" spans="1:9" x14ac:dyDescent="0.35">
      <c r="A839" s="3">
        <v>103407712</v>
      </c>
      <c r="B839" s="3" t="s">
        <v>1742</v>
      </c>
      <c r="C839" s="3" t="s">
        <v>9</v>
      </c>
      <c r="D839" s="3" t="s">
        <v>5</v>
      </c>
      <c r="E839" s="3" t="s">
        <v>10</v>
      </c>
      <c r="F839" s="3" t="s">
        <v>1743</v>
      </c>
      <c r="G839" s="3" t="s">
        <v>1744</v>
      </c>
      <c r="H839" s="4">
        <v>2307.64</v>
      </c>
      <c r="I839" s="3" t="s">
        <v>11</v>
      </c>
    </row>
    <row r="840" spans="1:9" x14ac:dyDescent="0.35">
      <c r="A840" s="3">
        <v>103407711</v>
      </c>
      <c r="B840" s="3" t="s">
        <v>1745</v>
      </c>
      <c r="C840" s="3" t="s">
        <v>9</v>
      </c>
      <c r="D840" s="3" t="s">
        <v>5</v>
      </c>
      <c r="E840" s="3" t="s">
        <v>10</v>
      </c>
      <c r="F840" s="3" t="s">
        <v>1746</v>
      </c>
      <c r="G840" s="3" t="s">
        <v>1747</v>
      </c>
      <c r="H840" s="5">
        <v>3899</v>
      </c>
      <c r="I840" s="3" t="s">
        <v>11</v>
      </c>
    </row>
    <row r="841" spans="1:9" x14ac:dyDescent="0.35">
      <c r="A841" s="3">
        <v>103407706</v>
      </c>
      <c r="B841" s="3" t="s">
        <v>1748</v>
      </c>
      <c r="C841" s="3" t="s">
        <v>9</v>
      </c>
      <c r="D841" s="3" t="s">
        <v>5</v>
      </c>
      <c r="E841" s="3" t="s">
        <v>10</v>
      </c>
      <c r="F841" s="3" t="s">
        <v>1749</v>
      </c>
      <c r="G841" s="3" t="s">
        <v>1750</v>
      </c>
      <c r="H841" s="4">
        <v>2429.1</v>
      </c>
      <c r="I841" s="3" t="s">
        <v>11</v>
      </c>
    </row>
    <row r="842" spans="1:9" x14ac:dyDescent="0.35">
      <c r="A842" s="3">
        <v>103407650</v>
      </c>
      <c r="B842" s="3" t="s">
        <v>1751</v>
      </c>
      <c r="C842" s="3" t="s">
        <v>9</v>
      </c>
      <c r="D842" s="3" t="s">
        <v>5</v>
      </c>
      <c r="E842" s="3" t="s">
        <v>10</v>
      </c>
      <c r="F842" s="3" t="s">
        <v>1752</v>
      </c>
      <c r="G842" s="3" t="s">
        <v>1753</v>
      </c>
      <c r="H842" s="4">
        <v>5699.05</v>
      </c>
      <c r="I842" s="3" t="s">
        <v>11</v>
      </c>
    </row>
    <row r="843" spans="1:9" x14ac:dyDescent="0.35">
      <c r="A843" s="3">
        <v>103407701</v>
      </c>
      <c r="B843" s="3" t="s">
        <v>1754</v>
      </c>
      <c r="C843" s="3" t="s">
        <v>9</v>
      </c>
      <c r="D843" s="3" t="s">
        <v>5</v>
      </c>
      <c r="E843" s="3" t="s">
        <v>10</v>
      </c>
      <c r="F843" s="3" t="s">
        <v>1755</v>
      </c>
      <c r="G843" s="3" t="s">
        <v>1756</v>
      </c>
      <c r="H843" s="3">
        <v>799</v>
      </c>
      <c r="I843" s="3" t="s">
        <v>11</v>
      </c>
    </row>
    <row r="844" spans="1:9" x14ac:dyDescent="0.35">
      <c r="A844" s="3">
        <v>103407700</v>
      </c>
      <c r="B844" s="3" t="s">
        <v>1757</v>
      </c>
      <c r="C844" s="3" t="s">
        <v>9</v>
      </c>
      <c r="D844" s="3" t="s">
        <v>5</v>
      </c>
      <c r="E844" s="3" t="s">
        <v>10</v>
      </c>
      <c r="F844" s="3" t="s">
        <v>1758</v>
      </c>
      <c r="G844" s="3" t="s">
        <v>1759</v>
      </c>
      <c r="H844" s="4">
        <v>2469.0500000000002</v>
      </c>
      <c r="I844" s="3" t="s">
        <v>11</v>
      </c>
    </row>
    <row r="845" spans="1:9" x14ac:dyDescent="0.35">
      <c r="A845" s="3">
        <v>103407698</v>
      </c>
      <c r="B845" s="3" t="s">
        <v>1760</v>
      </c>
      <c r="C845" s="3" t="s">
        <v>9</v>
      </c>
      <c r="D845" s="3" t="s">
        <v>5</v>
      </c>
      <c r="E845" s="3" t="s">
        <v>10</v>
      </c>
      <c r="F845" s="3" t="s">
        <v>1761</v>
      </c>
      <c r="G845" s="3" t="s">
        <v>1762</v>
      </c>
      <c r="H845" s="4">
        <v>5188.1400000000003</v>
      </c>
      <c r="I845" s="3" t="s">
        <v>11</v>
      </c>
    </row>
    <row r="846" spans="1:9" x14ac:dyDescent="0.35">
      <c r="A846" s="3">
        <v>103407690</v>
      </c>
      <c r="B846" s="3" t="s">
        <v>1763</v>
      </c>
      <c r="C846" s="3" t="s">
        <v>9</v>
      </c>
      <c r="D846" s="3" t="s">
        <v>5</v>
      </c>
      <c r="E846" s="3" t="s">
        <v>10</v>
      </c>
      <c r="F846" s="3" t="s">
        <v>1764</v>
      </c>
      <c r="G846" s="3" t="s">
        <v>1765</v>
      </c>
      <c r="H846" s="4">
        <v>2474.1</v>
      </c>
      <c r="I846" s="3" t="s">
        <v>11</v>
      </c>
    </row>
    <row r="847" spans="1:9" x14ac:dyDescent="0.35">
      <c r="A847" s="3">
        <v>103407685</v>
      </c>
      <c r="B847" s="3" t="s">
        <v>1766</v>
      </c>
      <c r="C847" s="3" t="s">
        <v>9</v>
      </c>
      <c r="D847" s="3" t="s">
        <v>5</v>
      </c>
      <c r="E847" s="3" t="s">
        <v>12</v>
      </c>
      <c r="F847" s="3" t="s">
        <v>1767</v>
      </c>
      <c r="G847" s="3" t="s">
        <v>1768</v>
      </c>
      <c r="H847" s="3">
        <v>959</v>
      </c>
      <c r="I847" s="3" t="s">
        <v>11</v>
      </c>
    </row>
    <row r="848" spans="1:9" x14ac:dyDescent="0.35">
      <c r="A848" s="3">
        <v>103407680</v>
      </c>
      <c r="B848" s="3" t="s">
        <v>1769</v>
      </c>
      <c r="C848" s="3" t="s">
        <v>9</v>
      </c>
      <c r="D848" s="3" t="s">
        <v>5</v>
      </c>
      <c r="E848" s="3" t="s">
        <v>10</v>
      </c>
      <c r="F848" s="3" t="s">
        <v>646</v>
      </c>
      <c r="G848" s="3" t="s">
        <v>647</v>
      </c>
      <c r="H848" s="3">
        <v>740.05</v>
      </c>
      <c r="I848" s="3" t="s">
        <v>11</v>
      </c>
    </row>
    <row r="849" spans="1:9" x14ac:dyDescent="0.35">
      <c r="A849" s="3">
        <v>103407631</v>
      </c>
      <c r="B849" s="3" t="s">
        <v>1770</v>
      </c>
      <c r="C849" s="3" t="s">
        <v>9</v>
      </c>
      <c r="D849" s="3" t="s">
        <v>5</v>
      </c>
      <c r="E849" s="3" t="s">
        <v>10</v>
      </c>
      <c r="F849" s="3" t="s">
        <v>1771</v>
      </c>
      <c r="G849" s="3" t="s">
        <v>1772</v>
      </c>
      <c r="H849" s="5">
        <v>7999</v>
      </c>
      <c r="I849" s="3" t="s">
        <v>11</v>
      </c>
    </row>
    <row r="850" spans="1:9" x14ac:dyDescent="0.35">
      <c r="A850" s="3">
        <v>103407675</v>
      </c>
      <c r="B850" s="3" t="s">
        <v>1773</v>
      </c>
      <c r="C850" s="3" t="s">
        <v>9</v>
      </c>
      <c r="D850" s="3" t="s">
        <v>5</v>
      </c>
      <c r="E850" s="3" t="s">
        <v>12</v>
      </c>
      <c r="F850" s="3" t="s">
        <v>1774</v>
      </c>
      <c r="G850" s="3" t="s">
        <v>1775</v>
      </c>
      <c r="H850" s="5">
        <v>1259</v>
      </c>
      <c r="I850" s="3" t="s">
        <v>11</v>
      </c>
    </row>
    <row r="851" spans="1:9" x14ac:dyDescent="0.35">
      <c r="A851" s="3">
        <v>103407628</v>
      </c>
      <c r="B851" s="3" t="s">
        <v>1776</v>
      </c>
      <c r="C851" s="3" t="s">
        <v>9</v>
      </c>
      <c r="D851" s="3" t="s">
        <v>5</v>
      </c>
      <c r="E851" s="3" t="s">
        <v>10</v>
      </c>
      <c r="F851" s="3" t="s">
        <v>1777</v>
      </c>
      <c r="G851" s="3" t="s">
        <v>1778</v>
      </c>
      <c r="H851" s="4">
        <v>3989.05</v>
      </c>
      <c r="I851" s="3" t="s">
        <v>11</v>
      </c>
    </row>
    <row r="852" spans="1:9" x14ac:dyDescent="0.35">
      <c r="A852" s="3">
        <v>103407673</v>
      </c>
      <c r="B852" s="3" t="s">
        <v>1779</v>
      </c>
      <c r="C852" s="3" t="s">
        <v>9</v>
      </c>
      <c r="D852" s="3" t="s">
        <v>5</v>
      </c>
      <c r="E852" s="3" t="s">
        <v>10</v>
      </c>
      <c r="F852" s="3" t="s">
        <v>1361</v>
      </c>
      <c r="G852" s="3" t="s">
        <v>1362</v>
      </c>
      <c r="H852" s="5">
        <v>3168</v>
      </c>
      <c r="I852" s="3" t="s">
        <v>11</v>
      </c>
    </row>
    <row r="853" spans="1:9" x14ac:dyDescent="0.35">
      <c r="A853" s="3">
        <v>103407625</v>
      </c>
      <c r="B853" s="3" t="s">
        <v>1780</v>
      </c>
      <c r="C853" s="3" t="s">
        <v>9</v>
      </c>
      <c r="D853" s="3" t="s">
        <v>5</v>
      </c>
      <c r="E853" s="3" t="s">
        <v>12</v>
      </c>
      <c r="F853" s="3" t="s">
        <v>1781</v>
      </c>
      <c r="G853" s="3" t="s">
        <v>1782</v>
      </c>
      <c r="H853" s="5">
        <v>1749</v>
      </c>
      <c r="I853" s="3" t="s">
        <v>11</v>
      </c>
    </row>
    <row r="854" spans="1:9" x14ac:dyDescent="0.35">
      <c r="A854" s="3">
        <v>103407623</v>
      </c>
      <c r="B854" s="3" t="s">
        <v>1783</v>
      </c>
      <c r="C854" s="3" t="s">
        <v>9</v>
      </c>
      <c r="D854" s="3" t="s">
        <v>5</v>
      </c>
      <c r="E854" s="3" t="s">
        <v>10</v>
      </c>
      <c r="F854" s="3" t="s">
        <v>15</v>
      </c>
      <c r="G854" s="3" t="s">
        <v>16</v>
      </c>
      <c r="H854" s="4">
        <v>2436.75</v>
      </c>
      <c r="I854" s="3" t="s">
        <v>11</v>
      </c>
    </row>
    <row r="855" spans="1:9" x14ac:dyDescent="0.35">
      <c r="A855" s="3">
        <v>103407622</v>
      </c>
      <c r="B855" s="3" t="s">
        <v>1784</v>
      </c>
      <c r="C855" s="3" t="s">
        <v>9</v>
      </c>
      <c r="D855" s="3" t="s">
        <v>5</v>
      </c>
      <c r="E855" s="3" t="s">
        <v>10</v>
      </c>
      <c r="F855" s="3" t="s">
        <v>1785</v>
      </c>
      <c r="G855" s="3" t="s">
        <v>1786</v>
      </c>
      <c r="H855" s="4">
        <v>2469.0500000000002</v>
      </c>
      <c r="I855" s="3" t="s">
        <v>11</v>
      </c>
    </row>
    <row r="856" spans="1:9" x14ac:dyDescent="0.35">
      <c r="A856" s="3">
        <v>103407621</v>
      </c>
      <c r="B856" s="3" t="s">
        <v>1787</v>
      </c>
      <c r="C856" s="3" t="s">
        <v>9</v>
      </c>
      <c r="D856" s="3" t="s">
        <v>5</v>
      </c>
      <c r="E856" s="3" t="s">
        <v>10</v>
      </c>
      <c r="F856" s="3" t="s">
        <v>1788</v>
      </c>
      <c r="G856" s="3" t="s">
        <v>1789</v>
      </c>
      <c r="H856" s="5">
        <v>2799</v>
      </c>
      <c r="I856" s="3" t="s">
        <v>11</v>
      </c>
    </row>
    <row r="857" spans="1:9" x14ac:dyDescent="0.35">
      <c r="A857" s="3">
        <v>103407613</v>
      </c>
      <c r="B857" s="3" t="s">
        <v>1790</v>
      </c>
      <c r="C857" s="3" t="s">
        <v>9</v>
      </c>
      <c r="D857" s="3" t="s">
        <v>5</v>
      </c>
      <c r="E857" s="3" t="s">
        <v>10</v>
      </c>
      <c r="F857" s="3" t="s">
        <v>1791</v>
      </c>
      <c r="G857" s="3" t="s">
        <v>1792</v>
      </c>
      <c r="H857" s="4">
        <v>2849.05</v>
      </c>
      <c r="I857" s="3" t="s">
        <v>11</v>
      </c>
    </row>
    <row r="858" spans="1:9" x14ac:dyDescent="0.35">
      <c r="A858" s="3">
        <v>103407607</v>
      </c>
      <c r="B858" s="3" t="s">
        <v>1793</v>
      </c>
      <c r="C858" s="3" t="s">
        <v>9</v>
      </c>
      <c r="D858" s="3" t="s">
        <v>5</v>
      </c>
      <c r="E858" s="3" t="s">
        <v>10</v>
      </c>
      <c r="F858" s="3" t="s">
        <v>1794</v>
      </c>
      <c r="G858" s="3" t="s">
        <v>1795</v>
      </c>
      <c r="H858" s="4">
        <v>4787.1400000000003</v>
      </c>
      <c r="I858" s="3" t="s">
        <v>11</v>
      </c>
    </row>
    <row r="859" spans="1:9" x14ac:dyDescent="0.35">
      <c r="A859" s="3">
        <v>103407665</v>
      </c>
      <c r="B859" s="3" t="s">
        <v>1796</v>
      </c>
      <c r="C859" s="3" t="s">
        <v>9</v>
      </c>
      <c r="D859" s="3" t="s">
        <v>5</v>
      </c>
      <c r="E859" s="3" t="s">
        <v>10</v>
      </c>
      <c r="F859" s="3" t="s">
        <v>1797</v>
      </c>
      <c r="G859" s="3" t="s">
        <v>1798</v>
      </c>
      <c r="H859" s="4">
        <v>2991.55</v>
      </c>
      <c r="I859" s="3" t="s">
        <v>11</v>
      </c>
    </row>
    <row r="860" spans="1:9" x14ac:dyDescent="0.35">
      <c r="A860" s="3">
        <v>103407603</v>
      </c>
      <c r="B860" s="3" t="s">
        <v>1799</v>
      </c>
      <c r="C860" s="3" t="s">
        <v>9</v>
      </c>
      <c r="D860" s="3" t="s">
        <v>5</v>
      </c>
      <c r="E860" s="3" t="s">
        <v>10</v>
      </c>
      <c r="F860" s="3" t="s">
        <v>1800</v>
      </c>
      <c r="G860" s="3" t="s">
        <v>1801</v>
      </c>
      <c r="H860" s="4">
        <v>1110.55</v>
      </c>
      <c r="I860" s="3" t="s">
        <v>11</v>
      </c>
    </row>
    <row r="861" spans="1:9" x14ac:dyDescent="0.35">
      <c r="A861" s="3">
        <v>103407598</v>
      </c>
      <c r="B861" s="3" t="s">
        <v>1802</v>
      </c>
      <c r="C861" s="3" t="s">
        <v>9</v>
      </c>
      <c r="D861" s="3" t="s">
        <v>5</v>
      </c>
      <c r="E861" s="3" t="s">
        <v>10</v>
      </c>
      <c r="F861" s="3" t="s">
        <v>1803</v>
      </c>
      <c r="G861" s="3" t="s">
        <v>1804</v>
      </c>
      <c r="H861" s="3">
        <v>920.55</v>
      </c>
      <c r="I861" s="3" t="s">
        <v>11</v>
      </c>
    </row>
    <row r="862" spans="1:9" x14ac:dyDescent="0.35">
      <c r="A862" s="3">
        <v>103407458</v>
      </c>
      <c r="B862" s="3" t="s">
        <v>1805</v>
      </c>
      <c r="C862" s="3" t="s">
        <v>9</v>
      </c>
      <c r="D862" s="3" t="s">
        <v>5</v>
      </c>
      <c r="E862" s="3" t="s">
        <v>10</v>
      </c>
      <c r="F862" s="3" t="s">
        <v>1806</v>
      </c>
      <c r="G862" s="3" t="s">
        <v>1807</v>
      </c>
      <c r="H862" s="4">
        <v>2885.15</v>
      </c>
      <c r="I862" s="3" t="s">
        <v>11</v>
      </c>
    </row>
    <row r="863" spans="1:9" x14ac:dyDescent="0.35">
      <c r="A863" s="3">
        <v>103407459</v>
      </c>
      <c r="B863" s="3" t="s">
        <v>1805</v>
      </c>
      <c r="C863" s="3" t="s">
        <v>9</v>
      </c>
      <c r="D863" s="3" t="s">
        <v>5</v>
      </c>
      <c r="E863" s="3" t="s">
        <v>10</v>
      </c>
      <c r="F863" s="3" t="s">
        <v>1808</v>
      </c>
      <c r="G863" s="3" t="s">
        <v>1809</v>
      </c>
      <c r="H863" s="3">
        <v>417.05</v>
      </c>
      <c r="I863" s="3" t="s">
        <v>11</v>
      </c>
    </row>
    <row r="864" spans="1:9" x14ac:dyDescent="0.35">
      <c r="A864" s="3">
        <v>103407593</v>
      </c>
      <c r="B864" s="3" t="s">
        <v>1810</v>
      </c>
      <c r="C864" s="3" t="s">
        <v>9</v>
      </c>
      <c r="D864" s="3" t="s">
        <v>5</v>
      </c>
      <c r="E864" s="3" t="s">
        <v>10</v>
      </c>
      <c r="F864" s="3" t="s">
        <v>1811</v>
      </c>
      <c r="G864" s="3" t="s">
        <v>1812</v>
      </c>
      <c r="H864" s="4">
        <v>1899.05</v>
      </c>
      <c r="I864" s="3" t="s">
        <v>11</v>
      </c>
    </row>
    <row r="865" spans="1:9" x14ac:dyDescent="0.35">
      <c r="A865" s="3">
        <v>103407583</v>
      </c>
      <c r="B865" s="3" t="s">
        <v>1813</v>
      </c>
      <c r="C865" s="3" t="s">
        <v>9</v>
      </c>
      <c r="D865" s="3" t="s">
        <v>5</v>
      </c>
      <c r="E865" s="3" t="s">
        <v>10</v>
      </c>
      <c r="F865" s="3" t="s">
        <v>1814</v>
      </c>
      <c r="G865" s="3" t="s">
        <v>1815</v>
      </c>
      <c r="H865" s="5">
        <v>2309</v>
      </c>
      <c r="I865" s="3" t="s">
        <v>11</v>
      </c>
    </row>
    <row r="866" spans="1:9" x14ac:dyDescent="0.35">
      <c r="A866" s="3">
        <v>103407580</v>
      </c>
      <c r="B866" s="3" t="s">
        <v>1816</v>
      </c>
      <c r="C866" s="3" t="s">
        <v>9</v>
      </c>
      <c r="D866" s="3" t="s">
        <v>5</v>
      </c>
      <c r="E866" s="3" t="s">
        <v>10</v>
      </c>
      <c r="F866" s="3" t="s">
        <v>1817</v>
      </c>
      <c r="G866" s="3" t="s">
        <v>1818</v>
      </c>
      <c r="H866" s="4">
        <v>2469.0500000000002</v>
      </c>
      <c r="I866" s="3" t="s">
        <v>11</v>
      </c>
    </row>
    <row r="867" spans="1:9" x14ac:dyDescent="0.35">
      <c r="A867" s="3">
        <v>103407577</v>
      </c>
      <c r="B867" s="3" t="s">
        <v>1819</v>
      </c>
      <c r="C867" s="3" t="s">
        <v>9</v>
      </c>
      <c r="D867" s="3" t="s">
        <v>5</v>
      </c>
      <c r="E867" s="3" t="s">
        <v>10</v>
      </c>
      <c r="F867" s="3" t="s">
        <v>1820</v>
      </c>
      <c r="G867" s="3" t="s">
        <v>1821</v>
      </c>
      <c r="H867" s="5">
        <v>2999</v>
      </c>
      <c r="I867" s="3" t="s">
        <v>11</v>
      </c>
    </row>
    <row r="868" spans="1:9" x14ac:dyDescent="0.35">
      <c r="A868" s="3">
        <v>103407575</v>
      </c>
      <c r="B868" s="3" t="s">
        <v>1822</v>
      </c>
      <c r="C868" s="3" t="s">
        <v>9</v>
      </c>
      <c r="D868" s="3" t="s">
        <v>5</v>
      </c>
      <c r="E868" s="3" t="s">
        <v>10</v>
      </c>
      <c r="F868" s="3" t="s">
        <v>1823</v>
      </c>
      <c r="G868" s="3" t="s">
        <v>1824</v>
      </c>
      <c r="H868" s="3">
        <v>521.54999999999995</v>
      </c>
      <c r="I868" s="3" t="s">
        <v>11</v>
      </c>
    </row>
    <row r="869" spans="1:9" x14ac:dyDescent="0.35">
      <c r="A869" s="3">
        <v>103407573</v>
      </c>
      <c r="B869" s="3" t="s">
        <v>1825</v>
      </c>
      <c r="C869" s="3" t="s">
        <v>9</v>
      </c>
      <c r="D869" s="3" t="s">
        <v>5</v>
      </c>
      <c r="E869" s="3" t="s">
        <v>10</v>
      </c>
      <c r="F869" s="3" t="s">
        <v>1826</v>
      </c>
      <c r="G869" s="3" t="s">
        <v>1827</v>
      </c>
      <c r="H869" s="5">
        <v>1499</v>
      </c>
      <c r="I869" s="3" t="s">
        <v>11</v>
      </c>
    </row>
    <row r="870" spans="1:9" x14ac:dyDescent="0.35">
      <c r="A870" s="3">
        <v>103407571</v>
      </c>
      <c r="B870" s="3" t="s">
        <v>1828</v>
      </c>
      <c r="C870" s="3" t="s">
        <v>9</v>
      </c>
      <c r="D870" s="3" t="s">
        <v>5</v>
      </c>
      <c r="E870" s="3" t="s">
        <v>10</v>
      </c>
      <c r="F870" s="3" t="s">
        <v>1829</v>
      </c>
      <c r="G870" s="3" t="s">
        <v>1830</v>
      </c>
      <c r="H870" s="4">
        <v>3797.15</v>
      </c>
      <c r="I870" s="3" t="s">
        <v>11</v>
      </c>
    </row>
    <row r="871" spans="1:9" x14ac:dyDescent="0.35">
      <c r="A871" s="3">
        <v>103407568</v>
      </c>
      <c r="B871" s="3" t="s">
        <v>1831</v>
      </c>
      <c r="C871" s="3" t="s">
        <v>9</v>
      </c>
      <c r="D871" s="3" t="s">
        <v>5</v>
      </c>
      <c r="E871" s="3" t="s">
        <v>10</v>
      </c>
      <c r="F871" s="3" t="s">
        <v>1832</v>
      </c>
      <c r="G871" s="3" t="s">
        <v>1833</v>
      </c>
      <c r="H871" s="5">
        <v>4799</v>
      </c>
      <c r="I871" s="3" t="s">
        <v>11</v>
      </c>
    </row>
    <row r="872" spans="1:9" x14ac:dyDescent="0.35">
      <c r="A872" s="3">
        <v>103407566</v>
      </c>
      <c r="B872" s="3" t="s">
        <v>1834</v>
      </c>
      <c r="C872" s="3" t="s">
        <v>9</v>
      </c>
      <c r="D872" s="3" t="s">
        <v>5</v>
      </c>
      <c r="E872" s="3" t="s">
        <v>10</v>
      </c>
      <c r="F872" s="3" t="s">
        <v>1835</v>
      </c>
      <c r="G872" s="3" t="s">
        <v>1836</v>
      </c>
      <c r="H872" s="5">
        <v>1119</v>
      </c>
      <c r="I872" s="3" t="s">
        <v>11</v>
      </c>
    </row>
    <row r="873" spans="1:9" x14ac:dyDescent="0.35">
      <c r="A873" s="3">
        <v>103407559</v>
      </c>
      <c r="B873" s="3" t="s">
        <v>1837</v>
      </c>
      <c r="C873" s="3" t="s">
        <v>9</v>
      </c>
      <c r="D873" s="3" t="s">
        <v>5</v>
      </c>
      <c r="E873" s="3" t="s">
        <v>12</v>
      </c>
      <c r="F873" s="3" t="s">
        <v>1838</v>
      </c>
      <c r="G873" s="3" t="s">
        <v>1839</v>
      </c>
      <c r="H873" s="3">
        <v>899</v>
      </c>
      <c r="I873" s="3" t="s">
        <v>11</v>
      </c>
    </row>
    <row r="874" spans="1:9" x14ac:dyDescent="0.35">
      <c r="A874" s="3">
        <v>103407558</v>
      </c>
      <c r="B874" s="3" t="s">
        <v>1840</v>
      </c>
      <c r="C874" s="3" t="s">
        <v>9</v>
      </c>
      <c r="D874" s="3" t="s">
        <v>5</v>
      </c>
      <c r="E874" s="3" t="s">
        <v>10</v>
      </c>
      <c r="F874" s="3" t="s">
        <v>1841</v>
      </c>
      <c r="G874" s="3" t="s">
        <v>1842</v>
      </c>
      <c r="H874" s="5">
        <v>3116</v>
      </c>
      <c r="I874" s="3" t="s">
        <v>11</v>
      </c>
    </row>
    <row r="875" spans="1:9" x14ac:dyDescent="0.35">
      <c r="A875" s="3">
        <v>103407557</v>
      </c>
      <c r="B875" s="3" t="s">
        <v>1843</v>
      </c>
      <c r="C875" s="3" t="s">
        <v>9</v>
      </c>
      <c r="D875" s="3" t="s">
        <v>5</v>
      </c>
      <c r="E875" s="3" t="s">
        <v>12</v>
      </c>
      <c r="F875" s="3" t="s">
        <v>1844</v>
      </c>
      <c r="G875" s="3" t="s">
        <v>1845</v>
      </c>
      <c r="H875" s="3">
        <v>759.05</v>
      </c>
      <c r="I875" s="3" t="s">
        <v>11</v>
      </c>
    </row>
    <row r="876" spans="1:9" x14ac:dyDescent="0.35">
      <c r="A876" s="3">
        <v>103407556</v>
      </c>
      <c r="B876" s="3" t="s">
        <v>1846</v>
      </c>
      <c r="C876" s="3" t="s">
        <v>9</v>
      </c>
      <c r="D876" s="3" t="s">
        <v>5</v>
      </c>
      <c r="E876" s="3" t="s">
        <v>10</v>
      </c>
      <c r="F876" s="3" t="s">
        <v>1847</v>
      </c>
      <c r="G876" s="3" t="s">
        <v>1848</v>
      </c>
      <c r="H876" s="4">
        <v>2715.1</v>
      </c>
      <c r="I876" s="3" t="s">
        <v>11</v>
      </c>
    </row>
    <row r="877" spans="1:9" x14ac:dyDescent="0.35">
      <c r="A877" s="3">
        <v>103407555</v>
      </c>
      <c r="B877" s="3" t="s">
        <v>1849</v>
      </c>
      <c r="C877" s="3" t="s">
        <v>9</v>
      </c>
      <c r="D877" s="3" t="s">
        <v>5</v>
      </c>
      <c r="E877" s="3" t="s">
        <v>10</v>
      </c>
      <c r="F877" s="3" t="s">
        <v>1850</v>
      </c>
      <c r="G877" s="3" t="s">
        <v>1851</v>
      </c>
      <c r="H877" s="5">
        <v>2699</v>
      </c>
      <c r="I877" s="3" t="s">
        <v>11</v>
      </c>
    </row>
    <row r="878" spans="1:9" x14ac:dyDescent="0.35">
      <c r="A878" s="3">
        <v>103407550</v>
      </c>
      <c r="B878" s="3" t="s">
        <v>1852</v>
      </c>
      <c r="C878" s="3" t="s">
        <v>9</v>
      </c>
      <c r="D878" s="3" t="s">
        <v>5</v>
      </c>
      <c r="E878" s="3" t="s">
        <v>12</v>
      </c>
      <c r="F878" s="3" t="s">
        <v>1853</v>
      </c>
      <c r="G878" s="3" t="s">
        <v>1854</v>
      </c>
      <c r="H878" s="5">
        <v>4499</v>
      </c>
      <c r="I878" s="3" t="s">
        <v>11</v>
      </c>
    </row>
    <row r="879" spans="1:9" x14ac:dyDescent="0.35">
      <c r="A879" s="3">
        <v>103407547</v>
      </c>
      <c r="B879" s="3" t="s">
        <v>1855</v>
      </c>
      <c r="C879" s="3" t="s">
        <v>9</v>
      </c>
      <c r="D879" s="3" t="s">
        <v>5</v>
      </c>
      <c r="E879" s="3" t="s">
        <v>10</v>
      </c>
      <c r="F879" s="3" t="s">
        <v>1856</v>
      </c>
      <c r="G879" s="3" t="s">
        <v>1857</v>
      </c>
      <c r="H879" s="3">
        <v>649</v>
      </c>
      <c r="I879" s="3" t="s">
        <v>11</v>
      </c>
    </row>
    <row r="880" spans="1:9" x14ac:dyDescent="0.35">
      <c r="A880" s="3">
        <v>103407544</v>
      </c>
      <c r="B880" s="3" t="s">
        <v>1858</v>
      </c>
      <c r="C880" s="3" t="s">
        <v>9</v>
      </c>
      <c r="D880" s="3" t="s">
        <v>5</v>
      </c>
      <c r="E880" s="3" t="s">
        <v>10</v>
      </c>
      <c r="F880" s="3" t="s">
        <v>1859</v>
      </c>
      <c r="G880" s="3" t="s">
        <v>1860</v>
      </c>
      <c r="H880" s="5">
        <v>1259</v>
      </c>
      <c r="I880" s="3" t="s">
        <v>11</v>
      </c>
    </row>
    <row r="881" spans="1:9" x14ac:dyDescent="0.35">
      <c r="A881" s="3">
        <v>103407434</v>
      </c>
      <c r="B881" s="3" t="s">
        <v>1861</v>
      </c>
      <c r="C881" s="3" t="s">
        <v>9</v>
      </c>
      <c r="D881" s="3" t="s">
        <v>5</v>
      </c>
      <c r="E881" s="3" t="s">
        <v>10</v>
      </c>
      <c r="F881" s="3" t="s">
        <v>1862</v>
      </c>
      <c r="G881" s="3" t="s">
        <v>1863</v>
      </c>
      <c r="H881" s="5">
        <v>3899</v>
      </c>
      <c r="I881" s="3" t="s">
        <v>11</v>
      </c>
    </row>
    <row r="882" spans="1:9" x14ac:dyDescent="0.35">
      <c r="A882" s="3">
        <v>103407431</v>
      </c>
      <c r="B882" s="3" t="s">
        <v>1864</v>
      </c>
      <c r="C882" s="3" t="s">
        <v>9</v>
      </c>
      <c r="D882" s="3" t="s">
        <v>5</v>
      </c>
      <c r="E882" s="3" t="s">
        <v>10</v>
      </c>
      <c r="F882" s="3" t="s">
        <v>1865</v>
      </c>
      <c r="G882" s="3" t="s">
        <v>1866</v>
      </c>
      <c r="H882" s="4">
        <v>1136.25</v>
      </c>
      <c r="I882" s="3" t="s">
        <v>11</v>
      </c>
    </row>
    <row r="883" spans="1:9" x14ac:dyDescent="0.35">
      <c r="A883" s="3">
        <v>103407430</v>
      </c>
      <c r="B883" s="3" t="s">
        <v>1867</v>
      </c>
      <c r="C883" s="3" t="s">
        <v>9</v>
      </c>
      <c r="D883" s="3" t="s">
        <v>5</v>
      </c>
      <c r="E883" s="3" t="s">
        <v>10</v>
      </c>
      <c r="F883" s="3" t="s">
        <v>1868</v>
      </c>
      <c r="G883" s="3" t="s">
        <v>1869</v>
      </c>
      <c r="H883" s="4">
        <v>1661.55</v>
      </c>
      <c r="I883" s="3" t="s">
        <v>11</v>
      </c>
    </row>
    <row r="884" spans="1:9" x14ac:dyDescent="0.35">
      <c r="A884" s="3">
        <v>103407539</v>
      </c>
      <c r="B884" s="3" t="s">
        <v>1870</v>
      </c>
      <c r="C884" s="3" t="s">
        <v>9</v>
      </c>
      <c r="D884" s="3" t="s">
        <v>5</v>
      </c>
      <c r="E884" s="3" t="s">
        <v>10</v>
      </c>
      <c r="F884" s="3" t="s">
        <v>1871</v>
      </c>
      <c r="G884" s="3" t="s">
        <v>1872</v>
      </c>
      <c r="H884" s="5">
        <v>1499</v>
      </c>
      <c r="I884" s="3" t="s">
        <v>11</v>
      </c>
    </row>
    <row r="885" spans="1:9" x14ac:dyDescent="0.35">
      <c r="A885" s="3">
        <v>103407428</v>
      </c>
      <c r="B885" s="3" t="s">
        <v>1873</v>
      </c>
      <c r="C885" s="3" t="s">
        <v>9</v>
      </c>
      <c r="D885" s="3" t="s">
        <v>5</v>
      </c>
      <c r="E885" s="3" t="s">
        <v>12</v>
      </c>
      <c r="F885" s="3" t="s">
        <v>1874</v>
      </c>
      <c r="G885" s="3" t="s">
        <v>1875</v>
      </c>
      <c r="H885" s="5">
        <v>2399</v>
      </c>
      <c r="I885" s="3" t="s">
        <v>11</v>
      </c>
    </row>
    <row r="886" spans="1:9" x14ac:dyDescent="0.35">
      <c r="A886" s="3">
        <v>103407538</v>
      </c>
      <c r="B886" s="3" t="s">
        <v>1876</v>
      </c>
      <c r="C886" s="3" t="s">
        <v>9</v>
      </c>
      <c r="D886" s="3" t="s">
        <v>5</v>
      </c>
      <c r="E886" s="3" t="s">
        <v>10</v>
      </c>
      <c r="F886" s="3" t="s">
        <v>1877</v>
      </c>
      <c r="G886" s="3" t="s">
        <v>1878</v>
      </c>
      <c r="H886" s="4">
        <v>4962.8500000000004</v>
      </c>
      <c r="I886" s="3" t="s">
        <v>11</v>
      </c>
    </row>
    <row r="887" spans="1:9" x14ac:dyDescent="0.35">
      <c r="A887" s="3">
        <v>103407536</v>
      </c>
      <c r="B887" s="3" t="s">
        <v>1879</v>
      </c>
      <c r="C887" s="3" t="s">
        <v>9</v>
      </c>
      <c r="D887" s="3" t="s">
        <v>5</v>
      </c>
      <c r="E887" s="3" t="s">
        <v>10</v>
      </c>
      <c r="F887" s="3" t="s">
        <v>1880</v>
      </c>
      <c r="G887" s="3" t="s">
        <v>1881</v>
      </c>
      <c r="H887" s="5">
        <v>3648</v>
      </c>
      <c r="I887" s="3" t="s">
        <v>11</v>
      </c>
    </row>
    <row r="888" spans="1:9" x14ac:dyDescent="0.35">
      <c r="A888" s="3">
        <v>103407533</v>
      </c>
      <c r="B888" s="3" t="s">
        <v>1882</v>
      </c>
      <c r="C888" s="3" t="s">
        <v>9</v>
      </c>
      <c r="D888" s="3" t="s">
        <v>5</v>
      </c>
      <c r="E888" s="3" t="s">
        <v>12</v>
      </c>
      <c r="F888" s="3" t="s">
        <v>1883</v>
      </c>
      <c r="G888" s="3" t="s">
        <v>1884</v>
      </c>
      <c r="H888" s="5">
        <v>1259</v>
      </c>
      <c r="I888" s="3" t="s">
        <v>11</v>
      </c>
    </row>
    <row r="889" spans="1:9" x14ac:dyDescent="0.35">
      <c r="A889" s="3">
        <v>103407532</v>
      </c>
      <c r="B889" s="3" t="s">
        <v>1885</v>
      </c>
      <c r="C889" s="3" t="s">
        <v>9</v>
      </c>
      <c r="D889" s="3" t="s">
        <v>5</v>
      </c>
      <c r="E889" s="3" t="s">
        <v>10</v>
      </c>
      <c r="F889" s="3" t="s">
        <v>1886</v>
      </c>
      <c r="G889" s="3" t="s">
        <v>1887</v>
      </c>
      <c r="H889" s="4">
        <v>4008.05</v>
      </c>
      <c r="I889" s="3" t="s">
        <v>11</v>
      </c>
    </row>
    <row r="890" spans="1:9" x14ac:dyDescent="0.35">
      <c r="A890" s="3">
        <v>103407426</v>
      </c>
      <c r="B890" s="3" t="s">
        <v>1888</v>
      </c>
      <c r="C890" s="3" t="s">
        <v>9</v>
      </c>
      <c r="D890" s="3" t="s">
        <v>5</v>
      </c>
      <c r="E890" s="3" t="s">
        <v>10</v>
      </c>
      <c r="F890" s="3" t="s">
        <v>1889</v>
      </c>
      <c r="G890" s="3" t="s">
        <v>1890</v>
      </c>
      <c r="H890" s="5">
        <v>1428</v>
      </c>
      <c r="I890" s="3" t="s">
        <v>11</v>
      </c>
    </row>
    <row r="891" spans="1:9" x14ac:dyDescent="0.35">
      <c r="A891" s="3">
        <v>103407425</v>
      </c>
      <c r="B891" s="3" t="s">
        <v>1891</v>
      </c>
      <c r="C891" s="3" t="s">
        <v>9</v>
      </c>
      <c r="D891" s="3" t="s">
        <v>5</v>
      </c>
      <c r="E891" s="3" t="s">
        <v>10</v>
      </c>
      <c r="F891" s="3" t="s">
        <v>1892</v>
      </c>
      <c r="G891" s="3" t="s">
        <v>1893</v>
      </c>
      <c r="H891" s="4">
        <v>4767.1000000000004</v>
      </c>
      <c r="I891" s="3" t="s">
        <v>11</v>
      </c>
    </row>
    <row r="892" spans="1:9" x14ac:dyDescent="0.35">
      <c r="A892" s="3">
        <v>103407526</v>
      </c>
      <c r="B892" s="3" t="s">
        <v>1894</v>
      </c>
      <c r="C892" s="3" t="s">
        <v>9</v>
      </c>
      <c r="D892" s="3" t="s">
        <v>5</v>
      </c>
      <c r="E892" s="3" t="s">
        <v>10</v>
      </c>
      <c r="F892" s="3" t="s">
        <v>1895</v>
      </c>
      <c r="G892" s="3" t="s">
        <v>1896</v>
      </c>
      <c r="H892" s="4">
        <v>2098.5</v>
      </c>
      <c r="I892" s="3" t="s">
        <v>11</v>
      </c>
    </row>
    <row r="893" spans="1:9" x14ac:dyDescent="0.35">
      <c r="A893" s="3">
        <v>103407523</v>
      </c>
      <c r="B893" s="3" t="s">
        <v>1897</v>
      </c>
      <c r="C893" s="3" t="s">
        <v>9</v>
      </c>
      <c r="D893" s="3" t="s">
        <v>5</v>
      </c>
      <c r="E893" s="3" t="s">
        <v>10</v>
      </c>
      <c r="F893" s="3" t="s">
        <v>1898</v>
      </c>
      <c r="G893" s="3" t="s">
        <v>1899</v>
      </c>
      <c r="H893" s="4">
        <v>2393.14</v>
      </c>
      <c r="I893" s="3" t="s">
        <v>11</v>
      </c>
    </row>
    <row r="894" spans="1:9" x14ac:dyDescent="0.35">
      <c r="A894" s="3">
        <v>103407422</v>
      </c>
      <c r="B894" s="3" t="s">
        <v>1900</v>
      </c>
      <c r="C894" s="3" t="s">
        <v>9</v>
      </c>
      <c r="D894" s="3" t="s">
        <v>5</v>
      </c>
      <c r="E894" s="3" t="s">
        <v>10</v>
      </c>
      <c r="F894" s="3" t="s">
        <v>1901</v>
      </c>
      <c r="G894" s="3" t="s">
        <v>1902</v>
      </c>
      <c r="H894" s="3">
        <v>839</v>
      </c>
      <c r="I894" s="3" t="s">
        <v>11</v>
      </c>
    </row>
    <row r="895" spans="1:9" x14ac:dyDescent="0.35">
      <c r="A895" s="3">
        <v>103407518</v>
      </c>
      <c r="B895" s="3" t="s">
        <v>1903</v>
      </c>
      <c r="C895" s="3" t="s">
        <v>9</v>
      </c>
      <c r="D895" s="3" t="s">
        <v>5</v>
      </c>
      <c r="E895" s="3" t="s">
        <v>10</v>
      </c>
      <c r="F895" s="3" t="s">
        <v>1904</v>
      </c>
      <c r="G895" s="3" t="s">
        <v>1905</v>
      </c>
      <c r="H895" s="4">
        <v>3656.55</v>
      </c>
      <c r="I895" s="3" t="s">
        <v>11</v>
      </c>
    </row>
    <row r="896" spans="1:9" x14ac:dyDescent="0.35">
      <c r="A896" s="3">
        <v>103407514</v>
      </c>
      <c r="B896" s="3" t="s">
        <v>1906</v>
      </c>
      <c r="C896" s="3" t="s">
        <v>9</v>
      </c>
      <c r="D896" s="3" t="s">
        <v>5</v>
      </c>
      <c r="E896" s="3" t="s">
        <v>10</v>
      </c>
      <c r="F896" s="3" t="s">
        <v>1907</v>
      </c>
      <c r="G896" s="3" t="s">
        <v>1908</v>
      </c>
      <c r="H896" s="5">
        <v>3149</v>
      </c>
      <c r="I896" s="3" t="s">
        <v>11</v>
      </c>
    </row>
    <row r="897" spans="1:9" x14ac:dyDescent="0.35">
      <c r="A897" s="3">
        <v>103407511</v>
      </c>
      <c r="B897" s="3" t="s">
        <v>1909</v>
      </c>
      <c r="C897" s="3" t="s">
        <v>9</v>
      </c>
      <c r="D897" s="3" t="s">
        <v>5</v>
      </c>
      <c r="E897" s="3" t="s">
        <v>12</v>
      </c>
      <c r="F897" s="3" t="s">
        <v>1910</v>
      </c>
      <c r="G897" s="3" t="s">
        <v>1911</v>
      </c>
      <c r="H897" s="5">
        <v>1079</v>
      </c>
      <c r="I897" s="3" t="s">
        <v>11</v>
      </c>
    </row>
    <row r="898" spans="1:9" x14ac:dyDescent="0.35">
      <c r="A898" s="3">
        <v>103407508</v>
      </c>
      <c r="B898" s="3" t="s">
        <v>1912</v>
      </c>
      <c r="C898" s="3" t="s">
        <v>9</v>
      </c>
      <c r="D898" s="3" t="s">
        <v>5</v>
      </c>
      <c r="E898" s="3" t="s">
        <v>12</v>
      </c>
      <c r="F898" s="3" t="s">
        <v>1913</v>
      </c>
      <c r="G898" s="3" t="s">
        <v>1914</v>
      </c>
      <c r="H898" s="4">
        <v>2089.0500000000002</v>
      </c>
      <c r="I898" s="3" t="s">
        <v>11</v>
      </c>
    </row>
    <row r="899" spans="1:9" x14ac:dyDescent="0.35">
      <c r="A899" s="3">
        <v>103407506</v>
      </c>
      <c r="B899" s="3" t="s">
        <v>1915</v>
      </c>
      <c r="C899" s="3" t="s">
        <v>9</v>
      </c>
      <c r="D899" s="3" t="s">
        <v>5</v>
      </c>
      <c r="E899" s="3" t="s">
        <v>10</v>
      </c>
      <c r="F899" s="3" t="s">
        <v>1916</v>
      </c>
      <c r="G899" s="3" t="s">
        <v>1917</v>
      </c>
      <c r="H899" s="4">
        <v>2051.14</v>
      </c>
      <c r="I899" s="3" t="s">
        <v>11</v>
      </c>
    </row>
    <row r="900" spans="1:9" x14ac:dyDescent="0.35">
      <c r="A900" s="3">
        <v>103407410</v>
      </c>
      <c r="B900" s="3" t="s">
        <v>1918</v>
      </c>
      <c r="C900" s="3" t="s">
        <v>9</v>
      </c>
      <c r="D900" s="3" t="s">
        <v>5</v>
      </c>
      <c r="E900" s="3" t="s">
        <v>10</v>
      </c>
      <c r="F900" s="3" t="s">
        <v>1919</v>
      </c>
      <c r="G900" s="3" t="s">
        <v>1920</v>
      </c>
      <c r="H900" s="5">
        <v>1269</v>
      </c>
      <c r="I900" s="3" t="s">
        <v>11</v>
      </c>
    </row>
    <row r="901" spans="1:9" x14ac:dyDescent="0.35">
      <c r="A901" s="3">
        <v>103407505</v>
      </c>
      <c r="B901" s="3" t="s">
        <v>1921</v>
      </c>
      <c r="C901" s="3" t="s">
        <v>9</v>
      </c>
      <c r="D901" s="3" t="s">
        <v>5</v>
      </c>
      <c r="E901" s="3" t="s">
        <v>10</v>
      </c>
      <c r="F901" s="3" t="s">
        <v>1922</v>
      </c>
      <c r="G901" s="3" t="s">
        <v>1923</v>
      </c>
      <c r="H901" s="3">
        <v>540.6</v>
      </c>
      <c r="I901" s="3" t="s">
        <v>11</v>
      </c>
    </row>
    <row r="902" spans="1:9" x14ac:dyDescent="0.35">
      <c r="A902" s="3">
        <v>103407503</v>
      </c>
      <c r="B902" s="3" t="s">
        <v>1924</v>
      </c>
      <c r="C902" s="3" t="s">
        <v>9</v>
      </c>
      <c r="D902" s="3" t="s">
        <v>5</v>
      </c>
      <c r="E902" s="3" t="s">
        <v>10</v>
      </c>
      <c r="F902" s="3" t="s">
        <v>1925</v>
      </c>
      <c r="G902" s="3" t="s">
        <v>1926</v>
      </c>
      <c r="H902" s="4">
        <v>2279.0500000000002</v>
      </c>
      <c r="I902" s="3" t="s">
        <v>11</v>
      </c>
    </row>
    <row r="903" spans="1:9" x14ac:dyDescent="0.35">
      <c r="A903" s="3">
        <v>103407408</v>
      </c>
      <c r="B903" s="3" t="s">
        <v>1927</v>
      </c>
      <c r="C903" s="3" t="s">
        <v>9</v>
      </c>
      <c r="D903" s="3" t="s">
        <v>5</v>
      </c>
      <c r="E903" s="3" t="s">
        <v>10</v>
      </c>
      <c r="F903" s="3" t="s">
        <v>1928</v>
      </c>
      <c r="G903" s="3" t="s">
        <v>1929</v>
      </c>
      <c r="H903" s="5">
        <v>4549</v>
      </c>
      <c r="I903" s="3" t="s">
        <v>11</v>
      </c>
    </row>
    <row r="904" spans="1:9" x14ac:dyDescent="0.35">
      <c r="A904" s="3">
        <v>103407406</v>
      </c>
      <c r="B904" s="3" t="s">
        <v>1930</v>
      </c>
      <c r="C904" s="3" t="s">
        <v>9</v>
      </c>
      <c r="D904" s="3" t="s">
        <v>5</v>
      </c>
      <c r="E904" s="3" t="s">
        <v>10</v>
      </c>
      <c r="F904" s="3" t="s">
        <v>1931</v>
      </c>
      <c r="G904" s="3" t="s">
        <v>1932</v>
      </c>
      <c r="H904" s="3">
        <v>673.55</v>
      </c>
      <c r="I904" s="3" t="s">
        <v>11</v>
      </c>
    </row>
    <row r="905" spans="1:9" x14ac:dyDescent="0.35">
      <c r="A905" s="3">
        <v>103407405</v>
      </c>
      <c r="B905" s="3" t="s">
        <v>1933</v>
      </c>
      <c r="C905" s="3" t="s">
        <v>9</v>
      </c>
      <c r="D905" s="3" t="s">
        <v>5</v>
      </c>
      <c r="E905" s="3" t="s">
        <v>10</v>
      </c>
      <c r="F905" s="3" t="s">
        <v>1934</v>
      </c>
      <c r="G905" s="3" t="s">
        <v>1935</v>
      </c>
      <c r="H905" s="5">
        <v>3499</v>
      </c>
      <c r="I905" s="3" t="s">
        <v>11</v>
      </c>
    </row>
    <row r="906" spans="1:9" x14ac:dyDescent="0.35">
      <c r="A906" s="3">
        <v>103407494</v>
      </c>
      <c r="B906" s="3" t="s">
        <v>1936</v>
      </c>
      <c r="C906" s="3" t="s">
        <v>9</v>
      </c>
      <c r="D906" s="3" t="s">
        <v>5</v>
      </c>
      <c r="E906" s="3" t="s">
        <v>10</v>
      </c>
      <c r="F906" s="3" t="s">
        <v>1937</v>
      </c>
      <c r="G906" s="3" t="s">
        <v>1938</v>
      </c>
      <c r="H906" s="4">
        <v>3324.05</v>
      </c>
      <c r="I906" s="3" t="s">
        <v>11</v>
      </c>
    </row>
    <row r="907" spans="1:9" x14ac:dyDescent="0.35">
      <c r="A907" s="3">
        <v>103407402</v>
      </c>
      <c r="B907" s="3" t="s">
        <v>1939</v>
      </c>
      <c r="C907" s="3" t="s">
        <v>9</v>
      </c>
      <c r="D907" s="3" t="s">
        <v>5</v>
      </c>
      <c r="E907" s="3" t="s">
        <v>10</v>
      </c>
      <c r="F907" s="3" t="s">
        <v>1940</v>
      </c>
      <c r="G907" s="3" t="s">
        <v>1941</v>
      </c>
      <c r="H907" s="3">
        <v>626.04999999999995</v>
      </c>
      <c r="I907" s="3" t="s">
        <v>11</v>
      </c>
    </row>
    <row r="908" spans="1:9" x14ac:dyDescent="0.35">
      <c r="A908" s="3">
        <v>103407491</v>
      </c>
      <c r="B908" s="3" t="s">
        <v>1942</v>
      </c>
      <c r="C908" s="3" t="s">
        <v>9</v>
      </c>
      <c r="D908" s="3" t="s">
        <v>5</v>
      </c>
      <c r="E908" s="3" t="s">
        <v>10</v>
      </c>
      <c r="F908" s="3" t="s">
        <v>1943</v>
      </c>
      <c r="G908" s="3" t="s">
        <v>1944</v>
      </c>
      <c r="H908" s="5">
        <v>2399</v>
      </c>
      <c r="I908" s="3" t="s">
        <v>11</v>
      </c>
    </row>
    <row r="909" spans="1:9" x14ac:dyDescent="0.35">
      <c r="A909" s="3">
        <v>103407392</v>
      </c>
      <c r="B909" s="3" t="s">
        <v>1945</v>
      </c>
      <c r="C909" s="3" t="s">
        <v>9</v>
      </c>
      <c r="D909" s="3" t="s">
        <v>5</v>
      </c>
      <c r="E909" s="3" t="s">
        <v>10</v>
      </c>
      <c r="F909" s="3" t="s">
        <v>1946</v>
      </c>
      <c r="G909" s="3" t="s">
        <v>1947</v>
      </c>
      <c r="H909" s="5">
        <v>2309</v>
      </c>
      <c r="I909" s="3" t="s">
        <v>11</v>
      </c>
    </row>
    <row r="910" spans="1:9" x14ac:dyDescent="0.35">
      <c r="A910" s="3">
        <v>103407489</v>
      </c>
      <c r="B910" s="3" t="s">
        <v>1948</v>
      </c>
      <c r="C910" s="3" t="s">
        <v>9</v>
      </c>
      <c r="D910" s="3" t="s">
        <v>5</v>
      </c>
      <c r="E910" s="3" t="s">
        <v>10</v>
      </c>
      <c r="F910" s="3" t="s">
        <v>1702</v>
      </c>
      <c r="G910" s="3" t="s">
        <v>1703</v>
      </c>
      <c r="H910" s="4">
        <v>1551.4</v>
      </c>
      <c r="I910" s="3" t="s">
        <v>11</v>
      </c>
    </row>
    <row r="911" spans="1:9" x14ac:dyDescent="0.35">
      <c r="A911" s="3">
        <v>103407488</v>
      </c>
      <c r="B911" s="3" t="s">
        <v>1949</v>
      </c>
      <c r="C911" s="3" t="s">
        <v>9</v>
      </c>
      <c r="D911" s="3" t="s">
        <v>5</v>
      </c>
      <c r="E911" s="3" t="s">
        <v>10</v>
      </c>
      <c r="F911" s="3" t="s">
        <v>1950</v>
      </c>
      <c r="G911" s="3" t="s">
        <v>1951</v>
      </c>
      <c r="H911" s="5">
        <v>3999</v>
      </c>
      <c r="I911" s="3" t="s">
        <v>11</v>
      </c>
    </row>
    <row r="912" spans="1:9" x14ac:dyDescent="0.35">
      <c r="A912" s="3">
        <v>103407483</v>
      </c>
      <c r="B912" s="3" t="s">
        <v>1952</v>
      </c>
      <c r="C912" s="3" t="s">
        <v>9</v>
      </c>
      <c r="D912" s="3" t="s">
        <v>5</v>
      </c>
      <c r="E912" s="3" t="s">
        <v>10</v>
      </c>
      <c r="F912" s="3" t="s">
        <v>1953</v>
      </c>
      <c r="G912" s="3" t="s">
        <v>1954</v>
      </c>
      <c r="H912" s="4">
        <v>3590.14</v>
      </c>
      <c r="I912" s="3" t="s">
        <v>11</v>
      </c>
    </row>
    <row r="913" spans="1:9" x14ac:dyDescent="0.35">
      <c r="A913" s="3">
        <v>103407482</v>
      </c>
      <c r="B913" s="3" t="s">
        <v>1955</v>
      </c>
      <c r="C913" s="3" t="s">
        <v>9</v>
      </c>
      <c r="D913" s="3" t="s">
        <v>5</v>
      </c>
      <c r="E913" s="3" t="s">
        <v>10</v>
      </c>
      <c r="F913" s="3" t="s">
        <v>1956</v>
      </c>
      <c r="G913" s="3" t="s">
        <v>1957</v>
      </c>
      <c r="H913" s="4">
        <v>2241.0500000000002</v>
      </c>
      <c r="I913" s="3" t="s">
        <v>11</v>
      </c>
    </row>
    <row r="914" spans="1:9" x14ac:dyDescent="0.35">
      <c r="A914" s="3">
        <v>103407481</v>
      </c>
      <c r="B914" s="3" t="s">
        <v>1958</v>
      </c>
      <c r="C914" s="3" t="s">
        <v>9</v>
      </c>
      <c r="D914" s="3" t="s">
        <v>5</v>
      </c>
      <c r="E914" s="3" t="s">
        <v>10</v>
      </c>
      <c r="F914" s="3" t="s">
        <v>1959</v>
      </c>
      <c r="G914" s="3" t="s">
        <v>1960</v>
      </c>
      <c r="H914" s="3">
        <v>629</v>
      </c>
      <c r="I914" s="3" t="s">
        <v>11</v>
      </c>
    </row>
    <row r="915" spans="1:9" x14ac:dyDescent="0.35">
      <c r="A915" s="3">
        <v>103407480</v>
      </c>
      <c r="B915" s="3" t="s">
        <v>1961</v>
      </c>
      <c r="C915" s="3" t="s">
        <v>9</v>
      </c>
      <c r="D915" s="3" t="s">
        <v>5</v>
      </c>
      <c r="E915" s="3" t="s">
        <v>10</v>
      </c>
      <c r="F915" s="3" t="s">
        <v>1962</v>
      </c>
      <c r="G915" s="3" t="s">
        <v>1963</v>
      </c>
      <c r="H915" s="5">
        <v>2199</v>
      </c>
      <c r="I915" s="3" t="s">
        <v>11</v>
      </c>
    </row>
    <row r="916" spans="1:9" x14ac:dyDescent="0.35">
      <c r="A916" s="3">
        <v>103407478</v>
      </c>
      <c r="B916" s="3" t="s">
        <v>1964</v>
      </c>
      <c r="C916" s="3" t="s">
        <v>9</v>
      </c>
      <c r="D916" s="3" t="s">
        <v>5</v>
      </c>
      <c r="E916" s="3" t="s">
        <v>12</v>
      </c>
      <c r="F916" s="3" t="s">
        <v>1965</v>
      </c>
      <c r="G916" s="3" t="s">
        <v>1966</v>
      </c>
      <c r="H916" s="5">
        <v>2549</v>
      </c>
      <c r="I916" s="3" t="s">
        <v>11</v>
      </c>
    </row>
    <row r="917" spans="1:9" x14ac:dyDescent="0.35">
      <c r="A917" s="3">
        <v>103407381</v>
      </c>
      <c r="B917" s="3" t="s">
        <v>1967</v>
      </c>
      <c r="C917" s="3" t="s">
        <v>9</v>
      </c>
      <c r="D917" s="3" t="s">
        <v>5</v>
      </c>
      <c r="E917" s="3" t="s">
        <v>10</v>
      </c>
      <c r="F917" s="3" t="s">
        <v>1968</v>
      </c>
      <c r="G917" s="3" t="s">
        <v>1969</v>
      </c>
      <c r="H917" s="3">
        <v>675.97</v>
      </c>
      <c r="I917" s="3" t="s">
        <v>11</v>
      </c>
    </row>
    <row r="918" spans="1:9" x14ac:dyDescent="0.35">
      <c r="A918" s="3">
        <v>103407475</v>
      </c>
      <c r="B918" s="3" t="s">
        <v>1970</v>
      </c>
      <c r="C918" s="3" t="s">
        <v>9</v>
      </c>
      <c r="D918" s="3" t="s">
        <v>5</v>
      </c>
      <c r="E918" s="3" t="s">
        <v>12</v>
      </c>
      <c r="F918" s="3" t="s">
        <v>1971</v>
      </c>
      <c r="G918" s="3" t="s">
        <v>1972</v>
      </c>
      <c r="H918" s="3">
        <v>489</v>
      </c>
      <c r="I918" s="3" t="s">
        <v>11</v>
      </c>
    </row>
    <row r="919" spans="1:9" x14ac:dyDescent="0.35">
      <c r="A919" s="3">
        <v>103407377</v>
      </c>
      <c r="B919" s="3" t="s">
        <v>1970</v>
      </c>
      <c r="C919" s="3" t="s">
        <v>9</v>
      </c>
      <c r="D919" s="3" t="s">
        <v>5</v>
      </c>
      <c r="E919" s="3" t="s">
        <v>10</v>
      </c>
      <c r="F919" s="3" t="s">
        <v>1973</v>
      </c>
      <c r="G919" s="3" t="s">
        <v>1974</v>
      </c>
      <c r="H919" s="4">
        <v>4321.55</v>
      </c>
      <c r="I919" s="3" t="s">
        <v>11</v>
      </c>
    </row>
    <row r="920" spans="1:9" x14ac:dyDescent="0.35">
      <c r="A920" s="3">
        <v>103407376</v>
      </c>
      <c r="B920" s="3" t="s">
        <v>1975</v>
      </c>
      <c r="C920" s="3" t="s">
        <v>9</v>
      </c>
      <c r="D920" s="3" t="s">
        <v>5</v>
      </c>
      <c r="E920" s="3" t="s">
        <v>10</v>
      </c>
      <c r="F920" s="3" t="s">
        <v>1976</v>
      </c>
      <c r="G920" s="3" t="s">
        <v>1977</v>
      </c>
      <c r="H920" s="4">
        <v>1984.55</v>
      </c>
      <c r="I920" s="3" t="s">
        <v>11</v>
      </c>
    </row>
    <row r="921" spans="1:9" x14ac:dyDescent="0.35">
      <c r="A921" s="3">
        <v>103407374</v>
      </c>
      <c r="B921" s="3" t="s">
        <v>1978</v>
      </c>
      <c r="C921" s="3" t="s">
        <v>9</v>
      </c>
      <c r="D921" s="3" t="s">
        <v>5</v>
      </c>
      <c r="E921" s="3" t="s">
        <v>10</v>
      </c>
      <c r="F921" s="3" t="s">
        <v>1979</v>
      </c>
      <c r="G921" s="3" t="s">
        <v>1980</v>
      </c>
      <c r="H921" s="4">
        <v>1300.55</v>
      </c>
      <c r="I921" s="3" t="s">
        <v>11</v>
      </c>
    </row>
    <row r="922" spans="1:9" x14ac:dyDescent="0.35">
      <c r="A922" s="3">
        <v>103407474</v>
      </c>
      <c r="B922" s="3" t="s">
        <v>1981</v>
      </c>
      <c r="C922" s="3" t="s">
        <v>9</v>
      </c>
      <c r="D922" s="3" t="s">
        <v>5</v>
      </c>
      <c r="E922" s="3" t="s">
        <v>10</v>
      </c>
      <c r="F922" s="3" t="s">
        <v>1982</v>
      </c>
      <c r="G922" s="3" t="s">
        <v>1983</v>
      </c>
      <c r="H922" s="5">
        <v>1259</v>
      </c>
      <c r="I922" s="3" t="s">
        <v>11</v>
      </c>
    </row>
    <row r="923" spans="1:9" x14ac:dyDescent="0.35">
      <c r="A923" s="3">
        <v>103407466</v>
      </c>
      <c r="B923" s="3" t="s">
        <v>1984</v>
      </c>
      <c r="C923" s="3" t="s">
        <v>9</v>
      </c>
      <c r="D923" s="3" t="s">
        <v>5</v>
      </c>
      <c r="E923" s="3" t="s">
        <v>10</v>
      </c>
      <c r="F923" s="3" t="s">
        <v>1985</v>
      </c>
      <c r="G923" s="3" t="s">
        <v>1986</v>
      </c>
      <c r="H923" s="5">
        <v>4199</v>
      </c>
      <c r="I923" s="3" t="s">
        <v>11</v>
      </c>
    </row>
    <row r="924" spans="1:9" x14ac:dyDescent="0.35">
      <c r="A924" s="3">
        <v>103407367</v>
      </c>
      <c r="B924" s="3" t="s">
        <v>1987</v>
      </c>
      <c r="C924" s="3" t="s">
        <v>9</v>
      </c>
      <c r="D924" s="3" t="s">
        <v>5</v>
      </c>
      <c r="E924" s="3" t="s">
        <v>12</v>
      </c>
      <c r="F924" s="3" t="s">
        <v>1988</v>
      </c>
      <c r="G924" s="3" t="s">
        <v>1989</v>
      </c>
      <c r="H924" s="5">
        <v>9999</v>
      </c>
      <c r="I924" s="3" t="s">
        <v>11</v>
      </c>
    </row>
    <row r="925" spans="1:9" x14ac:dyDescent="0.35">
      <c r="A925" s="3">
        <v>103407365</v>
      </c>
      <c r="B925" s="3" t="s">
        <v>1990</v>
      </c>
      <c r="C925" s="3" t="s">
        <v>9</v>
      </c>
      <c r="D925" s="3" t="s">
        <v>5</v>
      </c>
      <c r="E925" s="3" t="s">
        <v>10</v>
      </c>
      <c r="F925" s="3" t="s">
        <v>1702</v>
      </c>
      <c r="G925" s="3" t="s">
        <v>1703</v>
      </c>
      <c r="H925" s="4">
        <v>2307.69</v>
      </c>
      <c r="I925" s="3" t="s">
        <v>11</v>
      </c>
    </row>
    <row r="926" spans="1:9" x14ac:dyDescent="0.35">
      <c r="A926" s="3">
        <v>103407264</v>
      </c>
      <c r="B926" s="3" t="s">
        <v>1991</v>
      </c>
      <c r="C926" s="3" t="s">
        <v>9</v>
      </c>
      <c r="D926" s="3" t="s">
        <v>5</v>
      </c>
      <c r="E926" s="3" t="s">
        <v>10</v>
      </c>
      <c r="F926" s="3" t="s">
        <v>1992</v>
      </c>
      <c r="G926" s="3" t="s">
        <v>1993</v>
      </c>
      <c r="H926" s="4">
        <v>1406.09</v>
      </c>
      <c r="I926" s="3" t="s">
        <v>11</v>
      </c>
    </row>
    <row r="927" spans="1:9" x14ac:dyDescent="0.35">
      <c r="A927" s="3">
        <v>103407363</v>
      </c>
      <c r="B927" s="3" t="s">
        <v>1994</v>
      </c>
      <c r="C927" s="3" t="s">
        <v>9</v>
      </c>
      <c r="D927" s="3" t="s">
        <v>5</v>
      </c>
      <c r="E927" s="3" t="s">
        <v>10</v>
      </c>
      <c r="F927" s="3" t="s">
        <v>1995</v>
      </c>
      <c r="G927" s="3" t="s">
        <v>1996</v>
      </c>
      <c r="H927" s="5">
        <v>1599</v>
      </c>
      <c r="I927" s="3" t="s">
        <v>11</v>
      </c>
    </row>
    <row r="928" spans="1:9" x14ac:dyDescent="0.35">
      <c r="A928" s="3">
        <v>103407361</v>
      </c>
      <c r="B928" s="3" t="s">
        <v>1997</v>
      </c>
      <c r="C928" s="3" t="s">
        <v>9</v>
      </c>
      <c r="D928" s="3" t="s">
        <v>5</v>
      </c>
      <c r="E928" s="3" t="s">
        <v>10</v>
      </c>
      <c r="F928" s="3" t="s">
        <v>1998</v>
      </c>
      <c r="G928" s="3" t="s">
        <v>1999</v>
      </c>
      <c r="H928" s="5">
        <v>3499</v>
      </c>
      <c r="I928" s="3" t="s">
        <v>11</v>
      </c>
    </row>
    <row r="929" spans="1:9" x14ac:dyDescent="0.35">
      <c r="A929" s="3">
        <v>103407360</v>
      </c>
      <c r="B929" s="3" t="s">
        <v>2000</v>
      </c>
      <c r="C929" s="3" t="s">
        <v>9</v>
      </c>
      <c r="D929" s="3" t="s">
        <v>5</v>
      </c>
      <c r="E929" s="3" t="s">
        <v>10</v>
      </c>
      <c r="F929" s="3" t="s">
        <v>2001</v>
      </c>
      <c r="G929" s="3" t="s">
        <v>2002</v>
      </c>
      <c r="H929" s="5">
        <v>2999</v>
      </c>
      <c r="I929" s="3" t="s">
        <v>11</v>
      </c>
    </row>
    <row r="930" spans="1:9" x14ac:dyDescent="0.35">
      <c r="A930" s="3">
        <v>103407349</v>
      </c>
      <c r="B930" s="3" t="s">
        <v>2003</v>
      </c>
      <c r="C930" s="3" t="s">
        <v>9</v>
      </c>
      <c r="D930" s="3" t="s">
        <v>5</v>
      </c>
      <c r="E930" s="3" t="s">
        <v>10</v>
      </c>
      <c r="F930" s="3" t="s">
        <v>1847</v>
      </c>
      <c r="G930" s="3" t="s">
        <v>1848</v>
      </c>
      <c r="H930" s="3">
        <v>797.05</v>
      </c>
      <c r="I930" s="3" t="s">
        <v>11</v>
      </c>
    </row>
    <row r="931" spans="1:9" x14ac:dyDescent="0.35">
      <c r="A931" s="3">
        <v>103407253</v>
      </c>
      <c r="B931" s="3" t="s">
        <v>2004</v>
      </c>
      <c r="C931" s="3" t="s">
        <v>9</v>
      </c>
      <c r="D931" s="3" t="s">
        <v>5</v>
      </c>
      <c r="E931" s="3" t="s">
        <v>10</v>
      </c>
      <c r="F931" s="3" t="s">
        <v>2005</v>
      </c>
      <c r="G931" s="3" t="s">
        <v>2006</v>
      </c>
      <c r="H931" s="3">
        <v>329</v>
      </c>
      <c r="I931" s="3" t="s">
        <v>13</v>
      </c>
    </row>
    <row r="932" spans="1:9" x14ac:dyDescent="0.35">
      <c r="A932" s="3">
        <v>103407251</v>
      </c>
      <c r="B932" s="3" t="s">
        <v>2007</v>
      </c>
      <c r="C932" s="3" t="s">
        <v>9</v>
      </c>
      <c r="D932" s="3" t="s">
        <v>5</v>
      </c>
      <c r="E932" s="3" t="s">
        <v>10</v>
      </c>
      <c r="F932" s="3" t="s">
        <v>2008</v>
      </c>
      <c r="G932" s="3" t="s">
        <v>2009</v>
      </c>
      <c r="H932" s="4">
        <v>3133.1</v>
      </c>
      <c r="I932" s="3" t="s">
        <v>11</v>
      </c>
    </row>
    <row r="933" spans="1:9" x14ac:dyDescent="0.35">
      <c r="A933" s="3">
        <v>103407248</v>
      </c>
      <c r="B933" s="3" t="s">
        <v>2010</v>
      </c>
      <c r="C933" s="3" t="s">
        <v>9</v>
      </c>
      <c r="D933" s="3" t="s">
        <v>5</v>
      </c>
      <c r="E933" s="3" t="s">
        <v>10</v>
      </c>
      <c r="F933" s="3" t="s">
        <v>2011</v>
      </c>
      <c r="G933" s="3" t="s">
        <v>2012</v>
      </c>
      <c r="H933" s="4">
        <v>2706.6</v>
      </c>
      <c r="I933" s="3" t="s">
        <v>11</v>
      </c>
    </row>
    <row r="934" spans="1:9" x14ac:dyDescent="0.35">
      <c r="A934" s="3">
        <v>103407328</v>
      </c>
      <c r="B934" s="3" t="s">
        <v>2010</v>
      </c>
      <c r="C934" s="3" t="s">
        <v>9</v>
      </c>
      <c r="D934" s="3" t="s">
        <v>5</v>
      </c>
      <c r="E934" s="3" t="s">
        <v>10</v>
      </c>
      <c r="F934" s="3" t="s">
        <v>2013</v>
      </c>
      <c r="G934" s="3" t="s">
        <v>2014</v>
      </c>
      <c r="H934" s="5">
        <v>3499</v>
      </c>
      <c r="I934" s="3" t="s">
        <v>11</v>
      </c>
    </row>
    <row r="935" spans="1:9" x14ac:dyDescent="0.35">
      <c r="A935" s="3">
        <v>103407245</v>
      </c>
      <c r="B935" s="3" t="s">
        <v>2015</v>
      </c>
      <c r="C935" s="3" t="s">
        <v>9</v>
      </c>
      <c r="D935" s="3" t="s">
        <v>5</v>
      </c>
      <c r="E935" s="3" t="s">
        <v>10</v>
      </c>
      <c r="F935" s="3" t="s">
        <v>2016</v>
      </c>
      <c r="G935" s="3" t="s">
        <v>2017</v>
      </c>
      <c r="H935" s="5">
        <v>1959</v>
      </c>
      <c r="I935" s="3" t="s">
        <v>11</v>
      </c>
    </row>
    <row r="936" spans="1:9" x14ac:dyDescent="0.35">
      <c r="A936" s="3">
        <v>103407240</v>
      </c>
      <c r="B936" s="3" t="s">
        <v>2018</v>
      </c>
      <c r="C936" s="3" t="s">
        <v>9</v>
      </c>
      <c r="D936" s="3" t="s">
        <v>5</v>
      </c>
      <c r="E936" s="3" t="s">
        <v>10</v>
      </c>
      <c r="F936" s="3" t="s">
        <v>2019</v>
      </c>
      <c r="G936" s="3" t="s">
        <v>2020</v>
      </c>
      <c r="H936" s="4">
        <v>3419.14</v>
      </c>
      <c r="I936" s="3" t="s">
        <v>11</v>
      </c>
    </row>
    <row r="937" spans="1:9" x14ac:dyDescent="0.35">
      <c r="A937" s="3">
        <v>103407234</v>
      </c>
      <c r="B937" s="3" t="s">
        <v>2021</v>
      </c>
      <c r="C937" s="3" t="s">
        <v>9</v>
      </c>
      <c r="D937" s="3" t="s">
        <v>5</v>
      </c>
      <c r="E937" s="3" t="s">
        <v>12</v>
      </c>
      <c r="F937" s="3" t="s">
        <v>2022</v>
      </c>
      <c r="G937" s="3" t="s">
        <v>2023</v>
      </c>
      <c r="H937" s="4">
        <v>1007.1</v>
      </c>
      <c r="I937" s="3" t="s">
        <v>11</v>
      </c>
    </row>
    <row r="938" spans="1:9" x14ac:dyDescent="0.35">
      <c r="A938" s="3">
        <v>103407228</v>
      </c>
      <c r="B938" s="3" t="s">
        <v>2024</v>
      </c>
      <c r="C938" s="3" t="s">
        <v>9</v>
      </c>
      <c r="D938" s="3" t="s">
        <v>5</v>
      </c>
      <c r="E938" s="3" t="s">
        <v>10</v>
      </c>
      <c r="F938" s="3" t="s">
        <v>2025</v>
      </c>
      <c r="G938" s="3" t="s">
        <v>2026</v>
      </c>
      <c r="H938" s="5">
        <v>1039</v>
      </c>
      <c r="I938" s="3" t="s">
        <v>11</v>
      </c>
    </row>
    <row r="939" spans="1:9" x14ac:dyDescent="0.35">
      <c r="A939" s="3">
        <v>103407313</v>
      </c>
      <c r="B939" s="3" t="s">
        <v>2027</v>
      </c>
      <c r="C939" s="3" t="s">
        <v>9</v>
      </c>
      <c r="D939" s="3" t="s">
        <v>5</v>
      </c>
      <c r="E939" s="3" t="s">
        <v>10</v>
      </c>
      <c r="F939" s="3" t="s">
        <v>2028</v>
      </c>
      <c r="G939" s="3" t="s">
        <v>2029</v>
      </c>
      <c r="H939" s="4">
        <v>2089.0500000000002</v>
      </c>
      <c r="I939" s="3" t="s">
        <v>11</v>
      </c>
    </row>
    <row r="940" spans="1:9" x14ac:dyDescent="0.35">
      <c r="A940" s="3">
        <v>103407312</v>
      </c>
      <c r="B940" s="3" t="s">
        <v>2030</v>
      </c>
      <c r="C940" s="3" t="s">
        <v>9</v>
      </c>
      <c r="D940" s="3" t="s">
        <v>5</v>
      </c>
      <c r="E940" s="3" t="s">
        <v>10</v>
      </c>
      <c r="F940" s="3" t="s">
        <v>2031</v>
      </c>
      <c r="G940" s="3" t="s">
        <v>2032</v>
      </c>
      <c r="H940" s="3">
        <v>759.05</v>
      </c>
      <c r="I940" s="3" t="s">
        <v>11</v>
      </c>
    </row>
    <row r="941" spans="1:9" x14ac:dyDescent="0.35">
      <c r="A941" s="3">
        <v>103407311</v>
      </c>
      <c r="B941" s="3" t="s">
        <v>2033</v>
      </c>
      <c r="C941" s="3" t="s">
        <v>9</v>
      </c>
      <c r="D941" s="3" t="s">
        <v>5</v>
      </c>
      <c r="E941" s="3" t="s">
        <v>10</v>
      </c>
      <c r="F941" s="3" t="s">
        <v>2034</v>
      </c>
      <c r="G941" s="3" t="s">
        <v>2035</v>
      </c>
      <c r="H941" s="4">
        <v>2241.0500000000002</v>
      </c>
      <c r="I941" s="3" t="s">
        <v>11</v>
      </c>
    </row>
    <row r="942" spans="1:9" x14ac:dyDescent="0.35">
      <c r="A942" s="3">
        <v>103407310</v>
      </c>
      <c r="B942" s="3" t="s">
        <v>2036</v>
      </c>
      <c r="C942" s="3" t="s">
        <v>9</v>
      </c>
      <c r="D942" s="3" t="s">
        <v>5</v>
      </c>
      <c r="E942" s="3" t="s">
        <v>10</v>
      </c>
      <c r="F942" s="3" t="s">
        <v>2037</v>
      </c>
      <c r="G942" s="3" t="s">
        <v>2038</v>
      </c>
      <c r="H942" s="4">
        <v>2136.5500000000002</v>
      </c>
      <c r="I942" s="3" t="s">
        <v>11</v>
      </c>
    </row>
    <row r="943" spans="1:9" x14ac:dyDescent="0.35">
      <c r="A943" s="3">
        <v>103407309</v>
      </c>
      <c r="B943" s="3" t="s">
        <v>2039</v>
      </c>
      <c r="C943" s="3" t="s">
        <v>9</v>
      </c>
      <c r="D943" s="3" t="s">
        <v>5</v>
      </c>
      <c r="E943" s="3" t="s">
        <v>10</v>
      </c>
      <c r="F943" s="3" t="s">
        <v>2040</v>
      </c>
      <c r="G943" s="3" t="s">
        <v>2041</v>
      </c>
      <c r="H943" s="5">
        <v>3588</v>
      </c>
      <c r="I943" s="3" t="s">
        <v>11</v>
      </c>
    </row>
    <row r="944" spans="1:9" x14ac:dyDescent="0.35">
      <c r="A944" s="3">
        <v>103407226</v>
      </c>
      <c r="B944" s="3" t="s">
        <v>2042</v>
      </c>
      <c r="C944" s="3" t="s">
        <v>9</v>
      </c>
      <c r="D944" s="3" t="s">
        <v>5</v>
      </c>
      <c r="E944" s="3" t="s">
        <v>10</v>
      </c>
      <c r="F944" s="3" t="s">
        <v>2043</v>
      </c>
      <c r="G944" s="3" t="s">
        <v>2044</v>
      </c>
      <c r="H944" s="5">
        <v>1869</v>
      </c>
      <c r="I944" s="3" t="s">
        <v>11</v>
      </c>
    </row>
    <row r="945" spans="1:9" x14ac:dyDescent="0.35">
      <c r="A945" s="3">
        <v>103407225</v>
      </c>
      <c r="B945" s="3" t="s">
        <v>2045</v>
      </c>
      <c r="C945" s="3" t="s">
        <v>9</v>
      </c>
      <c r="D945" s="3" t="s">
        <v>5</v>
      </c>
      <c r="E945" s="3" t="s">
        <v>10</v>
      </c>
      <c r="F945" s="3" t="s">
        <v>2046</v>
      </c>
      <c r="G945" s="3" t="s">
        <v>2047</v>
      </c>
      <c r="H945" s="3">
        <v>559</v>
      </c>
      <c r="I945" s="3" t="s">
        <v>11</v>
      </c>
    </row>
    <row r="946" spans="1:9" x14ac:dyDescent="0.35">
      <c r="A946" s="3">
        <v>103407305</v>
      </c>
      <c r="B946" s="3" t="s">
        <v>2048</v>
      </c>
      <c r="C946" s="3" t="s">
        <v>9</v>
      </c>
      <c r="D946" s="3" t="s">
        <v>5</v>
      </c>
      <c r="E946" s="3" t="s">
        <v>10</v>
      </c>
      <c r="F946" s="3" t="s">
        <v>2049</v>
      </c>
      <c r="G946" s="3" t="s">
        <v>2050</v>
      </c>
      <c r="H946" s="5">
        <v>3899</v>
      </c>
      <c r="I946" s="3" t="s">
        <v>11</v>
      </c>
    </row>
    <row r="947" spans="1:9" x14ac:dyDescent="0.35">
      <c r="A947" s="3">
        <v>103407220</v>
      </c>
      <c r="B947" s="3" t="s">
        <v>2051</v>
      </c>
      <c r="C947" s="3" t="s">
        <v>9</v>
      </c>
      <c r="D947" s="3" t="s">
        <v>5</v>
      </c>
      <c r="E947" s="3" t="s">
        <v>10</v>
      </c>
      <c r="F947" s="3" t="s">
        <v>2052</v>
      </c>
      <c r="G947" s="3" t="s">
        <v>2053</v>
      </c>
      <c r="H947" s="5">
        <v>3019</v>
      </c>
      <c r="I947" s="3" t="s">
        <v>11</v>
      </c>
    </row>
    <row r="948" spans="1:9" x14ac:dyDescent="0.35">
      <c r="A948" s="3">
        <v>103407291</v>
      </c>
      <c r="B948" s="3" t="s">
        <v>2054</v>
      </c>
      <c r="C948" s="3" t="s">
        <v>9</v>
      </c>
      <c r="D948" s="3" t="s">
        <v>5</v>
      </c>
      <c r="E948" s="3" t="s">
        <v>10</v>
      </c>
      <c r="F948" s="3" t="s">
        <v>2055</v>
      </c>
      <c r="G948" s="3" t="s">
        <v>2056</v>
      </c>
      <c r="H948" s="5">
        <v>2249</v>
      </c>
      <c r="I948" s="3" t="s">
        <v>11</v>
      </c>
    </row>
    <row r="949" spans="1:9" x14ac:dyDescent="0.35">
      <c r="A949" s="3">
        <v>103407213</v>
      </c>
      <c r="B949" s="3" t="s">
        <v>2057</v>
      </c>
      <c r="C949" s="3" t="s">
        <v>9</v>
      </c>
      <c r="D949" s="3" t="s">
        <v>5</v>
      </c>
      <c r="E949" s="3" t="s">
        <v>10</v>
      </c>
      <c r="F949" s="3" t="s">
        <v>2058</v>
      </c>
      <c r="G949" s="3" t="s">
        <v>2059</v>
      </c>
      <c r="H949" s="5">
        <v>2309</v>
      </c>
      <c r="I949" s="3" t="s">
        <v>11</v>
      </c>
    </row>
    <row r="950" spans="1:9" x14ac:dyDescent="0.35">
      <c r="A950" s="3">
        <v>103407289</v>
      </c>
      <c r="B950" s="3" t="s">
        <v>2060</v>
      </c>
      <c r="C950" s="3" t="s">
        <v>9</v>
      </c>
      <c r="D950" s="3" t="s">
        <v>5</v>
      </c>
      <c r="E950" s="3" t="s">
        <v>12</v>
      </c>
      <c r="F950" s="3" t="s">
        <v>283</v>
      </c>
      <c r="G950" s="3" t="s">
        <v>284</v>
      </c>
      <c r="H950" s="3">
        <v>809</v>
      </c>
      <c r="I950" s="3" t="s">
        <v>11</v>
      </c>
    </row>
    <row r="951" spans="1:9" x14ac:dyDescent="0.35">
      <c r="A951" s="3">
        <v>103407212</v>
      </c>
      <c r="B951" s="3" t="s">
        <v>2061</v>
      </c>
      <c r="C951" s="3" t="s">
        <v>9</v>
      </c>
      <c r="D951" s="3" t="s">
        <v>5</v>
      </c>
      <c r="E951" s="3" t="s">
        <v>10</v>
      </c>
      <c r="F951" s="3" t="s">
        <v>2062</v>
      </c>
      <c r="G951" s="3" t="s">
        <v>2063</v>
      </c>
      <c r="H951" s="4">
        <v>2193.5500000000002</v>
      </c>
      <c r="I951" s="3" t="s">
        <v>11</v>
      </c>
    </row>
    <row r="952" spans="1:9" x14ac:dyDescent="0.35">
      <c r="A952" s="3">
        <v>103407288</v>
      </c>
      <c r="B952" s="3" t="s">
        <v>2064</v>
      </c>
      <c r="C952" s="3" t="s">
        <v>9</v>
      </c>
      <c r="D952" s="3" t="s">
        <v>5</v>
      </c>
      <c r="E952" s="3" t="s">
        <v>12</v>
      </c>
      <c r="F952" s="3" t="s">
        <v>2065</v>
      </c>
      <c r="G952" s="3" t="s">
        <v>2066</v>
      </c>
      <c r="H952" s="5">
        <v>2999</v>
      </c>
      <c r="I952" s="3" t="s">
        <v>11</v>
      </c>
    </row>
    <row r="953" spans="1:9" x14ac:dyDescent="0.35">
      <c r="A953" s="3">
        <v>103407210</v>
      </c>
      <c r="B953" s="3" t="s">
        <v>2067</v>
      </c>
      <c r="C953" s="3" t="s">
        <v>9</v>
      </c>
      <c r="D953" s="3" t="s">
        <v>5</v>
      </c>
      <c r="E953" s="3" t="s">
        <v>10</v>
      </c>
      <c r="F953" s="3" t="s">
        <v>2068</v>
      </c>
      <c r="G953" s="3" t="s">
        <v>2069</v>
      </c>
      <c r="H953" s="4">
        <v>1686.77</v>
      </c>
      <c r="I953" s="3" t="s">
        <v>11</v>
      </c>
    </row>
    <row r="954" spans="1:9" x14ac:dyDescent="0.35">
      <c r="A954" s="3">
        <v>103407209</v>
      </c>
      <c r="B954" s="3" t="s">
        <v>2070</v>
      </c>
      <c r="C954" s="3" t="s">
        <v>9</v>
      </c>
      <c r="D954" s="3" t="s">
        <v>5</v>
      </c>
      <c r="E954" s="3" t="s">
        <v>10</v>
      </c>
      <c r="F954" s="3" t="s">
        <v>2071</v>
      </c>
      <c r="G954" s="3" t="s">
        <v>2072</v>
      </c>
      <c r="H954" s="3">
        <v>439</v>
      </c>
      <c r="I954" s="3" t="s">
        <v>11</v>
      </c>
    </row>
    <row r="955" spans="1:9" x14ac:dyDescent="0.35">
      <c r="A955" s="3">
        <v>103407204</v>
      </c>
      <c r="B955" s="3" t="s">
        <v>2073</v>
      </c>
      <c r="C955" s="3" t="s">
        <v>9</v>
      </c>
      <c r="D955" s="3" t="s">
        <v>5</v>
      </c>
      <c r="E955" s="3" t="s">
        <v>10</v>
      </c>
      <c r="F955" s="3" t="s">
        <v>1082</v>
      </c>
      <c r="G955" s="3" t="s">
        <v>1083</v>
      </c>
      <c r="H955" s="4">
        <v>1329.05</v>
      </c>
      <c r="I955" s="3" t="s">
        <v>11</v>
      </c>
    </row>
    <row r="956" spans="1:9" x14ac:dyDescent="0.35">
      <c r="A956" s="3">
        <v>103407202</v>
      </c>
      <c r="B956" s="3" t="s">
        <v>2074</v>
      </c>
      <c r="C956" s="3" t="s">
        <v>9</v>
      </c>
      <c r="D956" s="3" t="s">
        <v>5</v>
      </c>
      <c r="E956" s="3" t="s">
        <v>10</v>
      </c>
      <c r="F956" s="3" t="s">
        <v>2075</v>
      </c>
      <c r="G956" s="3" t="s">
        <v>2076</v>
      </c>
      <c r="H956" s="4">
        <v>1196.05</v>
      </c>
      <c r="I956" s="3" t="s">
        <v>11</v>
      </c>
    </row>
    <row r="957" spans="1:9" x14ac:dyDescent="0.35">
      <c r="A957" s="3">
        <v>103407283</v>
      </c>
      <c r="B957" s="3" t="s">
        <v>2077</v>
      </c>
      <c r="C957" s="3" t="s">
        <v>9</v>
      </c>
      <c r="D957" s="3" t="s">
        <v>5</v>
      </c>
      <c r="E957" s="3" t="s">
        <v>10</v>
      </c>
      <c r="F957" s="3" t="s">
        <v>2078</v>
      </c>
      <c r="G957" s="3" t="s">
        <v>2079</v>
      </c>
      <c r="H957" s="5">
        <v>3599</v>
      </c>
      <c r="I957" s="3" t="s">
        <v>11</v>
      </c>
    </row>
    <row r="958" spans="1:9" x14ac:dyDescent="0.35">
      <c r="A958" s="3">
        <v>103407281</v>
      </c>
      <c r="B958" s="3" t="s">
        <v>2080</v>
      </c>
      <c r="C958" s="3" t="s">
        <v>9</v>
      </c>
      <c r="D958" s="3" t="s">
        <v>5</v>
      </c>
      <c r="E958" s="3" t="s">
        <v>10</v>
      </c>
      <c r="F958" s="3" t="s">
        <v>2081</v>
      </c>
      <c r="G958" s="3" t="s">
        <v>2082</v>
      </c>
      <c r="H958" s="4">
        <v>2155.5500000000002</v>
      </c>
      <c r="I958" s="3" t="s">
        <v>11</v>
      </c>
    </row>
    <row r="959" spans="1:9" x14ac:dyDescent="0.35">
      <c r="A959" s="3">
        <v>103407280</v>
      </c>
      <c r="B959" s="3" t="s">
        <v>2083</v>
      </c>
      <c r="C959" s="3" t="s">
        <v>9</v>
      </c>
      <c r="D959" s="3" t="s">
        <v>5</v>
      </c>
      <c r="E959" s="3" t="s">
        <v>10</v>
      </c>
      <c r="F959" s="3" t="s">
        <v>2084</v>
      </c>
      <c r="G959" s="3" t="s">
        <v>2085</v>
      </c>
      <c r="H959" s="5">
        <v>1199</v>
      </c>
      <c r="I959" s="3" t="s">
        <v>11</v>
      </c>
    </row>
    <row r="960" spans="1:9" x14ac:dyDescent="0.35">
      <c r="A960" s="3">
        <v>103407198</v>
      </c>
      <c r="B960" s="3" t="s">
        <v>2086</v>
      </c>
      <c r="C960" s="3" t="s">
        <v>9</v>
      </c>
      <c r="D960" s="3" t="s">
        <v>5</v>
      </c>
      <c r="E960" s="3" t="s">
        <v>10</v>
      </c>
      <c r="F960" s="3" t="s">
        <v>1425</v>
      </c>
      <c r="G960" s="3" t="s">
        <v>1426</v>
      </c>
      <c r="H960" s="3">
        <v>854.14</v>
      </c>
      <c r="I960" s="3" t="s">
        <v>11</v>
      </c>
    </row>
    <row r="961" spans="1:9" x14ac:dyDescent="0.35">
      <c r="A961" s="3">
        <v>103407278</v>
      </c>
      <c r="B961" s="3" t="s">
        <v>2087</v>
      </c>
      <c r="C961" s="3" t="s">
        <v>9</v>
      </c>
      <c r="D961" s="3" t="s">
        <v>5</v>
      </c>
      <c r="E961" s="3" t="s">
        <v>10</v>
      </c>
      <c r="F961" s="3" t="s">
        <v>2088</v>
      </c>
      <c r="G961" s="3" t="s">
        <v>2089</v>
      </c>
      <c r="H961" s="4">
        <v>1424.05</v>
      </c>
      <c r="I961" s="3" t="s">
        <v>11</v>
      </c>
    </row>
    <row r="962" spans="1:9" x14ac:dyDescent="0.35">
      <c r="A962" s="3">
        <v>103407196</v>
      </c>
      <c r="B962" s="3" t="s">
        <v>2090</v>
      </c>
      <c r="C962" s="3" t="s">
        <v>9</v>
      </c>
      <c r="D962" s="3" t="s">
        <v>5</v>
      </c>
      <c r="E962" s="3" t="s">
        <v>10</v>
      </c>
      <c r="F962" s="3" t="s">
        <v>2091</v>
      </c>
      <c r="G962" s="3" t="s">
        <v>2092</v>
      </c>
      <c r="H962" s="5">
        <v>4668</v>
      </c>
      <c r="I962" s="3" t="s">
        <v>11</v>
      </c>
    </row>
    <row r="963" spans="1:9" x14ac:dyDescent="0.35">
      <c r="A963" s="3">
        <v>103407276</v>
      </c>
      <c r="B963" s="3" t="s">
        <v>2093</v>
      </c>
      <c r="C963" s="3" t="s">
        <v>9</v>
      </c>
      <c r="D963" s="3" t="s">
        <v>5</v>
      </c>
      <c r="E963" s="3" t="s">
        <v>10</v>
      </c>
      <c r="F963" s="3" t="s">
        <v>2094</v>
      </c>
      <c r="G963" s="3" t="s">
        <v>2095</v>
      </c>
      <c r="H963" s="4">
        <v>3704.05</v>
      </c>
      <c r="I963" s="3" t="s">
        <v>11</v>
      </c>
    </row>
    <row r="964" spans="1:9" x14ac:dyDescent="0.35">
      <c r="A964" s="3">
        <v>103407275</v>
      </c>
      <c r="B964" s="3" t="s">
        <v>2096</v>
      </c>
      <c r="C964" s="3" t="s">
        <v>9</v>
      </c>
      <c r="D964" s="3" t="s">
        <v>5</v>
      </c>
      <c r="E964" s="3" t="s">
        <v>10</v>
      </c>
      <c r="F964" s="3" t="s">
        <v>2097</v>
      </c>
      <c r="G964" s="3" t="s">
        <v>2098</v>
      </c>
      <c r="H964" s="5">
        <v>1259</v>
      </c>
      <c r="I964" s="3" t="s">
        <v>11</v>
      </c>
    </row>
    <row r="965" spans="1:9" x14ac:dyDescent="0.35">
      <c r="A965" s="3">
        <v>103407274</v>
      </c>
      <c r="B965" s="3" t="s">
        <v>2099</v>
      </c>
      <c r="C965" s="3" t="s">
        <v>9</v>
      </c>
      <c r="D965" s="3" t="s">
        <v>5</v>
      </c>
      <c r="E965" s="3" t="s">
        <v>10</v>
      </c>
      <c r="F965" s="3" t="s">
        <v>2100</v>
      </c>
      <c r="G965" s="3" t="s">
        <v>2101</v>
      </c>
      <c r="H965" s="5">
        <v>4199</v>
      </c>
      <c r="I965" s="3" t="s">
        <v>11</v>
      </c>
    </row>
    <row r="966" spans="1:9" x14ac:dyDescent="0.35">
      <c r="A966" s="3">
        <v>103407271</v>
      </c>
      <c r="B966" s="3" t="s">
        <v>2102</v>
      </c>
      <c r="C966" s="3" t="s">
        <v>9</v>
      </c>
      <c r="D966" s="3" t="s">
        <v>5</v>
      </c>
      <c r="E966" s="3" t="s">
        <v>10</v>
      </c>
      <c r="F966" s="3" t="s">
        <v>2103</v>
      </c>
      <c r="G966" s="3" t="s">
        <v>2104</v>
      </c>
      <c r="H966" s="5">
        <v>1489</v>
      </c>
      <c r="I966" s="3" t="s">
        <v>11</v>
      </c>
    </row>
    <row r="967" spans="1:9" x14ac:dyDescent="0.35">
      <c r="A967" s="3">
        <v>103407269</v>
      </c>
      <c r="B967" s="3" t="s">
        <v>2105</v>
      </c>
      <c r="C967" s="3" t="s">
        <v>9</v>
      </c>
      <c r="D967" s="3" t="s">
        <v>5</v>
      </c>
      <c r="E967" s="3" t="s">
        <v>10</v>
      </c>
      <c r="F967" s="3" t="s">
        <v>2106</v>
      </c>
      <c r="G967" s="3" t="s">
        <v>2107</v>
      </c>
      <c r="H967" s="4">
        <v>1823.05</v>
      </c>
      <c r="I967" s="3" t="s">
        <v>11</v>
      </c>
    </row>
    <row r="968" spans="1:9" x14ac:dyDescent="0.35">
      <c r="A968" s="3">
        <v>103407164</v>
      </c>
      <c r="B968" s="3" t="s">
        <v>2108</v>
      </c>
      <c r="C968" s="3" t="s">
        <v>9</v>
      </c>
      <c r="D968" s="3" t="s">
        <v>5</v>
      </c>
      <c r="E968" s="3" t="s">
        <v>10</v>
      </c>
      <c r="F968" s="3" t="s">
        <v>2109</v>
      </c>
      <c r="G968" s="3" t="s">
        <v>2110</v>
      </c>
      <c r="H968" s="5">
        <v>1249</v>
      </c>
      <c r="I968" s="3" t="s">
        <v>11</v>
      </c>
    </row>
    <row r="969" spans="1:9" x14ac:dyDescent="0.35">
      <c r="A969" s="3">
        <v>103407182</v>
      </c>
      <c r="B969" s="3" t="s">
        <v>2111</v>
      </c>
      <c r="C969" s="3" t="s">
        <v>9</v>
      </c>
      <c r="D969" s="3" t="s">
        <v>5</v>
      </c>
      <c r="E969" s="3" t="s">
        <v>10</v>
      </c>
      <c r="F969" s="3" t="s">
        <v>2112</v>
      </c>
      <c r="G969" s="3" t="s">
        <v>2113</v>
      </c>
      <c r="H969" s="5">
        <v>3849</v>
      </c>
      <c r="I969" s="3" t="s">
        <v>11</v>
      </c>
    </row>
    <row r="970" spans="1:9" x14ac:dyDescent="0.35">
      <c r="A970" s="3">
        <v>103407181</v>
      </c>
      <c r="B970" s="3" t="s">
        <v>2114</v>
      </c>
      <c r="C970" s="3" t="s">
        <v>9</v>
      </c>
      <c r="D970" s="3" t="s">
        <v>5</v>
      </c>
      <c r="E970" s="3" t="s">
        <v>10</v>
      </c>
      <c r="F970" s="3" t="s">
        <v>2115</v>
      </c>
      <c r="G970" s="3" t="s">
        <v>2116</v>
      </c>
      <c r="H970" s="4">
        <v>2136.5500000000002</v>
      </c>
      <c r="I970" s="3" t="s">
        <v>11</v>
      </c>
    </row>
    <row r="971" spans="1:9" x14ac:dyDescent="0.35">
      <c r="A971" s="3">
        <v>103407159</v>
      </c>
      <c r="B971" s="3" t="s">
        <v>2117</v>
      </c>
      <c r="C971" s="3" t="s">
        <v>9</v>
      </c>
      <c r="D971" s="3" t="s">
        <v>5</v>
      </c>
      <c r="E971" s="3" t="s">
        <v>10</v>
      </c>
      <c r="F971" s="3" t="s">
        <v>2118</v>
      </c>
      <c r="G971" s="3" t="s">
        <v>2119</v>
      </c>
      <c r="H971" s="4">
        <v>4559.05</v>
      </c>
      <c r="I971" s="3" t="s">
        <v>11</v>
      </c>
    </row>
    <row r="972" spans="1:9" x14ac:dyDescent="0.35">
      <c r="A972" s="3">
        <v>103407179</v>
      </c>
      <c r="B972" s="3" t="s">
        <v>2120</v>
      </c>
      <c r="C972" s="3" t="s">
        <v>9</v>
      </c>
      <c r="D972" s="3" t="s">
        <v>5</v>
      </c>
      <c r="E972" s="3" t="s">
        <v>10</v>
      </c>
      <c r="F972" s="3" t="s">
        <v>2121</v>
      </c>
      <c r="G972" s="3" t="s">
        <v>2122</v>
      </c>
      <c r="H972" s="4">
        <v>3913.05</v>
      </c>
      <c r="I972" s="3" t="s">
        <v>11</v>
      </c>
    </row>
    <row r="973" spans="1:9" x14ac:dyDescent="0.35">
      <c r="A973" s="3">
        <v>103407158</v>
      </c>
      <c r="B973" s="3" t="s">
        <v>2123</v>
      </c>
      <c r="C973" s="3" t="s">
        <v>9</v>
      </c>
      <c r="D973" s="3" t="s">
        <v>5</v>
      </c>
      <c r="E973" s="3" t="s">
        <v>10</v>
      </c>
      <c r="F973" s="3" t="s">
        <v>2124</v>
      </c>
      <c r="G973" s="3" t="s">
        <v>2125</v>
      </c>
      <c r="H973" s="3">
        <v>683.05</v>
      </c>
      <c r="I973" s="3" t="s">
        <v>11</v>
      </c>
    </row>
    <row r="974" spans="1:9" x14ac:dyDescent="0.35">
      <c r="A974" s="3">
        <v>103407146</v>
      </c>
      <c r="B974" s="3" t="s">
        <v>2126</v>
      </c>
      <c r="C974" s="3" t="s">
        <v>9</v>
      </c>
      <c r="D974" s="3" t="s">
        <v>5</v>
      </c>
      <c r="E974" s="3" t="s">
        <v>10</v>
      </c>
      <c r="F974" s="3" t="s">
        <v>2127</v>
      </c>
      <c r="G974" s="3" t="s">
        <v>2128</v>
      </c>
      <c r="H974" s="5">
        <v>1869</v>
      </c>
      <c r="I974" s="3" t="s">
        <v>11</v>
      </c>
    </row>
    <row r="975" spans="1:9" x14ac:dyDescent="0.35">
      <c r="A975" s="3">
        <v>103407055</v>
      </c>
      <c r="B975" s="3" t="s">
        <v>2129</v>
      </c>
      <c r="C975" s="3" t="s">
        <v>9</v>
      </c>
      <c r="D975" s="3" t="s">
        <v>5</v>
      </c>
      <c r="E975" s="3" t="s">
        <v>10</v>
      </c>
      <c r="F975" s="3" t="s">
        <v>2130</v>
      </c>
      <c r="G975" s="3" t="s">
        <v>2131</v>
      </c>
      <c r="H975" s="5">
        <v>2599</v>
      </c>
      <c r="I975" s="3" t="s">
        <v>11</v>
      </c>
    </row>
    <row r="976" spans="1:9" x14ac:dyDescent="0.35">
      <c r="A976" s="3">
        <v>103407054</v>
      </c>
      <c r="B976" s="3" t="s">
        <v>2132</v>
      </c>
      <c r="C976" s="3" t="s">
        <v>9</v>
      </c>
      <c r="D976" s="3" t="s">
        <v>5</v>
      </c>
      <c r="E976" s="3" t="s">
        <v>10</v>
      </c>
      <c r="F976" s="3" t="s">
        <v>2133</v>
      </c>
      <c r="G976" s="3" t="s">
        <v>2134</v>
      </c>
      <c r="H976" s="4">
        <v>1129.55</v>
      </c>
      <c r="I976" s="3" t="s">
        <v>11</v>
      </c>
    </row>
    <row r="977" spans="1:9" x14ac:dyDescent="0.35">
      <c r="A977" s="3">
        <v>103407143</v>
      </c>
      <c r="B977" s="3" t="s">
        <v>4780</v>
      </c>
      <c r="C977" s="3" t="s">
        <v>9</v>
      </c>
      <c r="D977" s="3" t="s">
        <v>5</v>
      </c>
      <c r="E977" s="3" t="s">
        <v>10</v>
      </c>
      <c r="F977" s="3" t="s">
        <v>4781</v>
      </c>
      <c r="G977" s="3" t="s">
        <v>4782</v>
      </c>
      <c r="H977" s="4">
        <v>1063.05</v>
      </c>
      <c r="I977" s="3" t="s">
        <v>13</v>
      </c>
    </row>
    <row r="978" spans="1:9" x14ac:dyDescent="0.35">
      <c r="A978" s="3">
        <v>103407142</v>
      </c>
      <c r="B978" s="3" t="s">
        <v>2135</v>
      </c>
      <c r="C978" s="3" t="s">
        <v>9</v>
      </c>
      <c r="D978" s="3" t="s">
        <v>5</v>
      </c>
      <c r="E978" s="3" t="s">
        <v>10</v>
      </c>
      <c r="F978" s="3" t="s">
        <v>2136</v>
      </c>
      <c r="G978" s="3" t="s">
        <v>2137</v>
      </c>
      <c r="H978" s="4">
        <v>3704.05</v>
      </c>
      <c r="I978" s="3" t="s">
        <v>11</v>
      </c>
    </row>
    <row r="979" spans="1:9" x14ac:dyDescent="0.35">
      <c r="A979" s="3">
        <v>103407049</v>
      </c>
      <c r="B979" s="3" t="s">
        <v>2138</v>
      </c>
      <c r="C979" s="3" t="s">
        <v>9</v>
      </c>
      <c r="D979" s="3" t="s">
        <v>5</v>
      </c>
      <c r="E979" s="3" t="s">
        <v>10</v>
      </c>
      <c r="F979" s="3" t="s">
        <v>2139</v>
      </c>
      <c r="G979" s="3" t="s">
        <v>2140</v>
      </c>
      <c r="H979" s="5">
        <v>3899</v>
      </c>
      <c r="I979" s="3" t="s">
        <v>11</v>
      </c>
    </row>
    <row r="980" spans="1:9" x14ac:dyDescent="0.35">
      <c r="A980" s="3">
        <v>103407139</v>
      </c>
      <c r="B980" s="3" t="s">
        <v>2141</v>
      </c>
      <c r="C980" s="3" t="s">
        <v>9</v>
      </c>
      <c r="D980" s="3" t="s">
        <v>5</v>
      </c>
      <c r="E980" s="3" t="s">
        <v>12</v>
      </c>
      <c r="F980" s="3" t="s">
        <v>2142</v>
      </c>
      <c r="G980" s="3" t="s">
        <v>2143</v>
      </c>
      <c r="H980" s="4">
        <v>4559.05</v>
      </c>
      <c r="I980" s="3" t="s">
        <v>11</v>
      </c>
    </row>
    <row r="981" spans="1:9" x14ac:dyDescent="0.35">
      <c r="A981" s="3">
        <v>103407137</v>
      </c>
      <c r="B981" s="3" t="s">
        <v>2144</v>
      </c>
      <c r="C981" s="3" t="s">
        <v>9</v>
      </c>
      <c r="D981" s="3" t="s">
        <v>5</v>
      </c>
      <c r="E981" s="3" t="s">
        <v>10</v>
      </c>
      <c r="F981" s="3" t="s">
        <v>2145</v>
      </c>
      <c r="G981" s="3" t="s">
        <v>2146</v>
      </c>
      <c r="H981" s="5">
        <v>3149</v>
      </c>
      <c r="I981" s="3" t="s">
        <v>11</v>
      </c>
    </row>
    <row r="982" spans="1:9" x14ac:dyDescent="0.35">
      <c r="A982" s="3">
        <v>103407045</v>
      </c>
      <c r="B982" s="3" t="s">
        <v>2147</v>
      </c>
      <c r="C982" s="3" t="s">
        <v>9</v>
      </c>
      <c r="D982" s="3" t="s">
        <v>5</v>
      </c>
      <c r="E982" s="3" t="s">
        <v>10</v>
      </c>
      <c r="F982" s="3" t="s">
        <v>2148</v>
      </c>
      <c r="G982" s="3" t="s">
        <v>2149</v>
      </c>
      <c r="H982" s="4">
        <v>1262.5999999999999</v>
      </c>
      <c r="I982" s="3" t="s">
        <v>11</v>
      </c>
    </row>
    <row r="983" spans="1:9" x14ac:dyDescent="0.35">
      <c r="A983" s="3">
        <v>103407043</v>
      </c>
      <c r="B983" s="3" t="s">
        <v>2150</v>
      </c>
      <c r="C983" s="3" t="s">
        <v>9</v>
      </c>
      <c r="D983" s="3" t="s">
        <v>5</v>
      </c>
      <c r="E983" s="3" t="s">
        <v>10</v>
      </c>
      <c r="F983" s="3" t="s">
        <v>2151</v>
      </c>
      <c r="G983" s="3" t="s">
        <v>2152</v>
      </c>
      <c r="H983" s="3">
        <v>809</v>
      </c>
      <c r="I983" s="3" t="s">
        <v>11</v>
      </c>
    </row>
    <row r="984" spans="1:9" x14ac:dyDescent="0.35">
      <c r="A984" s="3">
        <v>103407126</v>
      </c>
      <c r="B984" s="3" t="s">
        <v>2153</v>
      </c>
      <c r="C984" s="3" t="s">
        <v>9</v>
      </c>
      <c r="D984" s="3" t="s">
        <v>5</v>
      </c>
      <c r="E984" s="3" t="s">
        <v>10</v>
      </c>
      <c r="F984" s="3" t="s">
        <v>2154</v>
      </c>
      <c r="G984" s="3" t="s">
        <v>2155</v>
      </c>
      <c r="H984" s="5">
        <v>5849</v>
      </c>
      <c r="I984" s="3" t="s">
        <v>11</v>
      </c>
    </row>
    <row r="985" spans="1:9" x14ac:dyDescent="0.35">
      <c r="A985" s="3">
        <v>103407123</v>
      </c>
      <c r="B985" s="3" t="s">
        <v>2156</v>
      </c>
      <c r="C985" s="3" t="s">
        <v>9</v>
      </c>
      <c r="D985" s="3" t="s">
        <v>5</v>
      </c>
      <c r="E985" s="3" t="s">
        <v>10</v>
      </c>
      <c r="F985" s="3" t="s">
        <v>2157</v>
      </c>
      <c r="G985" s="3" t="s">
        <v>2158</v>
      </c>
      <c r="H985" s="3">
        <v>854.05</v>
      </c>
      <c r="I985" s="3" t="s">
        <v>11</v>
      </c>
    </row>
    <row r="986" spans="1:9" x14ac:dyDescent="0.35">
      <c r="A986" s="3">
        <v>103407119</v>
      </c>
      <c r="B986" s="3" t="s">
        <v>2159</v>
      </c>
      <c r="C986" s="3" t="s">
        <v>9</v>
      </c>
      <c r="D986" s="3" t="s">
        <v>5</v>
      </c>
      <c r="E986" s="3" t="s">
        <v>12</v>
      </c>
      <c r="F986" s="3" t="s">
        <v>2160</v>
      </c>
      <c r="G986" s="3" t="s">
        <v>2161</v>
      </c>
      <c r="H986" s="3">
        <v>737.1</v>
      </c>
      <c r="I986" s="3" t="s">
        <v>11</v>
      </c>
    </row>
    <row r="987" spans="1:9" x14ac:dyDescent="0.35">
      <c r="A987" s="3">
        <v>103407118</v>
      </c>
      <c r="B987" s="3" t="s">
        <v>2162</v>
      </c>
      <c r="C987" s="3" t="s">
        <v>9</v>
      </c>
      <c r="D987" s="3" t="s">
        <v>5</v>
      </c>
      <c r="E987" s="3" t="s">
        <v>10</v>
      </c>
      <c r="F987" s="3" t="s">
        <v>2163</v>
      </c>
      <c r="G987" s="3" t="s">
        <v>2164</v>
      </c>
      <c r="H987" s="5">
        <v>1499</v>
      </c>
      <c r="I987" s="3" t="s">
        <v>11</v>
      </c>
    </row>
    <row r="988" spans="1:9" x14ac:dyDescent="0.35">
      <c r="A988" s="3">
        <v>103407027</v>
      </c>
      <c r="B988" s="3" t="s">
        <v>2165</v>
      </c>
      <c r="C988" s="3" t="s">
        <v>9</v>
      </c>
      <c r="D988" s="3" t="s">
        <v>5</v>
      </c>
      <c r="E988" s="3" t="s">
        <v>10</v>
      </c>
      <c r="F988" s="3" t="s">
        <v>2166</v>
      </c>
      <c r="G988" s="3" t="s">
        <v>2167</v>
      </c>
      <c r="H988" s="5">
        <v>3849</v>
      </c>
      <c r="I988" s="3" t="s">
        <v>11</v>
      </c>
    </row>
    <row r="989" spans="1:9" x14ac:dyDescent="0.35">
      <c r="A989" s="3">
        <v>103407020</v>
      </c>
      <c r="B989" s="3" t="s">
        <v>2168</v>
      </c>
      <c r="C989" s="3" t="s">
        <v>9</v>
      </c>
      <c r="D989" s="3" t="s">
        <v>5</v>
      </c>
      <c r="E989" s="3" t="s">
        <v>10</v>
      </c>
      <c r="F989" s="3" t="s">
        <v>2169</v>
      </c>
      <c r="G989" s="3" t="s">
        <v>2170</v>
      </c>
      <c r="H989" s="4">
        <v>1300.55</v>
      </c>
      <c r="I989" s="3" t="s">
        <v>11</v>
      </c>
    </row>
    <row r="990" spans="1:9" x14ac:dyDescent="0.35">
      <c r="A990" s="3">
        <v>103407099</v>
      </c>
      <c r="B990" s="3" t="s">
        <v>2171</v>
      </c>
      <c r="C990" s="3" t="s">
        <v>9</v>
      </c>
      <c r="D990" s="3" t="s">
        <v>5</v>
      </c>
      <c r="E990" s="3" t="s">
        <v>10</v>
      </c>
      <c r="F990" s="3" t="s">
        <v>2172</v>
      </c>
      <c r="G990" s="3" t="s">
        <v>2173</v>
      </c>
      <c r="H990" s="5">
        <v>6999</v>
      </c>
      <c r="I990" s="3" t="s">
        <v>11</v>
      </c>
    </row>
    <row r="991" spans="1:9" x14ac:dyDescent="0.35">
      <c r="A991" s="3">
        <v>103407017</v>
      </c>
      <c r="B991" s="3" t="s">
        <v>2174</v>
      </c>
      <c r="C991" s="3" t="s">
        <v>9</v>
      </c>
      <c r="D991" s="3" t="s">
        <v>5</v>
      </c>
      <c r="E991" s="3" t="s">
        <v>10</v>
      </c>
      <c r="F991" s="3" t="s">
        <v>2175</v>
      </c>
      <c r="G991" s="3" t="s">
        <v>2176</v>
      </c>
      <c r="H991" s="5">
        <v>3849</v>
      </c>
      <c r="I991" s="3" t="s">
        <v>11</v>
      </c>
    </row>
    <row r="992" spans="1:9" x14ac:dyDescent="0.35">
      <c r="A992" s="3">
        <v>103407098</v>
      </c>
      <c r="B992" s="3" t="s">
        <v>2177</v>
      </c>
      <c r="C992" s="3" t="s">
        <v>9</v>
      </c>
      <c r="D992" s="3" t="s">
        <v>5</v>
      </c>
      <c r="E992" s="3" t="s">
        <v>12</v>
      </c>
      <c r="F992" s="3" t="s">
        <v>2178</v>
      </c>
      <c r="G992" s="3" t="s">
        <v>2179</v>
      </c>
      <c r="H992" s="5">
        <v>1379</v>
      </c>
      <c r="I992" s="3" t="s">
        <v>11</v>
      </c>
    </row>
    <row r="993" spans="1:9" x14ac:dyDescent="0.35">
      <c r="A993" s="3">
        <v>103407095</v>
      </c>
      <c r="B993" s="3" t="s">
        <v>2180</v>
      </c>
      <c r="C993" s="3" t="s">
        <v>9</v>
      </c>
      <c r="D993" s="3" t="s">
        <v>5</v>
      </c>
      <c r="E993" s="3" t="s">
        <v>10</v>
      </c>
      <c r="F993" s="3" t="s">
        <v>2181</v>
      </c>
      <c r="G993" s="3" t="s">
        <v>2182</v>
      </c>
      <c r="H993" s="4">
        <v>2222.1</v>
      </c>
      <c r="I993" s="3" t="s">
        <v>11</v>
      </c>
    </row>
    <row r="994" spans="1:9" x14ac:dyDescent="0.35">
      <c r="A994" s="3">
        <v>103407006</v>
      </c>
      <c r="B994" s="3" t="s">
        <v>2183</v>
      </c>
      <c r="C994" s="3" t="s">
        <v>9</v>
      </c>
      <c r="D994" s="3" t="s">
        <v>5</v>
      </c>
      <c r="E994" s="3" t="s">
        <v>12</v>
      </c>
      <c r="F994" s="3" t="s">
        <v>2184</v>
      </c>
      <c r="G994" s="3" t="s">
        <v>2185</v>
      </c>
      <c r="H994" s="5">
        <v>1869</v>
      </c>
      <c r="I994" s="3" t="s">
        <v>14</v>
      </c>
    </row>
    <row r="995" spans="1:9" x14ac:dyDescent="0.35">
      <c r="A995" s="3">
        <v>103407002</v>
      </c>
      <c r="B995" s="3" t="s">
        <v>2186</v>
      </c>
      <c r="C995" s="3" t="s">
        <v>9</v>
      </c>
      <c r="D995" s="3" t="s">
        <v>5</v>
      </c>
      <c r="E995" s="3" t="s">
        <v>10</v>
      </c>
      <c r="F995" s="3" t="s">
        <v>2187</v>
      </c>
      <c r="G995" s="3" t="s">
        <v>2188</v>
      </c>
      <c r="H995" s="4">
        <v>3390.55</v>
      </c>
      <c r="I995" s="3" t="s">
        <v>14</v>
      </c>
    </row>
    <row r="996" spans="1:9" x14ac:dyDescent="0.35">
      <c r="A996" s="3">
        <v>103407076</v>
      </c>
      <c r="B996" s="3" t="s">
        <v>2189</v>
      </c>
      <c r="C996" s="3" t="s">
        <v>9</v>
      </c>
      <c r="D996" s="3" t="s">
        <v>5</v>
      </c>
      <c r="E996" s="3" t="s">
        <v>10</v>
      </c>
      <c r="F996" s="3" t="s">
        <v>2190</v>
      </c>
      <c r="G996" s="3" t="s">
        <v>2191</v>
      </c>
      <c r="H996" s="4">
        <v>2307.64</v>
      </c>
      <c r="I996" s="3" t="s">
        <v>14</v>
      </c>
    </row>
    <row r="997" spans="1:9" x14ac:dyDescent="0.35">
      <c r="A997" s="3">
        <v>103407074</v>
      </c>
      <c r="B997" s="3" t="s">
        <v>2192</v>
      </c>
      <c r="C997" s="3" t="s">
        <v>9</v>
      </c>
      <c r="D997" s="3" t="s">
        <v>5</v>
      </c>
      <c r="E997" s="3" t="s">
        <v>10</v>
      </c>
      <c r="F997" s="3" t="s">
        <v>2193</v>
      </c>
      <c r="G997" s="3" t="s">
        <v>2194</v>
      </c>
      <c r="H997" s="3">
        <v>768.55</v>
      </c>
      <c r="I997" s="3" t="s">
        <v>14</v>
      </c>
    </row>
    <row r="998" spans="1:9" x14ac:dyDescent="0.35">
      <c r="A998" s="3">
        <v>103406993</v>
      </c>
      <c r="B998" s="3" t="s">
        <v>2195</v>
      </c>
      <c r="C998" s="3" t="s">
        <v>9</v>
      </c>
      <c r="D998" s="3" t="s">
        <v>5</v>
      </c>
      <c r="E998" s="3" t="s">
        <v>10</v>
      </c>
      <c r="F998" s="3" t="s">
        <v>2196</v>
      </c>
      <c r="G998" s="3" t="s">
        <v>2197</v>
      </c>
      <c r="H998" s="4">
        <v>1009.9</v>
      </c>
      <c r="I998" s="3" t="s">
        <v>14</v>
      </c>
    </row>
    <row r="999" spans="1:9" x14ac:dyDescent="0.35">
      <c r="A999" s="3">
        <v>103406992</v>
      </c>
      <c r="B999" s="3" t="s">
        <v>2198</v>
      </c>
      <c r="C999" s="3" t="s">
        <v>9</v>
      </c>
      <c r="D999" s="3" t="s">
        <v>5</v>
      </c>
      <c r="E999" s="3" t="s">
        <v>12</v>
      </c>
      <c r="F999" s="3" t="s">
        <v>2199</v>
      </c>
      <c r="G999" s="3" t="s">
        <v>2200</v>
      </c>
      <c r="H999" s="4">
        <v>5319.05</v>
      </c>
      <c r="I999" s="3" t="s">
        <v>14</v>
      </c>
    </row>
    <row r="1000" spans="1:9" x14ac:dyDescent="0.35">
      <c r="A1000" s="3">
        <v>103407069</v>
      </c>
      <c r="B1000" s="3" t="s">
        <v>2201</v>
      </c>
      <c r="C1000" s="3" t="s">
        <v>9</v>
      </c>
      <c r="D1000" s="3" t="s">
        <v>5</v>
      </c>
      <c r="E1000" s="3" t="s">
        <v>10</v>
      </c>
      <c r="F1000" s="3" t="s">
        <v>2202</v>
      </c>
      <c r="G1000" s="3" t="s">
        <v>2203</v>
      </c>
      <c r="H1000" s="4">
        <v>2469.0500000000002</v>
      </c>
      <c r="I1000" s="3" t="s">
        <v>14</v>
      </c>
    </row>
    <row r="1001" spans="1:9" x14ac:dyDescent="0.35">
      <c r="A1001" s="3">
        <v>103407068</v>
      </c>
      <c r="B1001" s="3" t="s">
        <v>2204</v>
      </c>
      <c r="C1001" s="3" t="s">
        <v>9</v>
      </c>
      <c r="D1001" s="3" t="s">
        <v>5</v>
      </c>
      <c r="E1001" s="3" t="s">
        <v>10</v>
      </c>
      <c r="F1001" s="3" t="s">
        <v>2205</v>
      </c>
      <c r="G1001" s="3" t="s">
        <v>2206</v>
      </c>
      <c r="H1001" s="4">
        <v>4331.1000000000004</v>
      </c>
      <c r="I1001" s="3" t="s">
        <v>14</v>
      </c>
    </row>
    <row r="1002" spans="1:9" x14ac:dyDescent="0.35">
      <c r="A1002" s="3">
        <v>103406983</v>
      </c>
      <c r="B1002" s="3" t="s">
        <v>2207</v>
      </c>
      <c r="C1002" s="3" t="s">
        <v>9</v>
      </c>
      <c r="D1002" s="3" t="s">
        <v>5</v>
      </c>
      <c r="E1002" s="3" t="s">
        <v>10</v>
      </c>
      <c r="F1002" s="3" t="s">
        <v>2208</v>
      </c>
      <c r="G1002" s="3" t="s">
        <v>2209</v>
      </c>
      <c r="H1002" s="4">
        <v>1352.85</v>
      </c>
      <c r="I1002" s="3" t="s">
        <v>14</v>
      </c>
    </row>
    <row r="1003" spans="1:9" x14ac:dyDescent="0.35">
      <c r="A1003" s="3">
        <v>103406948</v>
      </c>
      <c r="B1003" s="3" t="s">
        <v>2210</v>
      </c>
      <c r="C1003" s="3" t="s">
        <v>9</v>
      </c>
      <c r="D1003" s="3" t="s">
        <v>5</v>
      </c>
      <c r="E1003" s="3" t="s">
        <v>10</v>
      </c>
      <c r="F1003" s="3" t="s">
        <v>2211</v>
      </c>
      <c r="G1003" s="3" t="s">
        <v>2212</v>
      </c>
      <c r="H1003" s="4">
        <v>8281.15</v>
      </c>
      <c r="I1003" s="3" t="s">
        <v>14</v>
      </c>
    </row>
    <row r="1004" spans="1:9" x14ac:dyDescent="0.35">
      <c r="A1004" s="3">
        <v>103406943</v>
      </c>
      <c r="B1004" s="3" t="s">
        <v>2213</v>
      </c>
      <c r="C1004" s="3" t="s">
        <v>9</v>
      </c>
      <c r="D1004" s="3" t="s">
        <v>5</v>
      </c>
      <c r="E1004" s="3" t="s">
        <v>10</v>
      </c>
      <c r="F1004" s="3" t="s">
        <v>2214</v>
      </c>
      <c r="G1004" s="3" t="s">
        <v>2215</v>
      </c>
      <c r="H1004" s="4">
        <v>1328.1</v>
      </c>
      <c r="I1004" s="3" t="s">
        <v>14</v>
      </c>
    </row>
    <row r="1005" spans="1:9" x14ac:dyDescent="0.35">
      <c r="A1005" s="3">
        <v>103406973</v>
      </c>
      <c r="B1005" s="3" t="s">
        <v>2216</v>
      </c>
      <c r="C1005" s="3" t="s">
        <v>9</v>
      </c>
      <c r="D1005" s="3" t="s">
        <v>5</v>
      </c>
      <c r="E1005" s="3" t="s">
        <v>12</v>
      </c>
      <c r="F1005" s="3" t="s">
        <v>2217</v>
      </c>
      <c r="G1005" s="3" t="s">
        <v>2218</v>
      </c>
      <c r="H1005" s="5">
        <v>1199</v>
      </c>
      <c r="I1005" s="3" t="s">
        <v>14</v>
      </c>
    </row>
    <row r="1006" spans="1:9" x14ac:dyDescent="0.35">
      <c r="A1006" s="3">
        <v>103406972</v>
      </c>
      <c r="B1006" s="3" t="s">
        <v>2219</v>
      </c>
      <c r="C1006" s="3" t="s">
        <v>9</v>
      </c>
      <c r="D1006" s="3" t="s">
        <v>5</v>
      </c>
      <c r="E1006" s="3" t="s">
        <v>10</v>
      </c>
      <c r="F1006" s="3" t="s">
        <v>2220</v>
      </c>
      <c r="G1006" s="3" t="s">
        <v>2221</v>
      </c>
      <c r="H1006" s="4">
        <v>1244.55</v>
      </c>
      <c r="I1006" s="3" t="s">
        <v>14</v>
      </c>
    </row>
    <row r="1007" spans="1:9" x14ac:dyDescent="0.35">
      <c r="A1007" s="3">
        <v>103406965</v>
      </c>
      <c r="B1007" s="3" t="s">
        <v>2222</v>
      </c>
      <c r="C1007" s="3" t="s">
        <v>9</v>
      </c>
      <c r="D1007" s="3" t="s">
        <v>5</v>
      </c>
      <c r="E1007" s="3" t="s">
        <v>10</v>
      </c>
      <c r="F1007" s="3" t="s">
        <v>2223</v>
      </c>
      <c r="G1007" s="3" t="s">
        <v>2224</v>
      </c>
      <c r="H1007" s="5">
        <v>2999</v>
      </c>
      <c r="I1007" s="3" t="s">
        <v>14</v>
      </c>
    </row>
    <row r="1008" spans="1:9" x14ac:dyDescent="0.35">
      <c r="A1008" s="3">
        <v>103406861</v>
      </c>
      <c r="B1008" s="3" t="s">
        <v>2225</v>
      </c>
      <c r="C1008" s="3" t="s">
        <v>9</v>
      </c>
      <c r="D1008" s="3" t="s">
        <v>5</v>
      </c>
      <c r="E1008" s="3" t="s">
        <v>10</v>
      </c>
      <c r="F1008" s="3" t="s">
        <v>2226</v>
      </c>
      <c r="G1008" s="3" t="s">
        <v>2227</v>
      </c>
      <c r="H1008" s="4">
        <v>4068.09</v>
      </c>
      <c r="I1008" s="3" t="s">
        <v>14</v>
      </c>
    </row>
    <row r="1009" spans="1:9" x14ac:dyDescent="0.35">
      <c r="A1009" s="3">
        <v>103406860</v>
      </c>
      <c r="B1009" s="3" t="s">
        <v>2228</v>
      </c>
      <c r="C1009" s="3" t="s">
        <v>9</v>
      </c>
      <c r="D1009" s="3" t="s">
        <v>5</v>
      </c>
      <c r="E1009" s="3" t="s">
        <v>10</v>
      </c>
      <c r="F1009" s="3" t="s">
        <v>2229</v>
      </c>
      <c r="G1009" s="3" t="s">
        <v>2230</v>
      </c>
      <c r="H1009" s="5">
        <v>3599</v>
      </c>
      <c r="I1009" s="3" t="s">
        <v>14</v>
      </c>
    </row>
    <row r="1010" spans="1:9" x14ac:dyDescent="0.35">
      <c r="A1010" s="3">
        <v>103406859</v>
      </c>
      <c r="B1010" s="3" t="s">
        <v>2231</v>
      </c>
      <c r="C1010" s="3" t="s">
        <v>9</v>
      </c>
      <c r="D1010" s="3" t="s">
        <v>5</v>
      </c>
      <c r="E1010" s="3" t="s">
        <v>10</v>
      </c>
      <c r="F1010" s="3" t="s">
        <v>2232</v>
      </c>
      <c r="G1010" s="3" t="s">
        <v>2233</v>
      </c>
      <c r="H1010" s="4">
        <v>4700.6000000000004</v>
      </c>
      <c r="I1010" s="3" t="s">
        <v>14</v>
      </c>
    </row>
    <row r="1011" spans="1:9" x14ac:dyDescent="0.35">
      <c r="A1011" s="3">
        <v>103406929</v>
      </c>
      <c r="B1011" s="3" t="s">
        <v>2234</v>
      </c>
      <c r="C1011" s="3" t="s">
        <v>9</v>
      </c>
      <c r="D1011" s="3" t="s">
        <v>5</v>
      </c>
      <c r="E1011" s="3" t="s">
        <v>10</v>
      </c>
      <c r="F1011" s="3" t="s">
        <v>2235</v>
      </c>
      <c r="G1011" s="3" t="s">
        <v>2236</v>
      </c>
      <c r="H1011" s="4">
        <v>5319.05</v>
      </c>
      <c r="I1011" s="3" t="s">
        <v>14</v>
      </c>
    </row>
    <row r="1012" spans="1:9" x14ac:dyDescent="0.35">
      <c r="A1012" s="3">
        <v>103406928</v>
      </c>
      <c r="B1012" s="3" t="s">
        <v>2237</v>
      </c>
      <c r="C1012" s="3" t="s">
        <v>9</v>
      </c>
      <c r="D1012" s="3" t="s">
        <v>5</v>
      </c>
      <c r="E1012" s="3" t="s">
        <v>10</v>
      </c>
      <c r="F1012" s="3" t="s">
        <v>2238</v>
      </c>
      <c r="G1012" s="3" t="s">
        <v>2239</v>
      </c>
      <c r="H1012" s="5">
        <v>2999</v>
      </c>
      <c r="I1012" s="3" t="s">
        <v>14</v>
      </c>
    </row>
    <row r="1013" spans="1:9" x14ac:dyDescent="0.35">
      <c r="A1013" s="3">
        <v>103406856</v>
      </c>
      <c r="B1013" s="3" t="s">
        <v>2240</v>
      </c>
      <c r="C1013" s="3" t="s">
        <v>9</v>
      </c>
      <c r="D1013" s="3" t="s">
        <v>5</v>
      </c>
      <c r="E1013" s="3" t="s">
        <v>10</v>
      </c>
      <c r="F1013" s="3" t="s">
        <v>2241</v>
      </c>
      <c r="G1013" s="3" t="s">
        <v>2242</v>
      </c>
      <c r="H1013" s="3">
        <v>464.55</v>
      </c>
      <c r="I1013" s="3" t="s">
        <v>14</v>
      </c>
    </row>
    <row r="1014" spans="1:9" x14ac:dyDescent="0.35">
      <c r="A1014" s="3">
        <v>103406854</v>
      </c>
      <c r="B1014" s="3" t="s">
        <v>2243</v>
      </c>
      <c r="C1014" s="3" t="s">
        <v>9</v>
      </c>
      <c r="D1014" s="3" t="s">
        <v>5</v>
      </c>
      <c r="E1014" s="3" t="s">
        <v>10</v>
      </c>
      <c r="F1014" s="3" t="s">
        <v>2244</v>
      </c>
      <c r="G1014" s="3" t="s">
        <v>2245</v>
      </c>
      <c r="H1014" s="5">
        <v>3019</v>
      </c>
      <c r="I1014" s="3" t="s">
        <v>14</v>
      </c>
    </row>
    <row r="1015" spans="1:9" x14ac:dyDescent="0.35">
      <c r="A1015" s="3">
        <v>103406917</v>
      </c>
      <c r="B1015" s="3" t="s">
        <v>2246</v>
      </c>
      <c r="C1015" s="3" t="s">
        <v>9</v>
      </c>
      <c r="D1015" s="3" t="s">
        <v>5</v>
      </c>
      <c r="E1015" s="3" t="s">
        <v>10</v>
      </c>
      <c r="F1015" s="3" t="s">
        <v>2247</v>
      </c>
      <c r="G1015" s="3" t="s">
        <v>2248</v>
      </c>
      <c r="H1015" s="3">
        <v>673.55</v>
      </c>
      <c r="I1015" s="3" t="s">
        <v>14</v>
      </c>
    </row>
    <row r="1016" spans="1:9" x14ac:dyDescent="0.35">
      <c r="A1016" s="3">
        <v>103406852</v>
      </c>
      <c r="B1016" s="3" t="s">
        <v>2249</v>
      </c>
      <c r="C1016" s="3" t="s">
        <v>9</v>
      </c>
      <c r="D1016" s="3" t="s">
        <v>5</v>
      </c>
      <c r="E1016" s="3" t="s">
        <v>10</v>
      </c>
      <c r="F1016" s="3" t="s">
        <v>2250</v>
      </c>
      <c r="G1016" s="3" t="s">
        <v>2251</v>
      </c>
      <c r="H1016" s="4">
        <v>1082.0999999999999</v>
      </c>
      <c r="I1016" s="3" t="s">
        <v>14</v>
      </c>
    </row>
    <row r="1017" spans="1:9" x14ac:dyDescent="0.35">
      <c r="A1017" s="3">
        <v>103406844</v>
      </c>
      <c r="B1017" s="3" t="s">
        <v>2252</v>
      </c>
      <c r="C1017" s="3" t="s">
        <v>9</v>
      </c>
      <c r="D1017" s="3" t="s">
        <v>5</v>
      </c>
      <c r="E1017" s="3" t="s">
        <v>10</v>
      </c>
      <c r="F1017" s="3" t="s">
        <v>2253</v>
      </c>
      <c r="G1017" s="3" t="s">
        <v>2254</v>
      </c>
      <c r="H1017" s="5">
        <v>4199</v>
      </c>
      <c r="I1017" s="3" t="s">
        <v>14</v>
      </c>
    </row>
    <row r="1018" spans="1:9" x14ac:dyDescent="0.35">
      <c r="A1018" s="3">
        <v>103406840</v>
      </c>
      <c r="B1018" s="3" t="s">
        <v>2255</v>
      </c>
      <c r="C1018" s="3" t="s">
        <v>9</v>
      </c>
      <c r="D1018" s="3" t="s">
        <v>5</v>
      </c>
      <c r="E1018" s="3" t="s">
        <v>10</v>
      </c>
      <c r="F1018" s="3" t="s">
        <v>2256</v>
      </c>
      <c r="G1018" s="3" t="s">
        <v>2257</v>
      </c>
      <c r="H1018" s="3">
        <v>937.7</v>
      </c>
      <c r="I1018" s="3" t="s">
        <v>14</v>
      </c>
    </row>
    <row r="1019" spans="1:9" x14ac:dyDescent="0.35">
      <c r="A1019" s="3">
        <v>103406836</v>
      </c>
      <c r="B1019" s="3" t="s">
        <v>2258</v>
      </c>
      <c r="C1019" s="3" t="s">
        <v>9</v>
      </c>
      <c r="D1019" s="3" t="s">
        <v>5</v>
      </c>
      <c r="E1019" s="3" t="s">
        <v>12</v>
      </c>
      <c r="F1019" s="3" t="s">
        <v>2259</v>
      </c>
      <c r="G1019" s="3" t="s">
        <v>2260</v>
      </c>
      <c r="H1019" s="4">
        <v>2564.0500000000002</v>
      </c>
      <c r="I1019" s="3" t="s">
        <v>14</v>
      </c>
    </row>
    <row r="1020" spans="1:9" x14ac:dyDescent="0.35">
      <c r="A1020" s="3">
        <v>103406898</v>
      </c>
      <c r="B1020" s="3" t="s">
        <v>2261</v>
      </c>
      <c r="C1020" s="3" t="s">
        <v>9</v>
      </c>
      <c r="D1020" s="3" t="s">
        <v>5</v>
      </c>
      <c r="E1020" s="3" t="s">
        <v>10</v>
      </c>
      <c r="F1020" s="3" t="s">
        <v>2262</v>
      </c>
      <c r="G1020" s="3" t="s">
        <v>2263</v>
      </c>
      <c r="H1020" s="4">
        <v>3789.6</v>
      </c>
      <c r="I1020" s="3" t="s">
        <v>14</v>
      </c>
    </row>
    <row r="1021" spans="1:9" x14ac:dyDescent="0.35">
      <c r="A1021" s="3">
        <v>103406831</v>
      </c>
      <c r="B1021" s="3" t="s">
        <v>2264</v>
      </c>
      <c r="C1021" s="3" t="s">
        <v>9</v>
      </c>
      <c r="D1021" s="3" t="s">
        <v>5</v>
      </c>
      <c r="E1021" s="3" t="s">
        <v>10</v>
      </c>
      <c r="F1021" s="3" t="s">
        <v>1568</v>
      </c>
      <c r="G1021" s="3" t="s">
        <v>1569</v>
      </c>
      <c r="H1021" s="5">
        <v>2799</v>
      </c>
      <c r="I1021" s="3" t="s">
        <v>14</v>
      </c>
    </row>
    <row r="1022" spans="1:9" x14ac:dyDescent="0.35">
      <c r="A1022" s="3">
        <v>103406894</v>
      </c>
      <c r="B1022" s="3" t="s">
        <v>2265</v>
      </c>
      <c r="C1022" s="3" t="s">
        <v>9</v>
      </c>
      <c r="D1022" s="3" t="s">
        <v>5</v>
      </c>
      <c r="E1022" s="3" t="s">
        <v>12</v>
      </c>
      <c r="F1022" s="3" t="s">
        <v>2266</v>
      </c>
      <c r="G1022" s="3" t="s">
        <v>2267</v>
      </c>
      <c r="H1022" s="4">
        <v>2991.64</v>
      </c>
      <c r="I1022" s="3" t="s">
        <v>14</v>
      </c>
    </row>
    <row r="1023" spans="1:9" x14ac:dyDescent="0.35">
      <c r="A1023" s="3">
        <v>103406828</v>
      </c>
      <c r="B1023" s="3" t="s">
        <v>2268</v>
      </c>
      <c r="C1023" s="3" t="s">
        <v>9</v>
      </c>
      <c r="D1023" s="3" t="s">
        <v>5</v>
      </c>
      <c r="E1023" s="3" t="s">
        <v>10</v>
      </c>
      <c r="F1023" s="3" t="s">
        <v>2269</v>
      </c>
      <c r="G1023" s="3" t="s">
        <v>2270</v>
      </c>
      <c r="H1023" s="5">
        <v>2999</v>
      </c>
      <c r="I1023" s="3" t="s">
        <v>14</v>
      </c>
    </row>
    <row r="1024" spans="1:9" x14ac:dyDescent="0.35">
      <c r="A1024" s="3">
        <v>103406825</v>
      </c>
      <c r="B1024" s="3" t="s">
        <v>2271</v>
      </c>
      <c r="C1024" s="3" t="s">
        <v>9</v>
      </c>
      <c r="D1024" s="3" t="s">
        <v>5</v>
      </c>
      <c r="E1024" s="3" t="s">
        <v>10</v>
      </c>
      <c r="F1024" s="3" t="s">
        <v>2097</v>
      </c>
      <c r="G1024" s="3" t="s">
        <v>2098</v>
      </c>
      <c r="H1024" s="3">
        <v>439</v>
      </c>
      <c r="I1024" s="3" t="s">
        <v>14</v>
      </c>
    </row>
    <row r="1025" spans="1:9" x14ac:dyDescent="0.35">
      <c r="A1025" s="3">
        <v>103406822</v>
      </c>
      <c r="B1025" s="3" t="s">
        <v>2272</v>
      </c>
      <c r="C1025" s="3" t="s">
        <v>9</v>
      </c>
      <c r="D1025" s="3" t="s">
        <v>5</v>
      </c>
      <c r="E1025" s="3" t="s">
        <v>10</v>
      </c>
      <c r="F1025" s="3" t="s">
        <v>2273</v>
      </c>
      <c r="G1025" s="3" t="s">
        <v>2274</v>
      </c>
      <c r="H1025" s="3">
        <v>768.55</v>
      </c>
      <c r="I1025" s="3" t="s">
        <v>14</v>
      </c>
    </row>
    <row r="1026" spans="1:9" x14ac:dyDescent="0.35">
      <c r="A1026" s="3">
        <v>103406889</v>
      </c>
      <c r="B1026" s="3" t="s">
        <v>2275</v>
      </c>
      <c r="C1026" s="3" t="s">
        <v>9</v>
      </c>
      <c r="D1026" s="3" t="s">
        <v>5</v>
      </c>
      <c r="E1026" s="3" t="s">
        <v>10</v>
      </c>
      <c r="F1026" s="3" t="s">
        <v>1561</v>
      </c>
      <c r="G1026" s="3" t="s">
        <v>1562</v>
      </c>
      <c r="H1026" s="4">
        <v>2849.05</v>
      </c>
      <c r="I1026" s="3" t="s">
        <v>14</v>
      </c>
    </row>
    <row r="1027" spans="1:9" x14ac:dyDescent="0.35">
      <c r="A1027" s="3">
        <v>103406814</v>
      </c>
      <c r="B1027" s="3" t="s">
        <v>4783</v>
      </c>
      <c r="C1027" s="3" t="s">
        <v>9</v>
      </c>
      <c r="D1027" s="3" t="s">
        <v>5</v>
      </c>
      <c r="E1027" s="3" t="s">
        <v>10</v>
      </c>
      <c r="F1027" s="3" t="s">
        <v>4784</v>
      </c>
      <c r="G1027" s="3" t="s">
        <v>4785</v>
      </c>
      <c r="H1027" s="4">
        <v>1597.99</v>
      </c>
      <c r="I1027" s="3" t="s">
        <v>13</v>
      </c>
    </row>
    <row r="1028" spans="1:9" x14ac:dyDescent="0.35">
      <c r="A1028" s="3">
        <v>103406882</v>
      </c>
      <c r="B1028" s="3" t="s">
        <v>2276</v>
      </c>
      <c r="C1028" s="3" t="s">
        <v>9</v>
      </c>
      <c r="D1028" s="3" t="s">
        <v>5</v>
      </c>
      <c r="E1028" s="3" t="s">
        <v>10</v>
      </c>
      <c r="F1028" s="3" t="s">
        <v>2277</v>
      </c>
      <c r="G1028" s="3" t="s">
        <v>2278</v>
      </c>
      <c r="H1028" s="4">
        <v>3989.05</v>
      </c>
      <c r="I1028" s="3" t="s">
        <v>14</v>
      </c>
    </row>
    <row r="1029" spans="1:9" x14ac:dyDescent="0.35">
      <c r="A1029" s="3">
        <v>103406813</v>
      </c>
      <c r="B1029" s="3" t="s">
        <v>2279</v>
      </c>
      <c r="C1029" s="3" t="s">
        <v>9</v>
      </c>
      <c r="D1029" s="3" t="s">
        <v>5</v>
      </c>
      <c r="E1029" s="3" t="s">
        <v>10</v>
      </c>
      <c r="F1029" s="3" t="s">
        <v>2280</v>
      </c>
      <c r="G1029" s="3" t="s">
        <v>2281</v>
      </c>
      <c r="H1029" s="4">
        <v>1342.92</v>
      </c>
      <c r="I1029" s="3" t="s">
        <v>14</v>
      </c>
    </row>
    <row r="1030" spans="1:9" x14ac:dyDescent="0.35">
      <c r="A1030" s="3">
        <v>103406877</v>
      </c>
      <c r="B1030" s="3" t="s">
        <v>2282</v>
      </c>
      <c r="C1030" s="3" t="s">
        <v>9</v>
      </c>
      <c r="D1030" s="3" t="s">
        <v>5</v>
      </c>
      <c r="E1030" s="3" t="s">
        <v>10</v>
      </c>
      <c r="F1030" s="3" t="s">
        <v>2283</v>
      </c>
      <c r="G1030" s="3" t="s">
        <v>2284</v>
      </c>
      <c r="H1030" s="4">
        <v>2469.0500000000002</v>
      </c>
      <c r="I1030" s="3" t="s">
        <v>14</v>
      </c>
    </row>
    <row r="1031" spans="1:9" x14ac:dyDescent="0.35">
      <c r="A1031" s="3">
        <v>103406811</v>
      </c>
      <c r="B1031" s="3" t="s">
        <v>2285</v>
      </c>
      <c r="C1031" s="3" t="s">
        <v>9</v>
      </c>
      <c r="D1031" s="3" t="s">
        <v>5</v>
      </c>
      <c r="E1031" s="3" t="s">
        <v>10</v>
      </c>
      <c r="F1031" s="3" t="s">
        <v>2286</v>
      </c>
      <c r="G1031" s="3" t="s">
        <v>2287</v>
      </c>
      <c r="H1031" s="4">
        <v>1259.0999999999999</v>
      </c>
      <c r="I1031" s="3" t="s">
        <v>14</v>
      </c>
    </row>
    <row r="1032" spans="1:9" x14ac:dyDescent="0.35">
      <c r="A1032" s="3">
        <v>103406807</v>
      </c>
      <c r="B1032" s="3" t="s">
        <v>2288</v>
      </c>
      <c r="C1032" s="3" t="s">
        <v>9</v>
      </c>
      <c r="D1032" s="3" t="s">
        <v>5</v>
      </c>
      <c r="E1032" s="3" t="s">
        <v>12</v>
      </c>
      <c r="F1032" s="3" t="s">
        <v>2289</v>
      </c>
      <c r="G1032" s="3" t="s">
        <v>2290</v>
      </c>
      <c r="H1032" s="3">
        <v>759.05</v>
      </c>
      <c r="I1032" s="3" t="s">
        <v>14</v>
      </c>
    </row>
    <row r="1033" spans="1:9" x14ac:dyDescent="0.35">
      <c r="A1033" s="3">
        <v>103406873</v>
      </c>
      <c r="B1033" s="3" t="s">
        <v>2291</v>
      </c>
      <c r="C1033" s="3" t="s">
        <v>9</v>
      </c>
      <c r="D1033" s="3" t="s">
        <v>5</v>
      </c>
      <c r="E1033" s="3" t="s">
        <v>10</v>
      </c>
      <c r="F1033" s="3" t="s">
        <v>2292</v>
      </c>
      <c r="G1033" s="3" t="s">
        <v>2293</v>
      </c>
      <c r="H1033" s="4">
        <v>2849.05</v>
      </c>
      <c r="I1033" s="3" t="s">
        <v>14</v>
      </c>
    </row>
    <row r="1034" spans="1:9" x14ac:dyDescent="0.35">
      <c r="A1034" s="3">
        <v>103406872</v>
      </c>
      <c r="B1034" s="3" t="s">
        <v>2294</v>
      </c>
      <c r="C1034" s="3" t="s">
        <v>9</v>
      </c>
      <c r="D1034" s="3" t="s">
        <v>5</v>
      </c>
      <c r="E1034" s="3" t="s">
        <v>12</v>
      </c>
      <c r="F1034" s="3" t="s">
        <v>2295</v>
      </c>
      <c r="G1034" s="3" t="s">
        <v>2296</v>
      </c>
      <c r="H1034" s="5">
        <v>1999</v>
      </c>
      <c r="I1034" s="3" t="s">
        <v>14</v>
      </c>
    </row>
    <row r="1035" spans="1:9" x14ac:dyDescent="0.35">
      <c r="A1035" s="3">
        <v>103406803</v>
      </c>
      <c r="B1035" s="3" t="s">
        <v>2297</v>
      </c>
      <c r="C1035" s="3" t="s">
        <v>9</v>
      </c>
      <c r="D1035" s="3" t="s">
        <v>5</v>
      </c>
      <c r="E1035" s="3" t="s">
        <v>12</v>
      </c>
      <c r="F1035" s="3" t="s">
        <v>2298</v>
      </c>
      <c r="G1035" s="3" t="s">
        <v>2299</v>
      </c>
      <c r="H1035" s="5">
        <v>1379</v>
      </c>
      <c r="I1035" s="3" t="s">
        <v>14</v>
      </c>
    </row>
    <row r="1036" spans="1:9" x14ac:dyDescent="0.35">
      <c r="A1036" s="3">
        <v>103406868</v>
      </c>
      <c r="B1036" s="3" t="s">
        <v>2297</v>
      </c>
      <c r="C1036" s="3" t="s">
        <v>9</v>
      </c>
      <c r="D1036" s="3" t="s">
        <v>5</v>
      </c>
      <c r="E1036" s="3" t="s">
        <v>10</v>
      </c>
      <c r="F1036" s="3" t="s">
        <v>2300</v>
      </c>
      <c r="G1036" s="3" t="s">
        <v>2301</v>
      </c>
      <c r="H1036" s="4">
        <v>1462.45</v>
      </c>
      <c r="I1036" s="3" t="s">
        <v>14</v>
      </c>
    </row>
    <row r="1037" spans="1:9" x14ac:dyDescent="0.35">
      <c r="A1037" s="3">
        <v>103406867</v>
      </c>
      <c r="B1037" s="3" t="s">
        <v>2302</v>
      </c>
      <c r="C1037" s="3" t="s">
        <v>9</v>
      </c>
      <c r="D1037" s="3" t="s">
        <v>5</v>
      </c>
      <c r="E1037" s="3" t="s">
        <v>10</v>
      </c>
      <c r="F1037" s="3" t="s">
        <v>2303</v>
      </c>
      <c r="G1037" s="3" t="s">
        <v>2304</v>
      </c>
      <c r="H1037" s="4">
        <v>1139.05</v>
      </c>
      <c r="I1037" s="3" t="s">
        <v>14</v>
      </c>
    </row>
    <row r="1038" spans="1:9" x14ac:dyDescent="0.35">
      <c r="A1038" s="3">
        <v>103406764</v>
      </c>
      <c r="B1038" s="3" t="s">
        <v>2305</v>
      </c>
      <c r="C1038" s="3" t="s">
        <v>9</v>
      </c>
      <c r="D1038" s="3" t="s">
        <v>5</v>
      </c>
      <c r="E1038" s="3" t="s">
        <v>10</v>
      </c>
      <c r="F1038" s="3" t="s">
        <v>2306</v>
      </c>
      <c r="G1038" s="3" t="s">
        <v>2307</v>
      </c>
      <c r="H1038" s="5">
        <v>2309</v>
      </c>
      <c r="I1038" s="3" t="s">
        <v>14</v>
      </c>
    </row>
    <row r="1039" spans="1:9" x14ac:dyDescent="0.35">
      <c r="A1039" s="3">
        <v>103406758</v>
      </c>
      <c r="B1039" s="3" t="s">
        <v>2308</v>
      </c>
      <c r="C1039" s="3" t="s">
        <v>9</v>
      </c>
      <c r="D1039" s="3" t="s">
        <v>5</v>
      </c>
      <c r="E1039" s="3" t="s">
        <v>10</v>
      </c>
      <c r="F1039" s="3" t="s">
        <v>2309</v>
      </c>
      <c r="G1039" s="3" t="s">
        <v>2310</v>
      </c>
      <c r="H1039" s="3">
        <v>749</v>
      </c>
      <c r="I1039" s="3" t="s">
        <v>14</v>
      </c>
    </row>
    <row r="1040" spans="1:9" x14ac:dyDescent="0.35">
      <c r="A1040" s="3">
        <v>103406798</v>
      </c>
      <c r="B1040" s="3" t="s">
        <v>2311</v>
      </c>
      <c r="C1040" s="3" t="s">
        <v>9</v>
      </c>
      <c r="D1040" s="3" t="s">
        <v>5</v>
      </c>
      <c r="E1040" s="3" t="s">
        <v>10</v>
      </c>
      <c r="F1040" s="3" t="s">
        <v>2312</v>
      </c>
      <c r="G1040" s="3" t="s">
        <v>2313</v>
      </c>
      <c r="H1040" s="4">
        <v>1139.05</v>
      </c>
      <c r="I1040" s="3" t="s">
        <v>14</v>
      </c>
    </row>
    <row r="1041" spans="1:9" x14ac:dyDescent="0.35">
      <c r="A1041" s="3">
        <v>103406752</v>
      </c>
      <c r="B1041" s="3" t="s">
        <v>2314</v>
      </c>
      <c r="C1041" s="3" t="s">
        <v>9</v>
      </c>
      <c r="D1041" s="3" t="s">
        <v>5</v>
      </c>
      <c r="E1041" s="3" t="s">
        <v>10</v>
      </c>
      <c r="F1041" s="3" t="s">
        <v>2235</v>
      </c>
      <c r="G1041" s="3" t="s">
        <v>2315</v>
      </c>
      <c r="H1041" s="5">
        <v>4499</v>
      </c>
      <c r="I1041" s="3" t="s">
        <v>14</v>
      </c>
    </row>
    <row r="1042" spans="1:9" x14ac:dyDescent="0.35">
      <c r="A1042" s="3">
        <v>103406748</v>
      </c>
      <c r="B1042" s="3" t="s">
        <v>2316</v>
      </c>
      <c r="C1042" s="3" t="s">
        <v>9</v>
      </c>
      <c r="D1042" s="3" t="s">
        <v>5</v>
      </c>
      <c r="E1042" s="3" t="s">
        <v>10</v>
      </c>
      <c r="F1042" s="3" t="s">
        <v>1561</v>
      </c>
      <c r="G1042" s="3" t="s">
        <v>1562</v>
      </c>
      <c r="H1042" s="4">
        <v>3324.05</v>
      </c>
      <c r="I1042" s="3" t="s">
        <v>14</v>
      </c>
    </row>
    <row r="1043" spans="1:9" x14ac:dyDescent="0.35">
      <c r="A1043" s="3">
        <v>103406747</v>
      </c>
      <c r="B1043" s="3" t="s">
        <v>2317</v>
      </c>
      <c r="C1043" s="3" t="s">
        <v>9</v>
      </c>
      <c r="D1043" s="3" t="s">
        <v>5</v>
      </c>
      <c r="E1043" s="3" t="s">
        <v>10</v>
      </c>
      <c r="F1043" s="3" t="s">
        <v>2318</v>
      </c>
      <c r="G1043" s="3" t="s">
        <v>2319</v>
      </c>
      <c r="H1043" s="4">
        <v>2659.05</v>
      </c>
      <c r="I1043" s="3" t="s">
        <v>14</v>
      </c>
    </row>
    <row r="1044" spans="1:9" x14ac:dyDescent="0.35">
      <c r="A1044" s="3">
        <v>103406792</v>
      </c>
      <c r="B1044" s="3" t="s">
        <v>2320</v>
      </c>
      <c r="C1044" s="3" t="s">
        <v>9</v>
      </c>
      <c r="D1044" s="3" t="s">
        <v>5</v>
      </c>
      <c r="E1044" s="3" t="s">
        <v>12</v>
      </c>
      <c r="F1044" s="3" t="s">
        <v>2321</v>
      </c>
      <c r="G1044" s="3" t="s">
        <v>2322</v>
      </c>
      <c r="H1044" s="5">
        <v>5599</v>
      </c>
      <c r="I1044" s="3" t="s">
        <v>14</v>
      </c>
    </row>
    <row r="1045" spans="1:9" x14ac:dyDescent="0.35">
      <c r="A1045" s="3">
        <v>103406745</v>
      </c>
      <c r="B1045" s="3" t="s">
        <v>2323</v>
      </c>
      <c r="C1045" s="3" t="s">
        <v>9</v>
      </c>
      <c r="D1045" s="3" t="s">
        <v>5</v>
      </c>
      <c r="E1045" s="3" t="s">
        <v>10</v>
      </c>
      <c r="F1045" s="3" t="s">
        <v>2324</v>
      </c>
      <c r="G1045" s="3" t="s">
        <v>2325</v>
      </c>
      <c r="H1045" s="4">
        <v>3989.05</v>
      </c>
      <c r="I1045" s="3" t="s">
        <v>14</v>
      </c>
    </row>
    <row r="1046" spans="1:9" x14ac:dyDescent="0.35">
      <c r="A1046" s="3">
        <v>103406788</v>
      </c>
      <c r="B1046" s="3" t="s">
        <v>2326</v>
      </c>
      <c r="C1046" s="3" t="s">
        <v>9</v>
      </c>
      <c r="D1046" s="3" t="s">
        <v>5</v>
      </c>
      <c r="E1046" s="3" t="s">
        <v>10</v>
      </c>
      <c r="F1046" s="3" t="s">
        <v>4786</v>
      </c>
      <c r="G1046" s="3" t="s">
        <v>4787</v>
      </c>
      <c r="H1046" s="4">
        <v>2222.14</v>
      </c>
      <c r="I1046" s="3" t="s">
        <v>13</v>
      </c>
    </row>
    <row r="1047" spans="1:9" x14ac:dyDescent="0.35">
      <c r="A1047" s="3">
        <v>103406742</v>
      </c>
      <c r="B1047" s="3" t="s">
        <v>2326</v>
      </c>
      <c r="C1047" s="3" t="s">
        <v>9</v>
      </c>
      <c r="D1047" s="3" t="s">
        <v>5</v>
      </c>
      <c r="E1047" s="3" t="s">
        <v>10</v>
      </c>
      <c r="F1047" s="3" t="s">
        <v>2327</v>
      </c>
      <c r="G1047" s="3" t="s">
        <v>2328</v>
      </c>
      <c r="H1047" s="5">
        <v>2599</v>
      </c>
      <c r="I1047" s="3" t="s">
        <v>11</v>
      </c>
    </row>
    <row r="1048" spans="1:9" x14ac:dyDescent="0.35">
      <c r="A1048" s="3">
        <v>103406785</v>
      </c>
      <c r="B1048" s="3" t="s">
        <v>2329</v>
      </c>
      <c r="C1048" s="3" t="s">
        <v>9</v>
      </c>
      <c r="D1048" s="3" t="s">
        <v>5</v>
      </c>
      <c r="E1048" s="3" t="s">
        <v>10</v>
      </c>
      <c r="F1048" s="3" t="s">
        <v>2330</v>
      </c>
      <c r="G1048" s="3" t="s">
        <v>2331</v>
      </c>
      <c r="H1048" s="4">
        <v>3473.72</v>
      </c>
      <c r="I1048" s="3" t="s">
        <v>11</v>
      </c>
    </row>
    <row r="1049" spans="1:9" x14ac:dyDescent="0.35">
      <c r="A1049" s="3">
        <v>103406737</v>
      </c>
      <c r="B1049" s="3" t="s">
        <v>2332</v>
      </c>
      <c r="C1049" s="3" t="s">
        <v>9</v>
      </c>
      <c r="D1049" s="3" t="s">
        <v>5</v>
      </c>
      <c r="E1049" s="3" t="s">
        <v>10</v>
      </c>
      <c r="F1049" s="3" t="s">
        <v>2333</v>
      </c>
      <c r="G1049" s="3" t="s">
        <v>2334</v>
      </c>
      <c r="H1049" s="3">
        <v>819</v>
      </c>
      <c r="I1049" s="3" t="s">
        <v>11</v>
      </c>
    </row>
    <row r="1050" spans="1:9" x14ac:dyDescent="0.35">
      <c r="A1050" s="3">
        <v>103406781</v>
      </c>
      <c r="B1050" s="3" t="s">
        <v>2335</v>
      </c>
      <c r="C1050" s="3" t="s">
        <v>9</v>
      </c>
      <c r="D1050" s="3" t="s">
        <v>5</v>
      </c>
      <c r="E1050" s="3" t="s">
        <v>10</v>
      </c>
      <c r="F1050" s="3" t="s">
        <v>2336</v>
      </c>
      <c r="G1050" s="3" t="s">
        <v>2337</v>
      </c>
      <c r="H1050" s="5">
        <v>3899</v>
      </c>
      <c r="I1050" s="3" t="s">
        <v>11</v>
      </c>
    </row>
    <row r="1051" spans="1:9" x14ac:dyDescent="0.35">
      <c r="A1051" s="3">
        <v>103406734</v>
      </c>
      <c r="B1051" s="3" t="s">
        <v>2338</v>
      </c>
      <c r="C1051" s="3" t="s">
        <v>9</v>
      </c>
      <c r="D1051" s="3" t="s">
        <v>5</v>
      </c>
      <c r="E1051" s="3" t="s">
        <v>12</v>
      </c>
      <c r="F1051" s="3" t="s">
        <v>2339</v>
      </c>
      <c r="G1051" s="3" t="s">
        <v>2340</v>
      </c>
      <c r="H1051" s="4">
        <v>2849.05</v>
      </c>
      <c r="I1051" s="3" t="s">
        <v>11</v>
      </c>
    </row>
    <row r="1052" spans="1:9" x14ac:dyDescent="0.35">
      <c r="A1052" s="3">
        <v>103406777</v>
      </c>
      <c r="B1052" s="3" t="s">
        <v>2341</v>
      </c>
      <c r="C1052" s="3" t="s">
        <v>9</v>
      </c>
      <c r="D1052" s="3" t="s">
        <v>5</v>
      </c>
      <c r="E1052" s="3" t="s">
        <v>12</v>
      </c>
      <c r="F1052" s="3" t="s">
        <v>2342</v>
      </c>
      <c r="G1052" s="3" t="s">
        <v>2343</v>
      </c>
      <c r="H1052" s="5">
        <v>3019</v>
      </c>
      <c r="I1052" s="3" t="s">
        <v>11</v>
      </c>
    </row>
    <row r="1053" spans="1:9" x14ac:dyDescent="0.35">
      <c r="A1053" s="3">
        <v>103406731</v>
      </c>
      <c r="B1053" s="3" t="s">
        <v>2344</v>
      </c>
      <c r="C1053" s="3" t="s">
        <v>9</v>
      </c>
      <c r="D1053" s="3" t="s">
        <v>5</v>
      </c>
      <c r="E1053" s="3" t="s">
        <v>10</v>
      </c>
      <c r="F1053" s="3" t="s">
        <v>2345</v>
      </c>
      <c r="G1053" s="3" t="s">
        <v>2346</v>
      </c>
      <c r="H1053" s="4">
        <v>1414.55</v>
      </c>
      <c r="I1053" s="3" t="s">
        <v>11</v>
      </c>
    </row>
    <row r="1054" spans="1:9" x14ac:dyDescent="0.35">
      <c r="A1054" s="3">
        <v>103406730</v>
      </c>
      <c r="B1054" s="3" t="s">
        <v>2347</v>
      </c>
      <c r="C1054" s="3" t="s">
        <v>9</v>
      </c>
      <c r="D1054" s="3" t="s">
        <v>5</v>
      </c>
      <c r="E1054" s="3" t="s">
        <v>10</v>
      </c>
      <c r="F1054" s="3" t="s">
        <v>2348</v>
      </c>
      <c r="G1054" s="3" t="s">
        <v>2349</v>
      </c>
      <c r="H1054" s="4">
        <v>2991.55</v>
      </c>
      <c r="I1054" s="3" t="s">
        <v>11</v>
      </c>
    </row>
    <row r="1055" spans="1:9" x14ac:dyDescent="0.35">
      <c r="A1055" s="3">
        <v>103406729</v>
      </c>
      <c r="B1055" s="3" t="s">
        <v>2350</v>
      </c>
      <c r="C1055" s="3" t="s">
        <v>9</v>
      </c>
      <c r="D1055" s="3" t="s">
        <v>5</v>
      </c>
      <c r="E1055" s="3" t="s">
        <v>10</v>
      </c>
      <c r="F1055" s="3" t="s">
        <v>2351</v>
      </c>
      <c r="G1055" s="3" t="s">
        <v>2352</v>
      </c>
      <c r="H1055" s="4">
        <v>3419.05</v>
      </c>
      <c r="I1055" s="3" t="s">
        <v>11</v>
      </c>
    </row>
    <row r="1056" spans="1:9" x14ac:dyDescent="0.35">
      <c r="A1056" s="3">
        <v>103406776</v>
      </c>
      <c r="B1056" s="3" t="s">
        <v>2353</v>
      </c>
      <c r="C1056" s="3" t="s">
        <v>9</v>
      </c>
      <c r="D1056" s="3" t="s">
        <v>5</v>
      </c>
      <c r="E1056" s="3" t="s">
        <v>10</v>
      </c>
      <c r="F1056" s="3" t="s">
        <v>2354</v>
      </c>
      <c r="G1056" s="3" t="s">
        <v>2355</v>
      </c>
      <c r="H1056" s="4">
        <v>1851.55</v>
      </c>
      <c r="I1056" s="3" t="s">
        <v>11</v>
      </c>
    </row>
    <row r="1057" spans="1:9" x14ac:dyDescent="0.35">
      <c r="A1057" s="3">
        <v>103406721</v>
      </c>
      <c r="B1057" s="3" t="s">
        <v>2356</v>
      </c>
      <c r="C1057" s="3" t="s">
        <v>9</v>
      </c>
      <c r="D1057" s="3" t="s">
        <v>5</v>
      </c>
      <c r="E1057" s="3" t="s">
        <v>10</v>
      </c>
      <c r="F1057" s="3" t="s">
        <v>2357</v>
      </c>
      <c r="G1057" s="3" t="s">
        <v>2358</v>
      </c>
      <c r="H1057" s="4">
        <v>1633.05</v>
      </c>
      <c r="I1057" s="3" t="s">
        <v>11</v>
      </c>
    </row>
    <row r="1058" spans="1:9" x14ac:dyDescent="0.35">
      <c r="A1058" s="3">
        <v>103406720</v>
      </c>
      <c r="B1058" s="3" t="s">
        <v>2359</v>
      </c>
      <c r="C1058" s="3" t="s">
        <v>9</v>
      </c>
      <c r="D1058" s="3" t="s">
        <v>5</v>
      </c>
      <c r="E1058" s="3" t="s">
        <v>10</v>
      </c>
      <c r="F1058" s="3" t="s">
        <v>2360</v>
      </c>
      <c r="G1058" s="3" t="s">
        <v>2361</v>
      </c>
      <c r="H1058" s="3">
        <v>879</v>
      </c>
      <c r="I1058" s="3" t="s">
        <v>11</v>
      </c>
    </row>
    <row r="1059" spans="1:9" x14ac:dyDescent="0.35">
      <c r="A1059" s="3">
        <v>103406718</v>
      </c>
      <c r="B1059" s="3" t="s">
        <v>2362</v>
      </c>
      <c r="C1059" s="3" t="s">
        <v>9</v>
      </c>
      <c r="D1059" s="3" t="s">
        <v>5</v>
      </c>
      <c r="E1059" s="3" t="s">
        <v>10</v>
      </c>
      <c r="F1059" s="3" t="s">
        <v>2363</v>
      </c>
      <c r="G1059" s="3" t="s">
        <v>2364</v>
      </c>
      <c r="H1059" s="5">
        <v>1259</v>
      </c>
      <c r="I1059" s="3" t="s">
        <v>11</v>
      </c>
    </row>
    <row r="1060" spans="1:9" x14ac:dyDescent="0.35">
      <c r="A1060" s="3">
        <v>103406768</v>
      </c>
      <c r="B1060" s="3" t="s">
        <v>2365</v>
      </c>
      <c r="C1060" s="3" t="s">
        <v>9</v>
      </c>
      <c r="D1060" s="3" t="s">
        <v>5</v>
      </c>
      <c r="E1060" s="3" t="s">
        <v>10</v>
      </c>
      <c r="F1060" s="3" t="s">
        <v>2366</v>
      </c>
      <c r="G1060" s="3" t="s">
        <v>2367</v>
      </c>
      <c r="H1060" s="4">
        <v>3717.4</v>
      </c>
      <c r="I1060" s="3" t="s">
        <v>11</v>
      </c>
    </row>
    <row r="1061" spans="1:9" x14ac:dyDescent="0.35">
      <c r="A1061" s="3">
        <v>103406717</v>
      </c>
      <c r="B1061" s="3" t="s">
        <v>2368</v>
      </c>
      <c r="C1061" s="3" t="s">
        <v>9</v>
      </c>
      <c r="D1061" s="3" t="s">
        <v>5</v>
      </c>
      <c r="E1061" s="3" t="s">
        <v>10</v>
      </c>
      <c r="F1061" s="3" t="s">
        <v>2369</v>
      </c>
      <c r="G1061" s="3" t="s">
        <v>2370</v>
      </c>
      <c r="H1061" s="4">
        <v>1084.1400000000001</v>
      </c>
      <c r="I1061" s="3" t="s">
        <v>11</v>
      </c>
    </row>
    <row r="1062" spans="1:9" x14ac:dyDescent="0.35">
      <c r="A1062" s="3">
        <v>103406767</v>
      </c>
      <c r="B1062" s="3" t="s">
        <v>2371</v>
      </c>
      <c r="C1062" s="3" t="s">
        <v>9</v>
      </c>
      <c r="D1062" s="3" t="s">
        <v>5</v>
      </c>
      <c r="E1062" s="3" t="s">
        <v>10</v>
      </c>
      <c r="F1062" s="3" t="s">
        <v>2372</v>
      </c>
      <c r="G1062" s="3" t="s">
        <v>2373</v>
      </c>
      <c r="H1062" s="5">
        <v>1249</v>
      </c>
      <c r="I1062" s="3" t="s">
        <v>11</v>
      </c>
    </row>
    <row r="1063" spans="1:9" x14ac:dyDescent="0.35">
      <c r="A1063" s="3">
        <v>103406714</v>
      </c>
      <c r="B1063" s="3" t="s">
        <v>2374</v>
      </c>
      <c r="C1063" s="3" t="s">
        <v>9</v>
      </c>
      <c r="D1063" s="3" t="s">
        <v>5</v>
      </c>
      <c r="E1063" s="3" t="s">
        <v>10</v>
      </c>
      <c r="F1063" s="3" t="s">
        <v>2375</v>
      </c>
      <c r="G1063" s="3" t="s">
        <v>2376</v>
      </c>
      <c r="H1063" s="3">
        <v>887.49</v>
      </c>
      <c r="I1063" s="3" t="s">
        <v>11</v>
      </c>
    </row>
    <row r="1064" spans="1:9" x14ac:dyDescent="0.35">
      <c r="A1064" s="3">
        <v>103406713</v>
      </c>
      <c r="B1064" s="3" t="s">
        <v>2377</v>
      </c>
      <c r="C1064" s="3" t="s">
        <v>9</v>
      </c>
      <c r="D1064" s="3" t="s">
        <v>5</v>
      </c>
      <c r="E1064" s="3" t="s">
        <v>10</v>
      </c>
      <c r="F1064" s="3" t="s">
        <v>2378</v>
      </c>
      <c r="G1064" s="3" t="s">
        <v>2379</v>
      </c>
      <c r="H1064" s="4">
        <v>2136.5500000000002</v>
      </c>
      <c r="I1064" s="3" t="s">
        <v>11</v>
      </c>
    </row>
    <row r="1065" spans="1:9" x14ac:dyDescent="0.35">
      <c r="A1065" s="3">
        <v>103406662</v>
      </c>
      <c r="B1065" s="3" t="s">
        <v>2380</v>
      </c>
      <c r="C1065" s="3" t="s">
        <v>9</v>
      </c>
      <c r="D1065" s="3" t="s">
        <v>5</v>
      </c>
      <c r="E1065" s="3" t="s">
        <v>10</v>
      </c>
      <c r="F1065" s="3" t="s">
        <v>2381</v>
      </c>
      <c r="G1065" s="3" t="s">
        <v>2382</v>
      </c>
      <c r="H1065" s="5">
        <v>3599</v>
      </c>
      <c r="I1065" s="3" t="s">
        <v>11</v>
      </c>
    </row>
    <row r="1066" spans="1:9" x14ac:dyDescent="0.35">
      <c r="A1066" s="3">
        <v>103406659</v>
      </c>
      <c r="B1066" s="3" t="s">
        <v>2383</v>
      </c>
      <c r="C1066" s="3" t="s">
        <v>9</v>
      </c>
      <c r="D1066" s="3" t="s">
        <v>5</v>
      </c>
      <c r="E1066" s="3" t="s">
        <v>10</v>
      </c>
      <c r="F1066" s="3" t="s">
        <v>2384</v>
      </c>
      <c r="G1066" s="3" t="s">
        <v>2385</v>
      </c>
      <c r="H1066" s="5">
        <v>3816</v>
      </c>
      <c r="I1066" s="3" t="s">
        <v>11</v>
      </c>
    </row>
    <row r="1067" spans="1:9" x14ac:dyDescent="0.35">
      <c r="A1067" s="3">
        <v>103406708</v>
      </c>
      <c r="B1067" s="3" t="s">
        <v>2386</v>
      </c>
      <c r="C1067" s="3" t="s">
        <v>9</v>
      </c>
      <c r="D1067" s="3" t="s">
        <v>5</v>
      </c>
      <c r="E1067" s="3" t="s">
        <v>10</v>
      </c>
      <c r="F1067" s="3" t="s">
        <v>2387</v>
      </c>
      <c r="G1067" s="3" t="s">
        <v>2388</v>
      </c>
      <c r="H1067" s="4">
        <v>2089.0500000000002</v>
      </c>
      <c r="I1067" s="3" t="s">
        <v>11</v>
      </c>
    </row>
    <row r="1068" spans="1:9" x14ac:dyDescent="0.35">
      <c r="A1068" s="3">
        <v>103406704</v>
      </c>
      <c r="B1068" s="3" t="s">
        <v>2389</v>
      </c>
      <c r="C1068" s="3" t="s">
        <v>9</v>
      </c>
      <c r="D1068" s="3" t="s">
        <v>5</v>
      </c>
      <c r="E1068" s="3" t="s">
        <v>10</v>
      </c>
      <c r="F1068" s="3" t="s">
        <v>2390</v>
      </c>
      <c r="G1068" s="3" t="s">
        <v>2391</v>
      </c>
      <c r="H1068" s="5">
        <v>4999</v>
      </c>
      <c r="I1068" s="3" t="s">
        <v>11</v>
      </c>
    </row>
    <row r="1069" spans="1:9" x14ac:dyDescent="0.35">
      <c r="A1069" s="3">
        <v>103406701</v>
      </c>
      <c r="B1069" s="3" t="s">
        <v>2392</v>
      </c>
      <c r="C1069" s="3" t="s">
        <v>9</v>
      </c>
      <c r="D1069" s="3" t="s">
        <v>5</v>
      </c>
      <c r="E1069" s="3" t="s">
        <v>10</v>
      </c>
      <c r="F1069" s="3" t="s">
        <v>2393</v>
      </c>
      <c r="G1069" s="3" t="s">
        <v>2394</v>
      </c>
      <c r="H1069" s="5">
        <v>1199</v>
      </c>
      <c r="I1069" s="3" t="s">
        <v>11</v>
      </c>
    </row>
    <row r="1070" spans="1:9" x14ac:dyDescent="0.35">
      <c r="A1070" s="3">
        <v>103406695</v>
      </c>
      <c r="B1070" s="3" t="s">
        <v>2395</v>
      </c>
      <c r="C1070" s="3" t="s">
        <v>9</v>
      </c>
      <c r="D1070" s="3" t="s">
        <v>5</v>
      </c>
      <c r="E1070" s="3" t="s">
        <v>10</v>
      </c>
      <c r="F1070" s="3" t="s">
        <v>2396</v>
      </c>
      <c r="G1070" s="3" t="s">
        <v>2397</v>
      </c>
      <c r="H1070" s="3">
        <v>489</v>
      </c>
      <c r="I1070" s="3" t="s">
        <v>11</v>
      </c>
    </row>
    <row r="1071" spans="1:9" x14ac:dyDescent="0.35">
      <c r="A1071" s="3">
        <v>103406693</v>
      </c>
      <c r="B1071" s="3" t="s">
        <v>2398</v>
      </c>
      <c r="C1071" s="3" t="s">
        <v>9</v>
      </c>
      <c r="D1071" s="3" t="s">
        <v>5</v>
      </c>
      <c r="E1071" s="3" t="s">
        <v>10</v>
      </c>
      <c r="F1071" s="3" t="s">
        <v>2399</v>
      </c>
      <c r="G1071" s="3" t="s">
        <v>2400</v>
      </c>
      <c r="H1071" s="5">
        <v>2449</v>
      </c>
      <c r="I1071" s="3" t="s">
        <v>11</v>
      </c>
    </row>
    <row r="1072" spans="1:9" x14ac:dyDescent="0.35">
      <c r="A1072" s="3">
        <v>103406641</v>
      </c>
      <c r="B1072" s="3" t="s">
        <v>2401</v>
      </c>
      <c r="C1072" s="3" t="s">
        <v>9</v>
      </c>
      <c r="D1072" s="3" t="s">
        <v>5</v>
      </c>
      <c r="E1072" s="3" t="s">
        <v>10</v>
      </c>
      <c r="F1072" s="3" t="s">
        <v>2402</v>
      </c>
      <c r="G1072" s="3" t="s">
        <v>2403</v>
      </c>
      <c r="H1072" s="3">
        <v>599</v>
      </c>
      <c r="I1072" s="3" t="s">
        <v>11</v>
      </c>
    </row>
    <row r="1073" spans="1:9" x14ac:dyDescent="0.35">
      <c r="A1073" s="3">
        <v>103406684</v>
      </c>
      <c r="B1073" s="3" t="s">
        <v>2404</v>
      </c>
      <c r="C1073" s="3" t="s">
        <v>9</v>
      </c>
      <c r="D1073" s="3" t="s">
        <v>5</v>
      </c>
      <c r="E1073" s="3" t="s">
        <v>10</v>
      </c>
      <c r="F1073" s="3" t="s">
        <v>2405</v>
      </c>
      <c r="G1073" s="3" t="s">
        <v>2406</v>
      </c>
      <c r="H1073" s="3">
        <v>419</v>
      </c>
      <c r="I1073" s="3" t="s">
        <v>11</v>
      </c>
    </row>
    <row r="1074" spans="1:9" x14ac:dyDescent="0.35">
      <c r="A1074" s="3">
        <v>103406671</v>
      </c>
      <c r="B1074" s="3" t="s">
        <v>2407</v>
      </c>
      <c r="C1074" s="3" t="s">
        <v>9</v>
      </c>
      <c r="D1074" s="3" t="s">
        <v>5</v>
      </c>
      <c r="E1074" s="3" t="s">
        <v>10</v>
      </c>
      <c r="F1074" s="3" t="s">
        <v>2408</v>
      </c>
      <c r="G1074" s="3" t="s">
        <v>2409</v>
      </c>
      <c r="H1074" s="4">
        <v>1110.55</v>
      </c>
      <c r="I1074" s="3" t="s">
        <v>11</v>
      </c>
    </row>
    <row r="1075" spans="1:9" x14ac:dyDescent="0.35">
      <c r="A1075" s="3">
        <v>103406627</v>
      </c>
      <c r="B1075" s="3" t="s">
        <v>2410</v>
      </c>
      <c r="C1075" s="3" t="s">
        <v>9</v>
      </c>
      <c r="D1075" s="3" t="s">
        <v>5</v>
      </c>
      <c r="E1075" s="3" t="s">
        <v>10</v>
      </c>
      <c r="F1075" s="3" t="s">
        <v>2411</v>
      </c>
      <c r="G1075" s="3" t="s">
        <v>2412</v>
      </c>
      <c r="H1075" s="4">
        <v>1251.1500000000001</v>
      </c>
      <c r="I1075" s="3" t="s">
        <v>11</v>
      </c>
    </row>
    <row r="1076" spans="1:9" x14ac:dyDescent="0.35">
      <c r="A1076" s="3">
        <v>103406666</v>
      </c>
      <c r="B1076" s="3" t="s">
        <v>2413</v>
      </c>
      <c r="C1076" s="3" t="s">
        <v>9</v>
      </c>
      <c r="D1076" s="3" t="s">
        <v>5</v>
      </c>
      <c r="E1076" s="3" t="s">
        <v>10</v>
      </c>
      <c r="F1076" s="3" t="s">
        <v>2414</v>
      </c>
      <c r="G1076" s="3" t="s">
        <v>2415</v>
      </c>
      <c r="H1076" s="4">
        <v>1217.47</v>
      </c>
      <c r="I1076" s="3" t="s">
        <v>11</v>
      </c>
    </row>
    <row r="1077" spans="1:9" x14ac:dyDescent="0.35">
      <c r="A1077" s="3">
        <v>103406615</v>
      </c>
      <c r="B1077" s="3" t="s">
        <v>2416</v>
      </c>
      <c r="C1077" s="3" t="s">
        <v>9</v>
      </c>
      <c r="D1077" s="3" t="s">
        <v>5</v>
      </c>
      <c r="E1077" s="3" t="s">
        <v>10</v>
      </c>
      <c r="F1077" s="3" t="s">
        <v>2214</v>
      </c>
      <c r="G1077" s="3" t="s">
        <v>2215</v>
      </c>
      <c r="H1077" s="4">
        <v>2849.05</v>
      </c>
      <c r="I1077" s="3" t="s">
        <v>11</v>
      </c>
    </row>
    <row r="1078" spans="1:9" x14ac:dyDescent="0.35">
      <c r="A1078" s="3">
        <v>103406613</v>
      </c>
      <c r="B1078" s="3" t="s">
        <v>2417</v>
      </c>
      <c r="C1078" s="3" t="s">
        <v>9</v>
      </c>
      <c r="D1078" s="3" t="s">
        <v>5</v>
      </c>
      <c r="E1078" s="3" t="s">
        <v>10</v>
      </c>
      <c r="F1078" s="3" t="s">
        <v>2418</v>
      </c>
      <c r="G1078" s="3" t="s">
        <v>2419</v>
      </c>
      <c r="H1078" s="5">
        <v>2399</v>
      </c>
      <c r="I1078" s="3" t="s">
        <v>11</v>
      </c>
    </row>
    <row r="1079" spans="1:9" x14ac:dyDescent="0.35">
      <c r="A1079" s="3">
        <v>103406563</v>
      </c>
      <c r="B1079" s="3" t="s">
        <v>2420</v>
      </c>
      <c r="C1079" s="3" t="s">
        <v>9</v>
      </c>
      <c r="D1079" s="3" t="s">
        <v>5</v>
      </c>
      <c r="E1079" s="3" t="s">
        <v>10</v>
      </c>
      <c r="F1079" s="3" t="s">
        <v>2421</v>
      </c>
      <c r="G1079" s="3" t="s">
        <v>2422</v>
      </c>
      <c r="H1079" s="5">
        <v>3849</v>
      </c>
      <c r="I1079" s="3" t="s">
        <v>11</v>
      </c>
    </row>
    <row r="1080" spans="1:9" x14ac:dyDescent="0.35">
      <c r="A1080" s="3">
        <v>103406557</v>
      </c>
      <c r="B1080" s="3" t="s">
        <v>2423</v>
      </c>
      <c r="C1080" s="3" t="s">
        <v>9</v>
      </c>
      <c r="D1080" s="3" t="s">
        <v>5</v>
      </c>
      <c r="E1080" s="3" t="s">
        <v>12</v>
      </c>
      <c r="F1080" s="3" t="s">
        <v>2424</v>
      </c>
      <c r="G1080" s="3" t="s">
        <v>2425</v>
      </c>
      <c r="H1080" s="5">
        <v>1999</v>
      </c>
      <c r="I1080" s="3" t="s">
        <v>11</v>
      </c>
    </row>
    <row r="1081" spans="1:9" x14ac:dyDescent="0.35">
      <c r="A1081" s="3">
        <v>103406606</v>
      </c>
      <c r="B1081" s="3" t="s">
        <v>2426</v>
      </c>
      <c r="C1081" s="3" t="s">
        <v>9</v>
      </c>
      <c r="D1081" s="3" t="s">
        <v>5</v>
      </c>
      <c r="E1081" s="3" t="s">
        <v>10</v>
      </c>
      <c r="F1081" s="3" t="s">
        <v>2427</v>
      </c>
      <c r="G1081" s="3" t="s">
        <v>2428</v>
      </c>
      <c r="H1081" s="5">
        <v>2599</v>
      </c>
      <c r="I1081" s="3" t="s">
        <v>11</v>
      </c>
    </row>
    <row r="1082" spans="1:9" x14ac:dyDescent="0.35">
      <c r="A1082" s="3">
        <v>103406605</v>
      </c>
      <c r="B1082" s="3" t="s">
        <v>4788</v>
      </c>
      <c r="C1082" s="3" t="s">
        <v>9</v>
      </c>
      <c r="D1082" s="3" t="s">
        <v>5</v>
      </c>
      <c r="E1082" s="3" t="s">
        <v>10</v>
      </c>
      <c r="F1082" s="3" t="s">
        <v>4789</v>
      </c>
      <c r="G1082" s="3" t="s">
        <v>4790</v>
      </c>
      <c r="H1082" s="4">
        <v>1196.05</v>
      </c>
      <c r="I1082" s="3" t="s">
        <v>13</v>
      </c>
    </row>
    <row r="1083" spans="1:9" x14ac:dyDescent="0.35">
      <c r="A1083" s="3">
        <v>103406603</v>
      </c>
      <c r="B1083" s="3" t="s">
        <v>2429</v>
      </c>
      <c r="C1083" s="3" t="s">
        <v>9</v>
      </c>
      <c r="D1083" s="3" t="s">
        <v>5</v>
      </c>
      <c r="E1083" s="3" t="s">
        <v>10</v>
      </c>
      <c r="F1083" s="3" t="s">
        <v>2430</v>
      </c>
      <c r="G1083" s="3" t="s">
        <v>2431</v>
      </c>
      <c r="H1083" s="3">
        <v>531.04999999999995</v>
      </c>
      <c r="I1083" s="3" t="s">
        <v>11</v>
      </c>
    </row>
    <row r="1084" spans="1:9" x14ac:dyDescent="0.35">
      <c r="A1084" s="3">
        <v>103406539</v>
      </c>
      <c r="B1084" s="3" t="s">
        <v>2432</v>
      </c>
      <c r="C1084" s="3" t="s">
        <v>9</v>
      </c>
      <c r="D1084" s="3" t="s">
        <v>5</v>
      </c>
      <c r="E1084" s="3" t="s">
        <v>10</v>
      </c>
      <c r="F1084" s="3" t="s">
        <v>2433</v>
      </c>
      <c r="G1084" s="3" t="s">
        <v>2434</v>
      </c>
      <c r="H1084" s="5">
        <v>1499</v>
      </c>
      <c r="I1084" s="3" t="s">
        <v>11</v>
      </c>
    </row>
    <row r="1085" spans="1:9" x14ac:dyDescent="0.35">
      <c r="A1085" s="3">
        <v>103406601</v>
      </c>
      <c r="B1085" s="3" t="s">
        <v>2435</v>
      </c>
      <c r="C1085" s="3" t="s">
        <v>9</v>
      </c>
      <c r="D1085" s="3" t="s">
        <v>5</v>
      </c>
      <c r="E1085" s="3" t="s">
        <v>10</v>
      </c>
      <c r="F1085" s="3" t="s">
        <v>2436</v>
      </c>
      <c r="G1085" s="3" t="s">
        <v>2437</v>
      </c>
      <c r="H1085" s="5">
        <v>1399</v>
      </c>
      <c r="I1085" s="3" t="s">
        <v>11</v>
      </c>
    </row>
    <row r="1086" spans="1:9" x14ac:dyDescent="0.35">
      <c r="A1086" s="3">
        <v>103406535</v>
      </c>
      <c r="B1086" s="3" t="s">
        <v>2438</v>
      </c>
      <c r="C1086" s="3" t="s">
        <v>9</v>
      </c>
      <c r="D1086" s="3" t="s">
        <v>5</v>
      </c>
      <c r="E1086" s="3" t="s">
        <v>10</v>
      </c>
      <c r="F1086" s="3" t="s">
        <v>2439</v>
      </c>
      <c r="G1086" s="3" t="s">
        <v>2440</v>
      </c>
      <c r="H1086" s="4">
        <v>3656.55</v>
      </c>
      <c r="I1086" s="3" t="s">
        <v>11</v>
      </c>
    </row>
    <row r="1087" spans="1:9" x14ac:dyDescent="0.35">
      <c r="A1087" s="3">
        <v>103406531</v>
      </c>
      <c r="B1087" s="3" t="s">
        <v>2441</v>
      </c>
      <c r="C1087" s="3" t="s">
        <v>9</v>
      </c>
      <c r="D1087" s="3" t="s">
        <v>5</v>
      </c>
      <c r="E1087" s="3" t="s">
        <v>10</v>
      </c>
      <c r="F1087" s="3" t="s">
        <v>2442</v>
      </c>
      <c r="G1087" s="3" t="s">
        <v>2443</v>
      </c>
      <c r="H1087" s="4">
        <v>14246.2</v>
      </c>
      <c r="I1087" s="3" t="s">
        <v>11</v>
      </c>
    </row>
    <row r="1088" spans="1:9" x14ac:dyDescent="0.35">
      <c r="A1088" s="3">
        <v>103406529</v>
      </c>
      <c r="B1088" s="3" t="s">
        <v>2444</v>
      </c>
      <c r="C1088" s="3" t="s">
        <v>9</v>
      </c>
      <c r="D1088" s="3" t="s">
        <v>5</v>
      </c>
      <c r="E1088" s="3" t="s">
        <v>10</v>
      </c>
      <c r="F1088" s="3" t="s">
        <v>2445</v>
      </c>
      <c r="G1088" s="3" t="s">
        <v>2446</v>
      </c>
      <c r="H1088" s="4">
        <v>1281.6400000000001</v>
      </c>
      <c r="I1088" s="3" t="s">
        <v>11</v>
      </c>
    </row>
    <row r="1089" spans="1:9" x14ac:dyDescent="0.35">
      <c r="A1089" s="3">
        <v>103406526</v>
      </c>
      <c r="B1089" s="3" t="s">
        <v>2447</v>
      </c>
      <c r="C1089" s="3" t="s">
        <v>9</v>
      </c>
      <c r="D1089" s="3" t="s">
        <v>5</v>
      </c>
      <c r="E1089" s="3" t="s">
        <v>10</v>
      </c>
      <c r="F1089" s="3" t="s">
        <v>2448</v>
      </c>
      <c r="G1089" s="3" t="s">
        <v>2449</v>
      </c>
      <c r="H1089" s="5">
        <v>2398</v>
      </c>
      <c r="I1089" s="3" t="s">
        <v>11</v>
      </c>
    </row>
    <row r="1090" spans="1:9" x14ac:dyDescent="0.35">
      <c r="A1090" s="3">
        <v>103406523</v>
      </c>
      <c r="B1090" s="3" t="s">
        <v>2450</v>
      </c>
      <c r="C1090" s="3" t="s">
        <v>9</v>
      </c>
      <c r="D1090" s="3" t="s">
        <v>5</v>
      </c>
      <c r="E1090" s="3" t="s">
        <v>10</v>
      </c>
      <c r="F1090" s="3" t="s">
        <v>2451</v>
      </c>
      <c r="G1090" s="3" t="s">
        <v>2452</v>
      </c>
      <c r="H1090" s="4">
        <v>1651.1</v>
      </c>
      <c r="I1090" s="3" t="s">
        <v>11</v>
      </c>
    </row>
    <row r="1091" spans="1:9" x14ac:dyDescent="0.35">
      <c r="A1091" s="3">
        <v>103406587</v>
      </c>
      <c r="B1091" s="3" t="s">
        <v>2453</v>
      </c>
      <c r="C1091" s="3" t="s">
        <v>9</v>
      </c>
      <c r="D1091" s="3" t="s">
        <v>5</v>
      </c>
      <c r="E1091" s="3" t="s">
        <v>10</v>
      </c>
      <c r="F1091" s="3" t="s">
        <v>2454</v>
      </c>
      <c r="G1091" s="3" t="s">
        <v>2455</v>
      </c>
      <c r="H1091" s="4">
        <v>1091.55</v>
      </c>
      <c r="I1091" s="3" t="s">
        <v>11</v>
      </c>
    </row>
    <row r="1092" spans="1:9" x14ac:dyDescent="0.35">
      <c r="A1092" s="3">
        <v>103406582</v>
      </c>
      <c r="B1092" s="3" t="s">
        <v>2456</v>
      </c>
      <c r="C1092" s="3" t="s">
        <v>9</v>
      </c>
      <c r="D1092" s="3" t="s">
        <v>5</v>
      </c>
      <c r="E1092" s="3" t="s">
        <v>10</v>
      </c>
      <c r="F1092" s="3" t="s">
        <v>2457</v>
      </c>
      <c r="G1092" s="3" t="s">
        <v>2458</v>
      </c>
      <c r="H1092" s="4">
        <v>4274.05</v>
      </c>
      <c r="I1092" s="3" t="s">
        <v>11</v>
      </c>
    </row>
    <row r="1093" spans="1:9" x14ac:dyDescent="0.35">
      <c r="A1093" s="3">
        <v>103406518</v>
      </c>
      <c r="B1093" s="3" t="s">
        <v>2459</v>
      </c>
      <c r="C1093" s="3" t="s">
        <v>9</v>
      </c>
      <c r="D1093" s="3" t="s">
        <v>5</v>
      </c>
      <c r="E1093" s="3" t="s">
        <v>10</v>
      </c>
      <c r="F1093" s="3" t="s">
        <v>2460</v>
      </c>
      <c r="G1093" s="3" t="s">
        <v>2461</v>
      </c>
      <c r="H1093" s="5">
        <v>1839</v>
      </c>
      <c r="I1093" s="3" t="s">
        <v>11</v>
      </c>
    </row>
    <row r="1094" spans="1:9" x14ac:dyDescent="0.35">
      <c r="A1094" s="3">
        <v>103406513</v>
      </c>
      <c r="B1094" s="3" t="s">
        <v>2462</v>
      </c>
      <c r="C1094" s="3" t="s">
        <v>9</v>
      </c>
      <c r="D1094" s="3" t="s">
        <v>5</v>
      </c>
      <c r="E1094" s="3" t="s">
        <v>10</v>
      </c>
      <c r="F1094" s="3" t="s">
        <v>2463</v>
      </c>
      <c r="G1094" s="3" t="s">
        <v>2464</v>
      </c>
      <c r="H1094" s="4">
        <v>1167.55</v>
      </c>
      <c r="I1094" s="3" t="s">
        <v>11</v>
      </c>
    </row>
    <row r="1095" spans="1:9" x14ac:dyDescent="0.35">
      <c r="A1095" s="3">
        <v>103406512</v>
      </c>
      <c r="B1095" s="3" t="s">
        <v>2465</v>
      </c>
      <c r="C1095" s="3" t="s">
        <v>9</v>
      </c>
      <c r="D1095" s="3" t="s">
        <v>5</v>
      </c>
      <c r="E1095" s="3" t="s">
        <v>10</v>
      </c>
      <c r="F1095" s="3" t="s">
        <v>2466</v>
      </c>
      <c r="G1095" s="3" t="s">
        <v>2467</v>
      </c>
      <c r="H1095" s="4">
        <v>1899.05</v>
      </c>
      <c r="I1095" s="3" t="s">
        <v>11</v>
      </c>
    </row>
    <row r="1096" spans="1:9" x14ac:dyDescent="0.35">
      <c r="A1096" s="3">
        <v>103406510</v>
      </c>
      <c r="B1096" s="3" t="s">
        <v>2468</v>
      </c>
      <c r="C1096" s="3" t="s">
        <v>9</v>
      </c>
      <c r="D1096" s="3" t="s">
        <v>5</v>
      </c>
      <c r="E1096" s="3" t="s">
        <v>10</v>
      </c>
      <c r="F1096" s="3" t="s">
        <v>2469</v>
      </c>
      <c r="G1096" s="3" t="s">
        <v>2470</v>
      </c>
      <c r="H1096" s="4">
        <v>3324.05</v>
      </c>
      <c r="I1096" s="3" t="s">
        <v>11</v>
      </c>
    </row>
    <row r="1097" spans="1:9" x14ac:dyDescent="0.35">
      <c r="A1097" s="3">
        <v>103406573</v>
      </c>
      <c r="B1097" s="3" t="s">
        <v>2471</v>
      </c>
      <c r="C1097" s="3" t="s">
        <v>9</v>
      </c>
      <c r="D1097" s="3" t="s">
        <v>5</v>
      </c>
      <c r="E1097" s="3" t="s">
        <v>10</v>
      </c>
      <c r="F1097" s="3" t="s">
        <v>2472</v>
      </c>
      <c r="G1097" s="3" t="s">
        <v>2473</v>
      </c>
      <c r="H1097" s="3">
        <v>649</v>
      </c>
      <c r="I1097" s="3" t="s">
        <v>11</v>
      </c>
    </row>
    <row r="1098" spans="1:9" x14ac:dyDescent="0.35">
      <c r="A1098" s="3">
        <v>103406507</v>
      </c>
      <c r="B1098" s="3" t="s">
        <v>2474</v>
      </c>
      <c r="C1098" s="3" t="s">
        <v>9</v>
      </c>
      <c r="D1098" s="3" t="s">
        <v>5</v>
      </c>
      <c r="E1098" s="3" t="s">
        <v>10</v>
      </c>
      <c r="F1098" s="3" t="s">
        <v>2475</v>
      </c>
      <c r="G1098" s="3" t="s">
        <v>2476</v>
      </c>
      <c r="H1098" s="4">
        <v>2611.5500000000002</v>
      </c>
      <c r="I1098" s="3" t="s">
        <v>11</v>
      </c>
    </row>
    <row r="1099" spans="1:9" x14ac:dyDescent="0.35">
      <c r="A1099" s="3">
        <v>103406506</v>
      </c>
      <c r="B1099" s="3" t="s">
        <v>2477</v>
      </c>
      <c r="C1099" s="3" t="s">
        <v>9</v>
      </c>
      <c r="D1099" s="3" t="s">
        <v>5</v>
      </c>
      <c r="E1099" s="3" t="s">
        <v>10</v>
      </c>
      <c r="F1099" s="3" t="s">
        <v>2478</v>
      </c>
      <c r="G1099" s="3" t="s">
        <v>2479</v>
      </c>
      <c r="H1099" s="4">
        <v>1519.05</v>
      </c>
      <c r="I1099" s="3" t="s">
        <v>11</v>
      </c>
    </row>
    <row r="1100" spans="1:9" x14ac:dyDescent="0.35">
      <c r="A1100" s="3">
        <v>103406572</v>
      </c>
      <c r="B1100" s="3" t="s">
        <v>2480</v>
      </c>
      <c r="C1100" s="3" t="s">
        <v>9</v>
      </c>
      <c r="D1100" s="3" t="s">
        <v>5</v>
      </c>
      <c r="E1100" s="3" t="s">
        <v>10</v>
      </c>
      <c r="F1100" s="3" t="s">
        <v>2481</v>
      </c>
      <c r="G1100" s="3" t="s">
        <v>2482</v>
      </c>
      <c r="H1100" s="4">
        <v>6667.29</v>
      </c>
      <c r="I1100" s="3" t="s">
        <v>11</v>
      </c>
    </row>
    <row r="1101" spans="1:9" x14ac:dyDescent="0.35">
      <c r="A1101" s="3">
        <v>103406504</v>
      </c>
      <c r="B1101" s="3" t="s">
        <v>2483</v>
      </c>
      <c r="C1101" s="3" t="s">
        <v>9</v>
      </c>
      <c r="D1101" s="3" t="s">
        <v>5</v>
      </c>
      <c r="E1101" s="3" t="s">
        <v>12</v>
      </c>
      <c r="F1101" s="3" t="s">
        <v>2484</v>
      </c>
      <c r="G1101" s="3" t="s">
        <v>2485</v>
      </c>
      <c r="H1101" s="4">
        <v>2136.64</v>
      </c>
      <c r="I1101" s="3" t="s">
        <v>11</v>
      </c>
    </row>
    <row r="1102" spans="1:9" x14ac:dyDescent="0.35">
      <c r="A1102" s="3">
        <v>103406502</v>
      </c>
      <c r="B1102" s="3" t="s">
        <v>4791</v>
      </c>
      <c r="C1102" s="3" t="s">
        <v>9</v>
      </c>
      <c r="D1102" s="3" t="s">
        <v>5</v>
      </c>
      <c r="E1102" s="3" t="s">
        <v>10</v>
      </c>
      <c r="F1102" s="3" t="s">
        <v>2223</v>
      </c>
      <c r="G1102" s="3" t="s">
        <v>2224</v>
      </c>
      <c r="H1102" s="4">
        <v>2849.05</v>
      </c>
      <c r="I1102" s="3" t="s">
        <v>13</v>
      </c>
    </row>
    <row r="1103" spans="1:9" x14ac:dyDescent="0.35">
      <c r="A1103" s="3">
        <v>103406497</v>
      </c>
      <c r="B1103" s="3" t="s">
        <v>2486</v>
      </c>
      <c r="C1103" s="3" t="s">
        <v>9</v>
      </c>
      <c r="D1103" s="3" t="s">
        <v>5</v>
      </c>
      <c r="E1103" s="3" t="s">
        <v>10</v>
      </c>
      <c r="F1103" s="3" t="s">
        <v>2487</v>
      </c>
      <c r="G1103" s="3" t="s">
        <v>2488</v>
      </c>
      <c r="H1103" s="5">
        <v>1369</v>
      </c>
      <c r="I1103" s="3" t="s">
        <v>11</v>
      </c>
    </row>
    <row r="1104" spans="1:9" x14ac:dyDescent="0.35">
      <c r="A1104" s="3">
        <v>103406495</v>
      </c>
      <c r="B1104" s="3" t="s">
        <v>2489</v>
      </c>
      <c r="C1104" s="3" t="s">
        <v>9</v>
      </c>
      <c r="D1104" s="3" t="s">
        <v>5</v>
      </c>
      <c r="E1104" s="3" t="s">
        <v>10</v>
      </c>
      <c r="F1104" s="3" t="s">
        <v>2490</v>
      </c>
      <c r="G1104" s="3" t="s">
        <v>2491</v>
      </c>
      <c r="H1104" s="4">
        <v>2136.5500000000002</v>
      </c>
      <c r="I1104" s="3" t="s">
        <v>11</v>
      </c>
    </row>
    <row r="1105" spans="1:9" x14ac:dyDescent="0.35">
      <c r="A1105" s="3">
        <v>103406463</v>
      </c>
      <c r="B1105" s="3" t="s">
        <v>2492</v>
      </c>
      <c r="C1105" s="3" t="s">
        <v>9</v>
      </c>
      <c r="D1105" s="3" t="s">
        <v>5</v>
      </c>
      <c r="E1105" s="3" t="s">
        <v>10</v>
      </c>
      <c r="F1105" s="3" t="s">
        <v>2493</v>
      </c>
      <c r="G1105" s="3" t="s">
        <v>2494</v>
      </c>
      <c r="H1105" s="4">
        <v>1139.05</v>
      </c>
      <c r="I1105" s="3" t="s">
        <v>11</v>
      </c>
    </row>
    <row r="1106" spans="1:9" x14ac:dyDescent="0.35">
      <c r="A1106" s="3">
        <v>103406492</v>
      </c>
      <c r="B1106" s="3" t="s">
        <v>2495</v>
      </c>
      <c r="C1106" s="3" t="s">
        <v>9</v>
      </c>
      <c r="D1106" s="3" t="s">
        <v>5</v>
      </c>
      <c r="E1106" s="3" t="s">
        <v>10</v>
      </c>
      <c r="F1106" s="3" t="s">
        <v>2496</v>
      </c>
      <c r="G1106" s="3" t="s">
        <v>2497</v>
      </c>
      <c r="H1106" s="4">
        <v>1505.37</v>
      </c>
      <c r="I1106" s="3" t="s">
        <v>11</v>
      </c>
    </row>
    <row r="1107" spans="1:9" x14ac:dyDescent="0.35">
      <c r="A1107" s="3">
        <v>103406461</v>
      </c>
      <c r="B1107" s="3" t="s">
        <v>2498</v>
      </c>
      <c r="C1107" s="3" t="s">
        <v>9</v>
      </c>
      <c r="D1107" s="3" t="s">
        <v>5</v>
      </c>
      <c r="E1107" s="3" t="s">
        <v>10</v>
      </c>
      <c r="F1107" s="3" t="s">
        <v>2463</v>
      </c>
      <c r="G1107" s="3" t="s">
        <v>2464</v>
      </c>
      <c r="H1107" s="3">
        <v>806.55</v>
      </c>
      <c r="I1107" s="3" t="s">
        <v>11</v>
      </c>
    </row>
    <row r="1108" spans="1:9" x14ac:dyDescent="0.35">
      <c r="A1108" s="3">
        <v>103406489</v>
      </c>
      <c r="B1108" s="3" t="s">
        <v>2499</v>
      </c>
      <c r="C1108" s="3" t="s">
        <v>9</v>
      </c>
      <c r="D1108" s="3" t="s">
        <v>5</v>
      </c>
      <c r="E1108" s="3" t="s">
        <v>10</v>
      </c>
      <c r="F1108" s="3" t="s">
        <v>2500</v>
      </c>
      <c r="G1108" s="3" t="s">
        <v>2501</v>
      </c>
      <c r="H1108" s="3">
        <v>737.1</v>
      </c>
      <c r="I1108" s="3" t="s">
        <v>11</v>
      </c>
    </row>
    <row r="1109" spans="1:9" x14ac:dyDescent="0.35">
      <c r="A1109" s="3">
        <v>103406454</v>
      </c>
      <c r="B1109" s="3" t="s">
        <v>2502</v>
      </c>
      <c r="C1109" s="3" t="s">
        <v>9</v>
      </c>
      <c r="D1109" s="3" t="s">
        <v>5</v>
      </c>
      <c r="E1109" s="3" t="s">
        <v>10</v>
      </c>
      <c r="F1109" s="3" t="s">
        <v>2503</v>
      </c>
      <c r="G1109" s="3" t="s">
        <v>2504</v>
      </c>
      <c r="H1109" s="4">
        <v>3799.05</v>
      </c>
      <c r="I1109" s="3" t="s">
        <v>11</v>
      </c>
    </row>
    <row r="1110" spans="1:9" x14ac:dyDescent="0.35">
      <c r="A1110" s="3">
        <v>103406486</v>
      </c>
      <c r="B1110" s="3" t="s">
        <v>2505</v>
      </c>
      <c r="C1110" s="3" t="s">
        <v>9</v>
      </c>
      <c r="D1110" s="3" t="s">
        <v>5</v>
      </c>
      <c r="E1110" s="3" t="s">
        <v>10</v>
      </c>
      <c r="F1110" s="3" t="s">
        <v>2506</v>
      </c>
      <c r="G1110" s="3" t="s">
        <v>2507</v>
      </c>
      <c r="H1110" s="5">
        <v>2249</v>
      </c>
      <c r="I1110" s="3" t="s">
        <v>11</v>
      </c>
    </row>
    <row r="1111" spans="1:9" x14ac:dyDescent="0.35">
      <c r="A1111" s="3">
        <v>103406448</v>
      </c>
      <c r="B1111" s="3" t="s">
        <v>2508</v>
      </c>
      <c r="C1111" s="3" t="s">
        <v>9</v>
      </c>
      <c r="D1111" s="3" t="s">
        <v>5</v>
      </c>
      <c r="E1111" s="3" t="s">
        <v>10</v>
      </c>
      <c r="F1111" s="3" t="s">
        <v>2509</v>
      </c>
      <c r="G1111" s="3" t="s">
        <v>2510</v>
      </c>
      <c r="H1111" s="4">
        <v>1243.6400000000001</v>
      </c>
      <c r="I1111" s="3" t="s">
        <v>11</v>
      </c>
    </row>
    <row r="1112" spans="1:9" x14ac:dyDescent="0.35">
      <c r="A1112" s="3">
        <v>103406447</v>
      </c>
      <c r="B1112" s="3" t="s">
        <v>2511</v>
      </c>
      <c r="C1112" s="3" t="s">
        <v>9</v>
      </c>
      <c r="D1112" s="3" t="s">
        <v>5</v>
      </c>
      <c r="E1112" s="3" t="s">
        <v>12</v>
      </c>
      <c r="F1112" s="3" t="s">
        <v>2512</v>
      </c>
      <c r="G1112" s="3" t="s">
        <v>2513</v>
      </c>
      <c r="H1112" s="4">
        <v>1709.05</v>
      </c>
      <c r="I1112" s="3" t="s">
        <v>11</v>
      </c>
    </row>
    <row r="1113" spans="1:9" x14ac:dyDescent="0.35">
      <c r="A1113" s="3">
        <v>103406481</v>
      </c>
      <c r="B1113" s="3" t="s">
        <v>2514</v>
      </c>
      <c r="C1113" s="3" t="s">
        <v>9</v>
      </c>
      <c r="D1113" s="3" t="s">
        <v>5</v>
      </c>
      <c r="E1113" s="3" t="s">
        <v>10</v>
      </c>
      <c r="F1113" s="3" t="s">
        <v>2515</v>
      </c>
      <c r="G1113" s="3" t="s">
        <v>2516</v>
      </c>
      <c r="H1113" s="5">
        <v>4199</v>
      </c>
      <c r="I1113" s="3" t="s">
        <v>11</v>
      </c>
    </row>
    <row r="1114" spans="1:9" x14ac:dyDescent="0.35">
      <c r="A1114" s="3">
        <v>103406482</v>
      </c>
      <c r="B1114" s="3" t="s">
        <v>2514</v>
      </c>
      <c r="C1114" s="3" t="s">
        <v>9</v>
      </c>
      <c r="D1114" s="3" t="s">
        <v>5</v>
      </c>
      <c r="E1114" s="3" t="s">
        <v>10</v>
      </c>
      <c r="F1114" s="3" t="s">
        <v>2517</v>
      </c>
      <c r="G1114" s="3" t="s">
        <v>2518</v>
      </c>
      <c r="H1114" s="4">
        <v>1851.55</v>
      </c>
      <c r="I1114" s="3" t="s">
        <v>11</v>
      </c>
    </row>
    <row r="1115" spans="1:9" x14ac:dyDescent="0.35">
      <c r="A1115" s="3">
        <v>103406469</v>
      </c>
      <c r="B1115" s="3" t="s">
        <v>2519</v>
      </c>
      <c r="C1115" s="3" t="s">
        <v>9</v>
      </c>
      <c r="D1115" s="3" t="s">
        <v>5</v>
      </c>
      <c r="E1115" s="3" t="s">
        <v>10</v>
      </c>
      <c r="F1115" s="3" t="s">
        <v>2520</v>
      </c>
      <c r="G1115" s="3" t="s">
        <v>2521</v>
      </c>
      <c r="H1115" s="4">
        <v>10733.1</v>
      </c>
      <c r="I1115" s="3" t="s">
        <v>11</v>
      </c>
    </row>
    <row r="1116" spans="1:9" x14ac:dyDescent="0.35">
      <c r="A1116" s="3">
        <v>103406467</v>
      </c>
      <c r="B1116" s="3" t="s">
        <v>2522</v>
      </c>
      <c r="C1116" s="3" t="s">
        <v>9</v>
      </c>
      <c r="D1116" s="3" t="s">
        <v>5</v>
      </c>
      <c r="E1116" s="3" t="s">
        <v>10</v>
      </c>
      <c r="F1116" s="3" t="s">
        <v>2523</v>
      </c>
      <c r="G1116" s="3" t="s">
        <v>2524</v>
      </c>
      <c r="H1116" s="4">
        <v>2977.35</v>
      </c>
      <c r="I1116" s="3" t="s">
        <v>11</v>
      </c>
    </row>
    <row r="1117" spans="1:9" x14ac:dyDescent="0.35">
      <c r="A1117" s="3">
        <v>103406438</v>
      </c>
      <c r="B1117" s="3" t="s">
        <v>2525</v>
      </c>
      <c r="C1117" s="3" t="s">
        <v>9</v>
      </c>
      <c r="D1117" s="3" t="s">
        <v>5</v>
      </c>
      <c r="E1117" s="3" t="s">
        <v>10</v>
      </c>
      <c r="F1117" s="3" t="s">
        <v>2526</v>
      </c>
      <c r="G1117" s="3" t="s">
        <v>2527</v>
      </c>
      <c r="H1117" s="4">
        <v>1110.55</v>
      </c>
      <c r="I1117" s="3" t="s">
        <v>11</v>
      </c>
    </row>
    <row r="1118" spans="1:9" x14ac:dyDescent="0.35">
      <c r="A1118" s="3">
        <v>103406437</v>
      </c>
      <c r="B1118" s="3" t="s">
        <v>2528</v>
      </c>
      <c r="C1118" s="3" t="s">
        <v>9</v>
      </c>
      <c r="D1118" s="3" t="s">
        <v>5</v>
      </c>
      <c r="E1118" s="3" t="s">
        <v>12</v>
      </c>
      <c r="F1118" s="3" t="s">
        <v>2529</v>
      </c>
      <c r="G1118" s="3" t="s">
        <v>2530</v>
      </c>
      <c r="H1118" s="5">
        <v>2399</v>
      </c>
      <c r="I1118" s="3" t="s">
        <v>11</v>
      </c>
    </row>
    <row r="1119" spans="1:9" x14ac:dyDescent="0.35">
      <c r="A1119" s="3">
        <v>103406361</v>
      </c>
      <c r="B1119" s="3" t="s">
        <v>2531</v>
      </c>
      <c r="C1119" s="3" t="s">
        <v>9</v>
      </c>
      <c r="D1119" s="3" t="s">
        <v>5</v>
      </c>
      <c r="E1119" s="3" t="s">
        <v>10</v>
      </c>
      <c r="F1119" s="3" t="s">
        <v>2532</v>
      </c>
      <c r="G1119" s="3" t="s">
        <v>2533</v>
      </c>
      <c r="H1119" s="5">
        <v>2309</v>
      </c>
      <c r="I1119" s="3" t="s">
        <v>11</v>
      </c>
    </row>
    <row r="1120" spans="1:9" x14ac:dyDescent="0.35">
      <c r="A1120" s="3">
        <v>103406431</v>
      </c>
      <c r="B1120" s="3" t="s">
        <v>2534</v>
      </c>
      <c r="C1120" s="3" t="s">
        <v>9</v>
      </c>
      <c r="D1120" s="3" t="s">
        <v>5</v>
      </c>
      <c r="E1120" s="3" t="s">
        <v>10</v>
      </c>
      <c r="F1120" s="3" t="s">
        <v>2535</v>
      </c>
      <c r="G1120" s="3" t="s">
        <v>2536</v>
      </c>
      <c r="H1120" s="4">
        <v>2724.65</v>
      </c>
      <c r="I1120" s="3" t="s">
        <v>11</v>
      </c>
    </row>
    <row r="1121" spans="1:9" x14ac:dyDescent="0.35">
      <c r="A1121" s="3">
        <v>103406426</v>
      </c>
      <c r="B1121" s="3" t="s">
        <v>2537</v>
      </c>
      <c r="C1121" s="3" t="s">
        <v>9</v>
      </c>
      <c r="D1121" s="3" t="s">
        <v>5</v>
      </c>
      <c r="E1121" s="3" t="s">
        <v>10</v>
      </c>
      <c r="F1121" s="3" t="s">
        <v>2538</v>
      </c>
      <c r="G1121" s="3" t="s">
        <v>2539</v>
      </c>
      <c r="H1121" s="4">
        <v>2193.5500000000002</v>
      </c>
      <c r="I1121" s="3" t="s">
        <v>11</v>
      </c>
    </row>
    <row r="1122" spans="1:9" x14ac:dyDescent="0.35">
      <c r="A1122" s="3">
        <v>103406357</v>
      </c>
      <c r="B1122" s="3" t="s">
        <v>2540</v>
      </c>
      <c r="C1122" s="3" t="s">
        <v>9</v>
      </c>
      <c r="D1122" s="3" t="s">
        <v>5</v>
      </c>
      <c r="E1122" s="3" t="s">
        <v>10</v>
      </c>
      <c r="F1122" s="3" t="s">
        <v>2541</v>
      </c>
      <c r="G1122" s="3" t="s">
        <v>2542</v>
      </c>
      <c r="H1122" s="4">
        <v>2724.65</v>
      </c>
      <c r="I1122" s="3" t="s">
        <v>11</v>
      </c>
    </row>
    <row r="1123" spans="1:9" x14ac:dyDescent="0.35">
      <c r="A1123" s="3">
        <v>103406356</v>
      </c>
      <c r="B1123" s="3" t="s">
        <v>2543</v>
      </c>
      <c r="C1123" s="3" t="s">
        <v>9</v>
      </c>
      <c r="D1123" s="3" t="s">
        <v>5</v>
      </c>
      <c r="E1123" s="3" t="s">
        <v>10</v>
      </c>
      <c r="F1123" s="3" t="s">
        <v>2544</v>
      </c>
      <c r="G1123" s="3" t="s">
        <v>2545</v>
      </c>
      <c r="H1123" s="5">
        <v>3548</v>
      </c>
      <c r="I1123" s="3" t="s">
        <v>11</v>
      </c>
    </row>
    <row r="1124" spans="1:9" x14ac:dyDescent="0.35">
      <c r="A1124" s="3">
        <v>103406349</v>
      </c>
      <c r="B1124" s="3" t="s">
        <v>2546</v>
      </c>
      <c r="C1124" s="3" t="s">
        <v>9</v>
      </c>
      <c r="D1124" s="3" t="s">
        <v>5</v>
      </c>
      <c r="E1124" s="3" t="s">
        <v>10</v>
      </c>
      <c r="F1124" s="3" t="s">
        <v>2547</v>
      </c>
      <c r="G1124" s="3" t="s">
        <v>2548</v>
      </c>
      <c r="H1124" s="4">
        <v>2708.64</v>
      </c>
      <c r="I1124" s="3" t="s">
        <v>11</v>
      </c>
    </row>
    <row r="1125" spans="1:9" x14ac:dyDescent="0.35">
      <c r="A1125" s="3">
        <v>103406418</v>
      </c>
      <c r="B1125" s="3" t="s">
        <v>2549</v>
      </c>
      <c r="C1125" s="3" t="s">
        <v>9</v>
      </c>
      <c r="D1125" s="3" t="s">
        <v>5</v>
      </c>
      <c r="E1125" s="3" t="s">
        <v>12</v>
      </c>
      <c r="F1125" s="3" t="s">
        <v>2550</v>
      </c>
      <c r="G1125" s="3" t="s">
        <v>2551</v>
      </c>
      <c r="H1125" s="3">
        <v>369</v>
      </c>
      <c r="I1125" s="3" t="s">
        <v>11</v>
      </c>
    </row>
    <row r="1126" spans="1:9" x14ac:dyDescent="0.35">
      <c r="A1126" s="3">
        <v>103406416</v>
      </c>
      <c r="B1126" s="3" t="s">
        <v>2552</v>
      </c>
      <c r="C1126" s="3" t="s">
        <v>9</v>
      </c>
      <c r="D1126" s="3" t="s">
        <v>5</v>
      </c>
      <c r="E1126" s="3" t="s">
        <v>10</v>
      </c>
      <c r="F1126" s="3" t="s">
        <v>2553</v>
      </c>
      <c r="G1126" s="3" t="s">
        <v>2554</v>
      </c>
      <c r="H1126" s="4">
        <v>2849.05</v>
      </c>
      <c r="I1126" s="3" t="s">
        <v>11</v>
      </c>
    </row>
    <row r="1127" spans="1:9" x14ac:dyDescent="0.35">
      <c r="A1127" s="3">
        <v>103406415</v>
      </c>
      <c r="B1127" s="3" t="s">
        <v>2555</v>
      </c>
      <c r="C1127" s="3" t="s">
        <v>9</v>
      </c>
      <c r="D1127" s="3" t="s">
        <v>5</v>
      </c>
      <c r="E1127" s="3" t="s">
        <v>12</v>
      </c>
      <c r="F1127" s="3" t="s">
        <v>2556</v>
      </c>
      <c r="G1127" s="3" t="s">
        <v>2557</v>
      </c>
      <c r="H1127" s="3">
        <v>479</v>
      </c>
      <c r="I1127" s="3" t="s">
        <v>11</v>
      </c>
    </row>
    <row r="1128" spans="1:9" x14ac:dyDescent="0.35">
      <c r="A1128" s="3">
        <v>103406339</v>
      </c>
      <c r="B1128" s="3" t="s">
        <v>2558</v>
      </c>
      <c r="C1128" s="3" t="s">
        <v>9</v>
      </c>
      <c r="D1128" s="3" t="s">
        <v>5</v>
      </c>
      <c r="E1128" s="3" t="s">
        <v>10</v>
      </c>
      <c r="F1128" s="3" t="s">
        <v>2559</v>
      </c>
      <c r="G1128" s="3" t="s">
        <v>2560</v>
      </c>
      <c r="H1128" s="4">
        <v>3138.89</v>
      </c>
      <c r="I1128" s="3" t="s">
        <v>11</v>
      </c>
    </row>
    <row r="1129" spans="1:9" x14ac:dyDescent="0.35">
      <c r="A1129" s="3">
        <v>103406414</v>
      </c>
      <c r="B1129" s="3" t="s">
        <v>2561</v>
      </c>
      <c r="C1129" s="3" t="s">
        <v>9</v>
      </c>
      <c r="D1129" s="3" t="s">
        <v>5</v>
      </c>
      <c r="E1129" s="3" t="s">
        <v>10</v>
      </c>
      <c r="F1129" s="3" t="s">
        <v>2562</v>
      </c>
      <c r="G1129" s="3" t="s">
        <v>2563</v>
      </c>
      <c r="H1129" s="5">
        <v>2499</v>
      </c>
      <c r="I1129" s="3" t="s">
        <v>11</v>
      </c>
    </row>
    <row r="1130" spans="1:9" x14ac:dyDescent="0.35">
      <c r="A1130" s="3">
        <v>103406413</v>
      </c>
      <c r="B1130" s="3" t="s">
        <v>2564</v>
      </c>
      <c r="C1130" s="3" t="s">
        <v>9</v>
      </c>
      <c r="D1130" s="3" t="s">
        <v>5</v>
      </c>
      <c r="E1130" s="3" t="s">
        <v>10</v>
      </c>
      <c r="F1130" s="3" t="s">
        <v>2565</v>
      </c>
      <c r="G1130" s="3" t="s">
        <v>2566</v>
      </c>
      <c r="H1130" s="4">
        <v>1794.64</v>
      </c>
      <c r="I1130" s="3" t="s">
        <v>11</v>
      </c>
    </row>
    <row r="1131" spans="1:9" x14ac:dyDescent="0.35">
      <c r="A1131" s="3">
        <v>103406335</v>
      </c>
      <c r="B1131" s="3" t="s">
        <v>2567</v>
      </c>
      <c r="C1131" s="3" t="s">
        <v>9</v>
      </c>
      <c r="D1131" s="3" t="s">
        <v>5</v>
      </c>
      <c r="E1131" s="3" t="s">
        <v>10</v>
      </c>
      <c r="F1131" s="3" t="s">
        <v>2568</v>
      </c>
      <c r="G1131" s="3" t="s">
        <v>2569</v>
      </c>
      <c r="H1131" s="4">
        <v>4653.1000000000004</v>
      </c>
      <c r="I1131" s="3" t="s">
        <v>11</v>
      </c>
    </row>
    <row r="1132" spans="1:9" x14ac:dyDescent="0.35">
      <c r="A1132" s="3">
        <v>103406408</v>
      </c>
      <c r="B1132" s="3" t="s">
        <v>2570</v>
      </c>
      <c r="C1132" s="3" t="s">
        <v>9</v>
      </c>
      <c r="D1132" s="3" t="s">
        <v>5</v>
      </c>
      <c r="E1132" s="3" t="s">
        <v>10</v>
      </c>
      <c r="F1132" s="3" t="s">
        <v>2571</v>
      </c>
      <c r="G1132" s="3" t="s">
        <v>2572</v>
      </c>
      <c r="H1132" s="3">
        <v>369</v>
      </c>
      <c r="I1132" s="3" t="s">
        <v>11</v>
      </c>
    </row>
    <row r="1133" spans="1:9" x14ac:dyDescent="0.35">
      <c r="A1133" s="3">
        <v>103406330</v>
      </c>
      <c r="B1133" s="3" t="s">
        <v>2573</v>
      </c>
      <c r="C1133" s="3" t="s">
        <v>9</v>
      </c>
      <c r="D1133" s="3" t="s">
        <v>5</v>
      </c>
      <c r="E1133" s="3" t="s">
        <v>12</v>
      </c>
      <c r="F1133" s="3" t="s">
        <v>2574</v>
      </c>
      <c r="G1133" s="3" t="s">
        <v>2575</v>
      </c>
      <c r="H1133" s="3">
        <v>419</v>
      </c>
      <c r="I1133" s="3" t="s">
        <v>11</v>
      </c>
    </row>
    <row r="1134" spans="1:9" x14ac:dyDescent="0.35">
      <c r="A1134" s="3">
        <v>103406323</v>
      </c>
      <c r="B1134" s="3" t="s">
        <v>2576</v>
      </c>
      <c r="C1134" s="3" t="s">
        <v>9</v>
      </c>
      <c r="D1134" s="3" t="s">
        <v>5</v>
      </c>
      <c r="E1134" s="3" t="s">
        <v>10</v>
      </c>
      <c r="F1134" s="3" t="s">
        <v>2577</v>
      </c>
      <c r="G1134" s="3" t="s">
        <v>2578</v>
      </c>
      <c r="H1134" s="3">
        <v>999</v>
      </c>
      <c r="I1134" s="3" t="s">
        <v>13</v>
      </c>
    </row>
    <row r="1135" spans="1:9" x14ac:dyDescent="0.35">
      <c r="A1135" s="3">
        <v>103406324</v>
      </c>
      <c r="B1135" s="3" t="s">
        <v>2576</v>
      </c>
      <c r="C1135" s="3" t="s">
        <v>9</v>
      </c>
      <c r="D1135" s="3" t="s">
        <v>5</v>
      </c>
      <c r="E1135" s="3" t="s">
        <v>10</v>
      </c>
      <c r="F1135" s="3" t="s">
        <v>2579</v>
      </c>
      <c r="G1135" s="3" t="s">
        <v>2580</v>
      </c>
      <c r="H1135" s="4">
        <v>3157.85</v>
      </c>
      <c r="I1135" s="3" t="s">
        <v>11</v>
      </c>
    </row>
    <row r="1136" spans="1:9" x14ac:dyDescent="0.35">
      <c r="A1136" s="3">
        <v>103406402</v>
      </c>
      <c r="B1136" s="3" t="s">
        <v>2576</v>
      </c>
      <c r="C1136" s="3" t="s">
        <v>9</v>
      </c>
      <c r="D1136" s="3" t="s">
        <v>5</v>
      </c>
      <c r="E1136" s="3" t="s">
        <v>10</v>
      </c>
      <c r="F1136" s="3" t="s">
        <v>2581</v>
      </c>
      <c r="G1136" s="3" t="s">
        <v>2582</v>
      </c>
      <c r="H1136" s="3">
        <v>839</v>
      </c>
      <c r="I1136" s="3" t="s">
        <v>11</v>
      </c>
    </row>
    <row r="1137" spans="1:9" x14ac:dyDescent="0.35">
      <c r="A1137" s="3">
        <v>103406399</v>
      </c>
      <c r="B1137" s="3" t="s">
        <v>2583</v>
      </c>
      <c r="C1137" s="3" t="s">
        <v>9</v>
      </c>
      <c r="D1137" s="3" t="s">
        <v>5</v>
      </c>
      <c r="E1137" s="3" t="s">
        <v>10</v>
      </c>
      <c r="F1137" s="3" t="s">
        <v>2581</v>
      </c>
      <c r="G1137" s="3" t="s">
        <v>2582</v>
      </c>
      <c r="H1137" s="5">
        <v>1119</v>
      </c>
      <c r="I1137" s="3" t="s">
        <v>11</v>
      </c>
    </row>
    <row r="1138" spans="1:9" x14ac:dyDescent="0.35">
      <c r="A1138" s="3">
        <v>103406396</v>
      </c>
      <c r="B1138" s="3" t="s">
        <v>2584</v>
      </c>
      <c r="C1138" s="3" t="s">
        <v>9</v>
      </c>
      <c r="D1138" s="3" t="s">
        <v>5</v>
      </c>
      <c r="E1138" s="3" t="s">
        <v>10</v>
      </c>
      <c r="F1138" s="3" t="s">
        <v>2585</v>
      </c>
      <c r="G1138" s="3" t="s">
        <v>2586</v>
      </c>
      <c r="H1138" s="5">
        <v>2599</v>
      </c>
      <c r="I1138" s="3" t="s">
        <v>11</v>
      </c>
    </row>
    <row r="1139" spans="1:9" x14ac:dyDescent="0.35">
      <c r="A1139" s="3">
        <v>103406319</v>
      </c>
      <c r="B1139" s="3" t="s">
        <v>2587</v>
      </c>
      <c r="C1139" s="3" t="s">
        <v>9</v>
      </c>
      <c r="D1139" s="3" t="s">
        <v>5</v>
      </c>
      <c r="E1139" s="3" t="s">
        <v>10</v>
      </c>
      <c r="F1139" s="3" t="s">
        <v>2588</v>
      </c>
      <c r="G1139" s="3" t="s">
        <v>2589</v>
      </c>
      <c r="H1139" s="5">
        <v>1558</v>
      </c>
      <c r="I1139" s="3" t="s">
        <v>11</v>
      </c>
    </row>
    <row r="1140" spans="1:9" x14ac:dyDescent="0.35">
      <c r="A1140" s="3">
        <v>103406318</v>
      </c>
      <c r="B1140" s="3" t="s">
        <v>2590</v>
      </c>
      <c r="C1140" s="3" t="s">
        <v>9</v>
      </c>
      <c r="D1140" s="3" t="s">
        <v>5</v>
      </c>
      <c r="E1140" s="3" t="s">
        <v>10</v>
      </c>
      <c r="F1140" s="3" t="s">
        <v>2591</v>
      </c>
      <c r="G1140" s="3" t="s">
        <v>2592</v>
      </c>
      <c r="H1140" s="4">
        <v>2051.14</v>
      </c>
      <c r="I1140" s="3" t="s">
        <v>11</v>
      </c>
    </row>
    <row r="1141" spans="1:9" x14ac:dyDescent="0.35">
      <c r="A1141" s="3">
        <v>103406317</v>
      </c>
      <c r="B1141" s="3" t="s">
        <v>2593</v>
      </c>
      <c r="C1141" s="3" t="s">
        <v>9</v>
      </c>
      <c r="D1141" s="3" t="s">
        <v>5</v>
      </c>
      <c r="E1141" s="3" t="s">
        <v>10</v>
      </c>
      <c r="F1141" s="3" t="s">
        <v>23</v>
      </c>
      <c r="G1141" s="3" t="s">
        <v>2594</v>
      </c>
      <c r="H1141" s="3">
        <v>312.55</v>
      </c>
      <c r="I1141" s="3" t="s">
        <v>11</v>
      </c>
    </row>
    <row r="1142" spans="1:9" x14ac:dyDescent="0.35">
      <c r="A1142" s="3">
        <v>103406309</v>
      </c>
      <c r="B1142" s="3" t="s">
        <v>2595</v>
      </c>
      <c r="C1142" s="3" t="s">
        <v>9</v>
      </c>
      <c r="D1142" s="3" t="s">
        <v>5</v>
      </c>
      <c r="E1142" s="3" t="s">
        <v>12</v>
      </c>
      <c r="F1142" s="3" t="s">
        <v>2596</v>
      </c>
      <c r="G1142" s="3" t="s">
        <v>2597</v>
      </c>
      <c r="H1142" s="5">
        <v>1079</v>
      </c>
      <c r="I1142" s="3" t="s">
        <v>11</v>
      </c>
    </row>
    <row r="1143" spans="1:9" x14ac:dyDescent="0.35">
      <c r="A1143" s="3">
        <v>103406305</v>
      </c>
      <c r="B1143" s="3" t="s">
        <v>2598</v>
      </c>
      <c r="C1143" s="3" t="s">
        <v>9</v>
      </c>
      <c r="D1143" s="3" t="s">
        <v>5</v>
      </c>
      <c r="E1143" s="3" t="s">
        <v>10</v>
      </c>
      <c r="F1143" s="3" t="s">
        <v>2599</v>
      </c>
      <c r="G1143" s="3" t="s">
        <v>2600</v>
      </c>
      <c r="H1143" s="3">
        <v>569.04999999999995</v>
      </c>
      <c r="I1143" s="3" t="s">
        <v>11</v>
      </c>
    </row>
    <row r="1144" spans="1:9" x14ac:dyDescent="0.35">
      <c r="A1144" s="3">
        <v>103406304</v>
      </c>
      <c r="B1144" s="3" t="s">
        <v>2601</v>
      </c>
      <c r="C1144" s="3" t="s">
        <v>9</v>
      </c>
      <c r="D1144" s="3" t="s">
        <v>5</v>
      </c>
      <c r="E1144" s="3" t="s">
        <v>10</v>
      </c>
      <c r="F1144" s="3" t="s">
        <v>2602</v>
      </c>
      <c r="G1144" s="3" t="s">
        <v>2603</v>
      </c>
      <c r="H1144" s="4">
        <v>2991.64</v>
      </c>
      <c r="I1144" s="3" t="s">
        <v>11</v>
      </c>
    </row>
    <row r="1145" spans="1:9" x14ac:dyDescent="0.35">
      <c r="A1145" s="3">
        <v>103406302</v>
      </c>
      <c r="B1145" s="3" t="s">
        <v>2604</v>
      </c>
      <c r="C1145" s="3" t="s">
        <v>9</v>
      </c>
      <c r="D1145" s="3" t="s">
        <v>5</v>
      </c>
      <c r="E1145" s="3" t="s">
        <v>10</v>
      </c>
      <c r="F1145" s="3" t="s">
        <v>2605</v>
      </c>
      <c r="G1145" s="3" t="s">
        <v>2606</v>
      </c>
      <c r="H1145" s="4">
        <v>2991.55</v>
      </c>
      <c r="I1145" s="3" t="s">
        <v>11</v>
      </c>
    </row>
    <row r="1146" spans="1:9" x14ac:dyDescent="0.35">
      <c r="A1146" s="3">
        <v>103406300</v>
      </c>
      <c r="B1146" s="3" t="s">
        <v>2607</v>
      </c>
      <c r="C1146" s="3" t="s">
        <v>9</v>
      </c>
      <c r="D1146" s="3" t="s">
        <v>5</v>
      </c>
      <c r="E1146" s="3" t="s">
        <v>10</v>
      </c>
      <c r="F1146" s="3" t="s">
        <v>2608</v>
      </c>
      <c r="G1146" s="3" t="s">
        <v>2609</v>
      </c>
      <c r="H1146" s="4">
        <v>2345.5500000000002</v>
      </c>
      <c r="I1146" s="3" t="s">
        <v>11</v>
      </c>
    </row>
    <row r="1147" spans="1:9" x14ac:dyDescent="0.35">
      <c r="A1147" s="3">
        <v>103406292</v>
      </c>
      <c r="B1147" s="3" t="s">
        <v>2610</v>
      </c>
      <c r="C1147" s="3" t="s">
        <v>9</v>
      </c>
      <c r="D1147" s="3" t="s">
        <v>5</v>
      </c>
      <c r="E1147" s="3" t="s">
        <v>10</v>
      </c>
      <c r="F1147" s="3" t="s">
        <v>2611</v>
      </c>
      <c r="G1147" s="3" t="s">
        <v>2612</v>
      </c>
      <c r="H1147" s="5">
        <v>2279</v>
      </c>
      <c r="I1147" s="3" t="s">
        <v>11</v>
      </c>
    </row>
    <row r="1148" spans="1:9" x14ac:dyDescent="0.35">
      <c r="A1148" s="3">
        <v>103406291</v>
      </c>
      <c r="B1148" s="3" t="s">
        <v>2613</v>
      </c>
      <c r="C1148" s="3" t="s">
        <v>9</v>
      </c>
      <c r="D1148" s="3" t="s">
        <v>5</v>
      </c>
      <c r="E1148" s="3" t="s">
        <v>12</v>
      </c>
      <c r="F1148" s="3" t="s">
        <v>2614</v>
      </c>
      <c r="G1148" s="3" t="s">
        <v>2615</v>
      </c>
      <c r="H1148" s="5">
        <v>2818</v>
      </c>
      <c r="I1148" s="3" t="s">
        <v>11</v>
      </c>
    </row>
    <row r="1149" spans="1:9" x14ac:dyDescent="0.35">
      <c r="A1149" s="3">
        <v>103406385</v>
      </c>
      <c r="B1149" s="3" t="s">
        <v>2616</v>
      </c>
      <c r="C1149" s="3" t="s">
        <v>9</v>
      </c>
      <c r="D1149" s="3" t="s">
        <v>5</v>
      </c>
      <c r="E1149" s="3" t="s">
        <v>12</v>
      </c>
      <c r="F1149" s="3" t="s">
        <v>1988</v>
      </c>
      <c r="G1149" s="3" t="s">
        <v>1989</v>
      </c>
      <c r="H1149" s="5">
        <v>9999</v>
      </c>
      <c r="I1149" s="3" t="s">
        <v>11</v>
      </c>
    </row>
    <row r="1150" spans="1:9" x14ac:dyDescent="0.35">
      <c r="A1150" s="3">
        <v>103406287</v>
      </c>
      <c r="B1150" s="3" t="s">
        <v>2617</v>
      </c>
      <c r="C1150" s="3" t="s">
        <v>9</v>
      </c>
      <c r="D1150" s="3" t="s">
        <v>5</v>
      </c>
      <c r="E1150" s="3" t="s">
        <v>10</v>
      </c>
      <c r="F1150" s="3" t="s">
        <v>2618</v>
      </c>
      <c r="G1150" s="3" t="s">
        <v>2619</v>
      </c>
      <c r="H1150" s="5">
        <v>4999</v>
      </c>
      <c r="I1150" s="3" t="s">
        <v>11</v>
      </c>
    </row>
    <row r="1151" spans="1:9" x14ac:dyDescent="0.35">
      <c r="A1151" s="3">
        <v>103406282</v>
      </c>
      <c r="B1151" s="3" t="s">
        <v>2620</v>
      </c>
      <c r="C1151" s="3" t="s">
        <v>9</v>
      </c>
      <c r="D1151" s="3" t="s">
        <v>5</v>
      </c>
      <c r="E1151" s="3" t="s">
        <v>10</v>
      </c>
      <c r="F1151" s="3" t="s">
        <v>2621</v>
      </c>
      <c r="G1151" s="3" t="s">
        <v>2622</v>
      </c>
      <c r="H1151" s="4">
        <v>2136.5500000000002</v>
      </c>
      <c r="I1151" s="3" t="s">
        <v>11</v>
      </c>
    </row>
    <row r="1152" spans="1:9" x14ac:dyDescent="0.35">
      <c r="A1152" s="3">
        <v>103406374</v>
      </c>
      <c r="B1152" s="3" t="s">
        <v>2623</v>
      </c>
      <c r="C1152" s="3" t="s">
        <v>9</v>
      </c>
      <c r="D1152" s="3" t="s">
        <v>5</v>
      </c>
      <c r="E1152" s="3" t="s">
        <v>10</v>
      </c>
      <c r="F1152" s="3" t="s">
        <v>2624</v>
      </c>
      <c r="G1152" s="3" t="s">
        <v>2625</v>
      </c>
      <c r="H1152" s="3">
        <v>797.05</v>
      </c>
      <c r="I1152" s="3" t="s">
        <v>11</v>
      </c>
    </row>
    <row r="1153" spans="1:9" x14ac:dyDescent="0.35">
      <c r="A1153" s="3">
        <v>103406370</v>
      </c>
      <c r="B1153" s="3" t="s">
        <v>2626</v>
      </c>
      <c r="C1153" s="3" t="s">
        <v>9</v>
      </c>
      <c r="D1153" s="3" t="s">
        <v>5</v>
      </c>
      <c r="E1153" s="3" t="s">
        <v>12</v>
      </c>
      <c r="F1153" s="3" t="s">
        <v>2627</v>
      </c>
      <c r="G1153" s="3" t="s">
        <v>2628</v>
      </c>
      <c r="H1153" s="4">
        <v>1196.05</v>
      </c>
      <c r="I1153" s="3" t="s">
        <v>11</v>
      </c>
    </row>
    <row r="1154" spans="1:9" x14ac:dyDescent="0.35">
      <c r="A1154" s="3">
        <v>103406366</v>
      </c>
      <c r="B1154" s="3" t="s">
        <v>2629</v>
      </c>
      <c r="C1154" s="3" t="s">
        <v>9</v>
      </c>
      <c r="D1154" s="3" t="s">
        <v>5</v>
      </c>
      <c r="E1154" s="3" t="s">
        <v>10</v>
      </c>
      <c r="F1154" s="3" t="s">
        <v>2630</v>
      </c>
      <c r="G1154" s="3" t="s">
        <v>2631</v>
      </c>
      <c r="H1154" s="3">
        <v>440.1</v>
      </c>
      <c r="I1154" s="3" t="s">
        <v>11</v>
      </c>
    </row>
    <row r="1155" spans="1:9" x14ac:dyDescent="0.35">
      <c r="A1155" s="3">
        <v>103406274</v>
      </c>
      <c r="B1155" s="3" t="s">
        <v>2632</v>
      </c>
      <c r="C1155" s="3" t="s">
        <v>9</v>
      </c>
      <c r="D1155" s="3" t="s">
        <v>5</v>
      </c>
      <c r="E1155" s="3" t="s">
        <v>10</v>
      </c>
      <c r="F1155" s="3" t="s">
        <v>2633</v>
      </c>
      <c r="G1155" s="3" t="s">
        <v>2634</v>
      </c>
      <c r="H1155" s="4">
        <v>2849.05</v>
      </c>
      <c r="I1155" s="3" t="s">
        <v>11</v>
      </c>
    </row>
    <row r="1156" spans="1:9" x14ac:dyDescent="0.35">
      <c r="A1156" s="3">
        <v>103406271</v>
      </c>
      <c r="B1156" s="3" t="s">
        <v>2635</v>
      </c>
      <c r="C1156" s="3" t="s">
        <v>9</v>
      </c>
      <c r="D1156" s="3" t="s">
        <v>5</v>
      </c>
      <c r="E1156" s="3" t="s">
        <v>10</v>
      </c>
      <c r="F1156" s="3" t="s">
        <v>2636</v>
      </c>
      <c r="G1156" s="3" t="s">
        <v>2637</v>
      </c>
      <c r="H1156" s="3">
        <v>599</v>
      </c>
      <c r="I1156" s="3" t="s">
        <v>11</v>
      </c>
    </row>
    <row r="1157" spans="1:9" x14ac:dyDescent="0.35">
      <c r="A1157" s="3">
        <v>103406269</v>
      </c>
      <c r="B1157" s="3" t="s">
        <v>2638</v>
      </c>
      <c r="C1157" s="3" t="s">
        <v>9</v>
      </c>
      <c r="D1157" s="3" t="s">
        <v>5</v>
      </c>
      <c r="E1157" s="3" t="s">
        <v>10</v>
      </c>
      <c r="F1157" s="3" t="s">
        <v>2639</v>
      </c>
      <c r="G1157" s="3" t="s">
        <v>2640</v>
      </c>
      <c r="H1157" s="5">
        <v>1599</v>
      </c>
      <c r="I1157" s="3" t="s">
        <v>11</v>
      </c>
    </row>
    <row r="1158" spans="1:9" x14ac:dyDescent="0.35">
      <c r="A1158" s="3">
        <v>103406263</v>
      </c>
      <c r="B1158" s="3" t="s">
        <v>4792</v>
      </c>
      <c r="C1158" s="3" t="s">
        <v>9</v>
      </c>
      <c r="D1158" s="3" t="s">
        <v>5</v>
      </c>
      <c r="E1158" s="3" t="s">
        <v>10</v>
      </c>
      <c r="F1158" s="3" t="s">
        <v>4793</v>
      </c>
      <c r="G1158" s="3" t="s">
        <v>4794</v>
      </c>
      <c r="H1158" s="4">
        <v>6174.05</v>
      </c>
      <c r="I1158" s="3" t="s">
        <v>13</v>
      </c>
    </row>
    <row r="1159" spans="1:9" x14ac:dyDescent="0.35">
      <c r="A1159" s="3">
        <v>103406267</v>
      </c>
      <c r="B1159" s="3" t="s">
        <v>2641</v>
      </c>
      <c r="C1159" s="3" t="s">
        <v>9</v>
      </c>
      <c r="D1159" s="3" t="s">
        <v>5</v>
      </c>
      <c r="E1159" s="3" t="s">
        <v>10</v>
      </c>
      <c r="F1159" s="3" t="s">
        <v>2642</v>
      </c>
      <c r="G1159" s="3" t="s">
        <v>2643</v>
      </c>
      <c r="H1159" s="3">
        <v>599</v>
      </c>
      <c r="I1159" s="3" t="s">
        <v>11</v>
      </c>
    </row>
    <row r="1160" spans="1:9" x14ac:dyDescent="0.35">
      <c r="A1160" s="3">
        <v>103406252</v>
      </c>
      <c r="B1160" s="3" t="s">
        <v>2644</v>
      </c>
      <c r="C1160" s="3" t="s">
        <v>9</v>
      </c>
      <c r="D1160" s="3" t="s">
        <v>5</v>
      </c>
      <c r="E1160" s="3" t="s">
        <v>10</v>
      </c>
      <c r="F1160" s="3" t="s">
        <v>2645</v>
      </c>
      <c r="G1160" s="3" t="s">
        <v>2646</v>
      </c>
      <c r="H1160" s="4">
        <v>6155.14</v>
      </c>
      <c r="I1160" s="3" t="s">
        <v>11</v>
      </c>
    </row>
    <row r="1161" spans="1:9" x14ac:dyDescent="0.35">
      <c r="A1161" s="3">
        <v>103406156</v>
      </c>
      <c r="B1161" s="3" t="s">
        <v>2647</v>
      </c>
      <c r="C1161" s="3" t="s">
        <v>9</v>
      </c>
      <c r="D1161" s="3" t="s">
        <v>5</v>
      </c>
      <c r="E1161" s="3" t="s">
        <v>10</v>
      </c>
      <c r="F1161" s="3" t="s">
        <v>78</v>
      </c>
      <c r="G1161" s="3" t="s">
        <v>79</v>
      </c>
      <c r="H1161" s="4">
        <v>2506.1</v>
      </c>
      <c r="I1161" s="3" t="s">
        <v>11</v>
      </c>
    </row>
    <row r="1162" spans="1:9" x14ac:dyDescent="0.35">
      <c r="A1162" s="3">
        <v>103406154</v>
      </c>
      <c r="B1162" s="3" t="s">
        <v>2648</v>
      </c>
      <c r="C1162" s="3" t="s">
        <v>9</v>
      </c>
      <c r="D1162" s="3" t="s">
        <v>5</v>
      </c>
      <c r="E1162" s="3" t="s">
        <v>10</v>
      </c>
      <c r="F1162" s="3" t="s">
        <v>2649</v>
      </c>
      <c r="G1162" s="3" t="s">
        <v>2650</v>
      </c>
      <c r="H1162" s="4">
        <v>2706.6</v>
      </c>
      <c r="I1162" s="3" t="s">
        <v>11</v>
      </c>
    </row>
    <row r="1163" spans="1:9" x14ac:dyDescent="0.35">
      <c r="A1163" s="3">
        <v>103406247</v>
      </c>
      <c r="B1163" s="3" t="s">
        <v>2651</v>
      </c>
      <c r="C1163" s="3" t="s">
        <v>9</v>
      </c>
      <c r="D1163" s="3" t="s">
        <v>5</v>
      </c>
      <c r="E1163" s="3" t="s">
        <v>10</v>
      </c>
      <c r="F1163" s="3" t="s">
        <v>2652</v>
      </c>
      <c r="G1163" s="3" t="s">
        <v>2653</v>
      </c>
      <c r="H1163" s="4">
        <v>2408.5300000000002</v>
      </c>
      <c r="I1163" s="3" t="s">
        <v>11</v>
      </c>
    </row>
    <row r="1164" spans="1:9" x14ac:dyDescent="0.35">
      <c r="A1164" s="3">
        <v>103406151</v>
      </c>
      <c r="B1164" s="3" t="s">
        <v>2654</v>
      </c>
      <c r="C1164" s="3" t="s">
        <v>9</v>
      </c>
      <c r="D1164" s="3" t="s">
        <v>5</v>
      </c>
      <c r="E1164" s="3" t="s">
        <v>10</v>
      </c>
      <c r="F1164" s="3" t="s">
        <v>2655</v>
      </c>
      <c r="G1164" s="3" t="s">
        <v>2656</v>
      </c>
      <c r="H1164" s="4">
        <v>2733.15</v>
      </c>
      <c r="I1164" s="3" t="s">
        <v>11</v>
      </c>
    </row>
    <row r="1165" spans="1:9" x14ac:dyDescent="0.35">
      <c r="A1165" s="3">
        <v>103406150</v>
      </c>
      <c r="B1165" s="3" t="s">
        <v>2657</v>
      </c>
      <c r="C1165" s="3" t="s">
        <v>9</v>
      </c>
      <c r="D1165" s="3" t="s">
        <v>5</v>
      </c>
      <c r="E1165" s="3" t="s">
        <v>10</v>
      </c>
      <c r="F1165" s="3" t="s">
        <v>2658</v>
      </c>
      <c r="G1165" s="3" t="s">
        <v>2659</v>
      </c>
      <c r="H1165" s="4">
        <v>1880.05</v>
      </c>
      <c r="I1165" s="3" t="s">
        <v>11</v>
      </c>
    </row>
    <row r="1166" spans="1:9" x14ac:dyDescent="0.35">
      <c r="A1166" s="3">
        <v>103406246</v>
      </c>
      <c r="B1166" s="3" t="s">
        <v>2660</v>
      </c>
      <c r="C1166" s="3" t="s">
        <v>9</v>
      </c>
      <c r="D1166" s="3" t="s">
        <v>5</v>
      </c>
      <c r="E1166" s="3" t="s">
        <v>10</v>
      </c>
      <c r="F1166" s="3" t="s">
        <v>2661</v>
      </c>
      <c r="G1166" s="3" t="s">
        <v>2662</v>
      </c>
      <c r="H1166" s="4">
        <v>3609.1</v>
      </c>
      <c r="I1166" s="3" t="s">
        <v>11</v>
      </c>
    </row>
    <row r="1167" spans="1:9" x14ac:dyDescent="0.35">
      <c r="A1167" s="3">
        <v>103406244</v>
      </c>
      <c r="B1167" s="3" t="s">
        <v>2663</v>
      </c>
      <c r="C1167" s="3" t="s">
        <v>9</v>
      </c>
      <c r="D1167" s="3" t="s">
        <v>5</v>
      </c>
      <c r="E1167" s="3" t="s">
        <v>12</v>
      </c>
      <c r="F1167" s="3" t="s">
        <v>2664</v>
      </c>
      <c r="G1167" s="3" t="s">
        <v>2665</v>
      </c>
      <c r="H1167" s="4">
        <v>3609.1</v>
      </c>
      <c r="I1167" s="3" t="s">
        <v>11</v>
      </c>
    </row>
    <row r="1168" spans="1:9" x14ac:dyDescent="0.35">
      <c r="A1168" s="3">
        <v>103406241</v>
      </c>
      <c r="B1168" s="3" t="s">
        <v>2666</v>
      </c>
      <c r="C1168" s="3" t="s">
        <v>9</v>
      </c>
      <c r="D1168" s="3" t="s">
        <v>5</v>
      </c>
      <c r="E1168" s="3" t="s">
        <v>10</v>
      </c>
      <c r="F1168" s="3" t="s">
        <v>2667</v>
      </c>
      <c r="G1168" s="3" t="s">
        <v>2668</v>
      </c>
      <c r="H1168" s="5">
        <v>2799</v>
      </c>
      <c r="I1168" s="3" t="s">
        <v>11</v>
      </c>
    </row>
    <row r="1169" spans="1:9" x14ac:dyDescent="0.35">
      <c r="A1169" s="3">
        <v>103406233</v>
      </c>
      <c r="B1169" s="3" t="s">
        <v>2669</v>
      </c>
      <c r="C1169" s="3" t="s">
        <v>9</v>
      </c>
      <c r="D1169" s="3" t="s">
        <v>5</v>
      </c>
      <c r="E1169" s="3" t="s">
        <v>10</v>
      </c>
      <c r="F1169" s="3" t="s">
        <v>2670</v>
      </c>
      <c r="G1169" s="3" t="s">
        <v>2671</v>
      </c>
      <c r="H1169" s="5">
        <v>2799</v>
      </c>
      <c r="I1169" s="3" t="s">
        <v>11</v>
      </c>
    </row>
    <row r="1170" spans="1:9" x14ac:dyDescent="0.35">
      <c r="A1170" s="3">
        <v>103406231</v>
      </c>
      <c r="B1170" s="3" t="s">
        <v>2672</v>
      </c>
      <c r="C1170" s="3" t="s">
        <v>9</v>
      </c>
      <c r="D1170" s="3" t="s">
        <v>5</v>
      </c>
      <c r="E1170" s="3" t="s">
        <v>10</v>
      </c>
      <c r="F1170" s="3" t="s">
        <v>2673</v>
      </c>
      <c r="G1170" s="3" t="s">
        <v>2674</v>
      </c>
      <c r="H1170" s="5">
        <v>1999</v>
      </c>
      <c r="I1170" s="3" t="s">
        <v>11</v>
      </c>
    </row>
    <row r="1171" spans="1:9" x14ac:dyDescent="0.35">
      <c r="A1171" s="3">
        <v>103406229</v>
      </c>
      <c r="B1171" s="3" t="s">
        <v>2675</v>
      </c>
      <c r="C1171" s="3" t="s">
        <v>9</v>
      </c>
      <c r="D1171" s="3" t="s">
        <v>5</v>
      </c>
      <c r="E1171" s="3" t="s">
        <v>10</v>
      </c>
      <c r="F1171" s="3" t="s">
        <v>2676</v>
      </c>
      <c r="G1171" s="3" t="s">
        <v>2677</v>
      </c>
      <c r="H1171" s="4">
        <v>3799.05</v>
      </c>
      <c r="I1171" s="3" t="s">
        <v>11</v>
      </c>
    </row>
    <row r="1172" spans="1:9" x14ac:dyDescent="0.35">
      <c r="A1172" s="3">
        <v>103406142</v>
      </c>
      <c r="B1172" s="3" t="s">
        <v>2678</v>
      </c>
      <c r="C1172" s="3" t="s">
        <v>9</v>
      </c>
      <c r="D1172" s="3" t="s">
        <v>5</v>
      </c>
      <c r="E1172" s="3" t="s">
        <v>10</v>
      </c>
      <c r="F1172" s="3" t="s">
        <v>2679</v>
      </c>
      <c r="G1172" s="3" t="s">
        <v>2680</v>
      </c>
      <c r="H1172" s="3">
        <v>778.05</v>
      </c>
      <c r="I1172" s="3" t="s">
        <v>11</v>
      </c>
    </row>
    <row r="1173" spans="1:9" x14ac:dyDescent="0.35">
      <c r="A1173" s="3">
        <v>103406141</v>
      </c>
      <c r="B1173" s="3" t="s">
        <v>2681</v>
      </c>
      <c r="C1173" s="3" t="s">
        <v>9</v>
      </c>
      <c r="D1173" s="3" t="s">
        <v>5</v>
      </c>
      <c r="E1173" s="3" t="s">
        <v>10</v>
      </c>
      <c r="F1173" s="3" t="s">
        <v>2682</v>
      </c>
      <c r="G1173" s="3" t="s">
        <v>2683</v>
      </c>
      <c r="H1173" s="4">
        <v>2841.97</v>
      </c>
      <c r="I1173" s="3" t="s">
        <v>11</v>
      </c>
    </row>
    <row r="1174" spans="1:9" x14ac:dyDescent="0.35">
      <c r="A1174" s="3">
        <v>103406140</v>
      </c>
      <c r="B1174" s="3" t="s">
        <v>2684</v>
      </c>
      <c r="C1174" s="3" t="s">
        <v>9</v>
      </c>
      <c r="D1174" s="3" t="s">
        <v>5</v>
      </c>
      <c r="E1174" s="3" t="s">
        <v>10</v>
      </c>
      <c r="F1174" s="3" t="s">
        <v>2673</v>
      </c>
      <c r="G1174" s="3" t="s">
        <v>2674</v>
      </c>
      <c r="H1174" s="3">
        <v>269</v>
      </c>
      <c r="I1174" s="3" t="s">
        <v>11</v>
      </c>
    </row>
    <row r="1175" spans="1:9" x14ac:dyDescent="0.35">
      <c r="A1175" s="3">
        <v>103406226</v>
      </c>
      <c r="B1175" s="3" t="s">
        <v>2685</v>
      </c>
      <c r="C1175" s="3" t="s">
        <v>9</v>
      </c>
      <c r="D1175" s="3" t="s">
        <v>5</v>
      </c>
      <c r="E1175" s="3" t="s">
        <v>10</v>
      </c>
      <c r="F1175" s="3" t="s">
        <v>2686</v>
      </c>
      <c r="G1175" s="3" t="s">
        <v>2687</v>
      </c>
      <c r="H1175" s="4">
        <v>1424.05</v>
      </c>
      <c r="I1175" s="3" t="s">
        <v>11</v>
      </c>
    </row>
    <row r="1176" spans="1:9" x14ac:dyDescent="0.35">
      <c r="A1176" s="3">
        <v>103406138</v>
      </c>
      <c r="B1176" s="3" t="s">
        <v>2688</v>
      </c>
      <c r="C1176" s="3" t="s">
        <v>9</v>
      </c>
      <c r="D1176" s="3" t="s">
        <v>5</v>
      </c>
      <c r="E1176" s="3" t="s">
        <v>10</v>
      </c>
      <c r="F1176" s="3" t="s">
        <v>2689</v>
      </c>
      <c r="G1176" s="3" t="s">
        <v>2690</v>
      </c>
      <c r="H1176" s="5">
        <v>2999</v>
      </c>
      <c r="I1176" s="3" t="s">
        <v>11</v>
      </c>
    </row>
    <row r="1177" spans="1:9" x14ac:dyDescent="0.35">
      <c r="A1177" s="3">
        <v>103406221</v>
      </c>
      <c r="B1177" s="3" t="s">
        <v>2691</v>
      </c>
      <c r="C1177" s="3" t="s">
        <v>9</v>
      </c>
      <c r="D1177" s="3" t="s">
        <v>5</v>
      </c>
      <c r="E1177" s="3" t="s">
        <v>10</v>
      </c>
      <c r="F1177" s="3" t="s">
        <v>2692</v>
      </c>
      <c r="G1177" s="3" t="s">
        <v>2693</v>
      </c>
      <c r="H1177" s="5">
        <v>4549</v>
      </c>
      <c r="I1177" s="3" t="s">
        <v>11</v>
      </c>
    </row>
    <row r="1178" spans="1:9" x14ac:dyDescent="0.35">
      <c r="A1178" s="3">
        <v>103406131</v>
      </c>
      <c r="B1178" s="3" t="s">
        <v>2694</v>
      </c>
      <c r="C1178" s="3" t="s">
        <v>9</v>
      </c>
      <c r="D1178" s="3" t="s">
        <v>5</v>
      </c>
      <c r="E1178" s="3" t="s">
        <v>10</v>
      </c>
      <c r="F1178" s="3" t="s">
        <v>2695</v>
      </c>
      <c r="G1178" s="3" t="s">
        <v>2696</v>
      </c>
      <c r="H1178" s="4">
        <v>2136.5500000000002</v>
      </c>
      <c r="I1178" s="3" t="s">
        <v>11</v>
      </c>
    </row>
    <row r="1179" spans="1:9" x14ac:dyDescent="0.35">
      <c r="A1179" s="3">
        <v>103406214</v>
      </c>
      <c r="B1179" s="3" t="s">
        <v>2697</v>
      </c>
      <c r="C1179" s="3" t="s">
        <v>9</v>
      </c>
      <c r="D1179" s="3" t="s">
        <v>5</v>
      </c>
      <c r="E1179" s="3" t="s">
        <v>10</v>
      </c>
      <c r="F1179" s="3" t="s">
        <v>2698</v>
      </c>
      <c r="G1179" s="3" t="s">
        <v>2699</v>
      </c>
      <c r="H1179" s="4">
        <v>2029.72</v>
      </c>
      <c r="I1179" s="3" t="s">
        <v>11</v>
      </c>
    </row>
    <row r="1180" spans="1:9" x14ac:dyDescent="0.35">
      <c r="A1180" s="3">
        <v>103406125</v>
      </c>
      <c r="B1180" s="3" t="s">
        <v>2700</v>
      </c>
      <c r="C1180" s="3" t="s">
        <v>9</v>
      </c>
      <c r="D1180" s="3" t="s">
        <v>5</v>
      </c>
      <c r="E1180" s="3" t="s">
        <v>10</v>
      </c>
      <c r="F1180" s="3" t="s">
        <v>2701</v>
      </c>
      <c r="G1180" s="3" t="s">
        <v>2702</v>
      </c>
      <c r="H1180" s="4">
        <v>1766.19</v>
      </c>
      <c r="I1180" s="3" t="s">
        <v>11</v>
      </c>
    </row>
    <row r="1181" spans="1:9" x14ac:dyDescent="0.35">
      <c r="A1181" s="3">
        <v>103406212</v>
      </c>
      <c r="B1181" s="3" t="s">
        <v>2703</v>
      </c>
      <c r="C1181" s="3" t="s">
        <v>9</v>
      </c>
      <c r="D1181" s="3" t="s">
        <v>5</v>
      </c>
      <c r="E1181" s="3" t="s">
        <v>10</v>
      </c>
      <c r="F1181" s="3" t="s">
        <v>2704</v>
      </c>
      <c r="G1181" s="3" t="s">
        <v>2705</v>
      </c>
      <c r="H1181" s="4">
        <v>2374.0500000000002</v>
      </c>
      <c r="I1181" s="3" t="s">
        <v>11</v>
      </c>
    </row>
    <row r="1182" spans="1:9" x14ac:dyDescent="0.35">
      <c r="A1182" s="3">
        <v>103406118</v>
      </c>
      <c r="B1182" s="3" t="s">
        <v>2706</v>
      </c>
      <c r="C1182" s="3" t="s">
        <v>9</v>
      </c>
      <c r="D1182" s="3" t="s">
        <v>5</v>
      </c>
      <c r="E1182" s="3" t="s">
        <v>12</v>
      </c>
      <c r="F1182" s="3" t="s">
        <v>2707</v>
      </c>
      <c r="G1182" s="3" t="s">
        <v>2708</v>
      </c>
      <c r="H1182" s="5">
        <v>1799</v>
      </c>
      <c r="I1182" s="3" t="s">
        <v>11</v>
      </c>
    </row>
    <row r="1183" spans="1:9" x14ac:dyDescent="0.35">
      <c r="A1183" s="3">
        <v>103406203</v>
      </c>
      <c r="B1183" s="3" t="s">
        <v>2709</v>
      </c>
      <c r="C1183" s="3" t="s">
        <v>9</v>
      </c>
      <c r="D1183" s="3" t="s">
        <v>5</v>
      </c>
      <c r="E1183" s="3" t="s">
        <v>10</v>
      </c>
      <c r="F1183" s="3" t="s">
        <v>2710</v>
      </c>
      <c r="G1183" s="3" t="s">
        <v>2711</v>
      </c>
      <c r="H1183" s="5">
        <v>3299</v>
      </c>
      <c r="I1183" s="3" t="s">
        <v>11</v>
      </c>
    </row>
    <row r="1184" spans="1:9" x14ac:dyDescent="0.35">
      <c r="A1184" s="3">
        <v>103406200</v>
      </c>
      <c r="B1184" s="3" t="s">
        <v>2712</v>
      </c>
      <c r="C1184" s="3" t="s">
        <v>9</v>
      </c>
      <c r="D1184" s="3" t="s">
        <v>5</v>
      </c>
      <c r="E1184" s="3" t="s">
        <v>10</v>
      </c>
      <c r="F1184" s="3" t="s">
        <v>2713</v>
      </c>
      <c r="G1184" s="3" t="s">
        <v>2714</v>
      </c>
      <c r="H1184" s="4">
        <v>1110.55</v>
      </c>
      <c r="I1184" s="3" t="s">
        <v>11</v>
      </c>
    </row>
    <row r="1185" spans="1:9" x14ac:dyDescent="0.35">
      <c r="A1185" s="3">
        <v>103406196</v>
      </c>
      <c r="B1185" s="3" t="s">
        <v>2715</v>
      </c>
      <c r="C1185" s="3" t="s">
        <v>9</v>
      </c>
      <c r="D1185" s="3" t="s">
        <v>5</v>
      </c>
      <c r="E1185" s="3" t="s">
        <v>10</v>
      </c>
      <c r="F1185" s="3" t="s">
        <v>2716</v>
      </c>
      <c r="G1185" s="3" t="s">
        <v>2717</v>
      </c>
      <c r="H1185" s="3">
        <v>899</v>
      </c>
      <c r="I1185" s="3" t="s">
        <v>11</v>
      </c>
    </row>
    <row r="1186" spans="1:9" x14ac:dyDescent="0.35">
      <c r="A1186" s="3">
        <v>103406195</v>
      </c>
      <c r="B1186" s="3" t="s">
        <v>2718</v>
      </c>
      <c r="C1186" s="3" t="s">
        <v>9</v>
      </c>
      <c r="D1186" s="3" t="s">
        <v>5</v>
      </c>
      <c r="E1186" s="3" t="s">
        <v>10</v>
      </c>
      <c r="F1186" s="3" t="s">
        <v>2695</v>
      </c>
      <c r="G1186" s="3" t="s">
        <v>2696</v>
      </c>
      <c r="H1186" s="4">
        <v>3704.05</v>
      </c>
      <c r="I1186" s="3" t="s">
        <v>11</v>
      </c>
    </row>
    <row r="1187" spans="1:9" x14ac:dyDescent="0.35">
      <c r="A1187" s="3">
        <v>103406111</v>
      </c>
      <c r="B1187" s="3" t="s">
        <v>2719</v>
      </c>
      <c r="C1187" s="3" t="s">
        <v>9</v>
      </c>
      <c r="D1187" s="3" t="s">
        <v>5</v>
      </c>
      <c r="E1187" s="3" t="s">
        <v>10</v>
      </c>
      <c r="F1187" s="3" t="s">
        <v>2720</v>
      </c>
      <c r="G1187" s="3" t="s">
        <v>2721</v>
      </c>
      <c r="H1187" s="3">
        <v>854.05</v>
      </c>
      <c r="I1187" s="3" t="s">
        <v>11</v>
      </c>
    </row>
    <row r="1188" spans="1:9" x14ac:dyDescent="0.35">
      <c r="A1188" s="3">
        <v>103406192</v>
      </c>
      <c r="B1188" s="3" t="s">
        <v>2722</v>
      </c>
      <c r="C1188" s="3" t="s">
        <v>9</v>
      </c>
      <c r="D1188" s="3" t="s">
        <v>5</v>
      </c>
      <c r="E1188" s="3" t="s">
        <v>10</v>
      </c>
      <c r="F1188" s="3" t="s">
        <v>2723</v>
      </c>
      <c r="G1188" s="3" t="s">
        <v>2724</v>
      </c>
      <c r="H1188" s="4">
        <v>1416.02</v>
      </c>
      <c r="I1188" s="3" t="s">
        <v>11</v>
      </c>
    </row>
    <row r="1189" spans="1:9" x14ac:dyDescent="0.35">
      <c r="A1189" s="3">
        <v>103406189</v>
      </c>
      <c r="B1189" s="3" t="s">
        <v>2725</v>
      </c>
      <c r="C1189" s="3" t="s">
        <v>9</v>
      </c>
      <c r="D1189" s="3" t="s">
        <v>5</v>
      </c>
      <c r="E1189" s="3" t="s">
        <v>10</v>
      </c>
      <c r="F1189" s="3" t="s">
        <v>2726</v>
      </c>
      <c r="G1189" s="3" t="s">
        <v>2727</v>
      </c>
      <c r="H1189" s="3">
        <v>996.55</v>
      </c>
      <c r="I1189" s="3" t="s">
        <v>11</v>
      </c>
    </row>
    <row r="1190" spans="1:9" x14ac:dyDescent="0.35">
      <c r="A1190" s="3">
        <v>103406105</v>
      </c>
      <c r="B1190" s="3" t="s">
        <v>2728</v>
      </c>
      <c r="C1190" s="3" t="s">
        <v>9</v>
      </c>
      <c r="D1190" s="3" t="s">
        <v>5</v>
      </c>
      <c r="E1190" s="3" t="s">
        <v>10</v>
      </c>
      <c r="F1190" s="3" t="s">
        <v>2729</v>
      </c>
      <c r="G1190" s="3" t="s">
        <v>2730</v>
      </c>
      <c r="H1190" s="4">
        <v>3134.05</v>
      </c>
      <c r="I1190" s="3" t="s">
        <v>11</v>
      </c>
    </row>
    <row r="1191" spans="1:9" x14ac:dyDescent="0.35">
      <c r="A1191" s="3">
        <v>103406102</v>
      </c>
      <c r="B1191" s="3" t="s">
        <v>2731</v>
      </c>
      <c r="C1191" s="3" t="s">
        <v>9</v>
      </c>
      <c r="D1191" s="3" t="s">
        <v>5</v>
      </c>
      <c r="E1191" s="3" t="s">
        <v>10</v>
      </c>
      <c r="F1191" s="3" t="s">
        <v>2732</v>
      </c>
      <c r="G1191" s="3" t="s">
        <v>2733</v>
      </c>
      <c r="H1191" s="4">
        <v>1451.22</v>
      </c>
      <c r="I1191" s="3" t="s">
        <v>11</v>
      </c>
    </row>
    <row r="1192" spans="1:9" x14ac:dyDescent="0.35">
      <c r="A1192" s="3">
        <v>103406183</v>
      </c>
      <c r="B1192" s="3" t="s">
        <v>2734</v>
      </c>
      <c r="C1192" s="3" t="s">
        <v>9</v>
      </c>
      <c r="D1192" s="3" t="s">
        <v>5</v>
      </c>
      <c r="E1192" s="3" t="s">
        <v>10</v>
      </c>
      <c r="F1192" s="3" t="s">
        <v>2735</v>
      </c>
      <c r="G1192" s="3" t="s">
        <v>2736</v>
      </c>
      <c r="H1192" s="5">
        <v>1869</v>
      </c>
      <c r="I1192" s="3" t="s">
        <v>11</v>
      </c>
    </row>
    <row r="1193" spans="1:9" x14ac:dyDescent="0.35">
      <c r="A1193" s="3">
        <v>103406182</v>
      </c>
      <c r="B1193" s="3" t="s">
        <v>2737</v>
      </c>
      <c r="C1193" s="3" t="s">
        <v>9</v>
      </c>
      <c r="D1193" s="3" t="s">
        <v>5</v>
      </c>
      <c r="E1193" s="3" t="s">
        <v>10</v>
      </c>
      <c r="F1193" s="3" t="s">
        <v>2738</v>
      </c>
      <c r="G1193" s="3" t="s">
        <v>2739</v>
      </c>
      <c r="H1193" s="5">
        <v>1349</v>
      </c>
      <c r="I1193" s="3" t="s">
        <v>11</v>
      </c>
    </row>
    <row r="1194" spans="1:9" x14ac:dyDescent="0.35">
      <c r="A1194" s="3">
        <v>103406095</v>
      </c>
      <c r="B1194" s="3" t="s">
        <v>2740</v>
      </c>
      <c r="C1194" s="3" t="s">
        <v>9</v>
      </c>
      <c r="D1194" s="3" t="s">
        <v>5</v>
      </c>
      <c r="E1194" s="3" t="s">
        <v>10</v>
      </c>
      <c r="F1194" s="3" t="s">
        <v>2741</v>
      </c>
      <c r="G1194" s="3" t="s">
        <v>2742</v>
      </c>
      <c r="H1194" s="3">
        <v>499</v>
      </c>
      <c r="I1194" s="3" t="s">
        <v>11</v>
      </c>
    </row>
    <row r="1195" spans="1:9" x14ac:dyDescent="0.35">
      <c r="A1195" s="3">
        <v>103406094</v>
      </c>
      <c r="B1195" s="3" t="s">
        <v>2743</v>
      </c>
      <c r="C1195" s="3" t="s">
        <v>9</v>
      </c>
      <c r="D1195" s="3" t="s">
        <v>5</v>
      </c>
      <c r="E1195" s="3" t="s">
        <v>10</v>
      </c>
      <c r="F1195" s="3" t="s">
        <v>2300</v>
      </c>
      <c r="G1195" s="3" t="s">
        <v>2301</v>
      </c>
      <c r="H1195" s="4">
        <v>2474.25</v>
      </c>
      <c r="I1195" s="3" t="s">
        <v>11</v>
      </c>
    </row>
    <row r="1196" spans="1:9" x14ac:dyDescent="0.35">
      <c r="A1196" s="3">
        <v>103406175</v>
      </c>
      <c r="B1196" s="3" t="s">
        <v>2744</v>
      </c>
      <c r="C1196" s="3" t="s">
        <v>9</v>
      </c>
      <c r="D1196" s="3" t="s">
        <v>5</v>
      </c>
      <c r="E1196" s="3" t="s">
        <v>10</v>
      </c>
      <c r="F1196" s="3" t="s">
        <v>2745</v>
      </c>
      <c r="G1196" s="3" t="s">
        <v>2746</v>
      </c>
      <c r="H1196" s="4">
        <v>2480.9699999999998</v>
      </c>
      <c r="I1196" s="3" t="s">
        <v>11</v>
      </c>
    </row>
    <row r="1197" spans="1:9" x14ac:dyDescent="0.35">
      <c r="A1197" s="3">
        <v>103406089</v>
      </c>
      <c r="B1197" s="3" t="s">
        <v>2747</v>
      </c>
      <c r="C1197" s="3" t="s">
        <v>9</v>
      </c>
      <c r="D1197" s="3" t="s">
        <v>5</v>
      </c>
      <c r="E1197" s="3" t="s">
        <v>12</v>
      </c>
      <c r="F1197" s="3" t="s">
        <v>2748</v>
      </c>
      <c r="G1197" s="3" t="s">
        <v>2749</v>
      </c>
      <c r="H1197" s="4">
        <v>2659.05</v>
      </c>
      <c r="I1197" s="3" t="s">
        <v>11</v>
      </c>
    </row>
    <row r="1198" spans="1:9" x14ac:dyDescent="0.35">
      <c r="A1198" s="3">
        <v>103406170</v>
      </c>
      <c r="B1198" s="3" t="s">
        <v>2750</v>
      </c>
      <c r="C1198" s="3" t="s">
        <v>9</v>
      </c>
      <c r="D1198" s="3" t="s">
        <v>5</v>
      </c>
      <c r="E1198" s="3" t="s">
        <v>10</v>
      </c>
      <c r="F1198" s="3" t="s">
        <v>2751</v>
      </c>
      <c r="G1198" s="3" t="s">
        <v>2752</v>
      </c>
      <c r="H1198" s="4">
        <v>1983.6</v>
      </c>
      <c r="I1198" s="3" t="s">
        <v>11</v>
      </c>
    </row>
    <row r="1199" spans="1:9" x14ac:dyDescent="0.35">
      <c r="A1199" s="3">
        <v>103406085</v>
      </c>
      <c r="B1199" s="3" t="s">
        <v>2753</v>
      </c>
      <c r="C1199" s="3" t="s">
        <v>9</v>
      </c>
      <c r="D1199" s="3" t="s">
        <v>5</v>
      </c>
      <c r="E1199" s="3" t="s">
        <v>10</v>
      </c>
      <c r="F1199" s="3" t="s">
        <v>2754</v>
      </c>
      <c r="G1199" s="3" t="s">
        <v>2755</v>
      </c>
      <c r="H1199" s="5">
        <v>1199</v>
      </c>
      <c r="I1199" s="3" t="s">
        <v>11</v>
      </c>
    </row>
    <row r="1200" spans="1:9" x14ac:dyDescent="0.35">
      <c r="A1200" s="3">
        <v>103406167</v>
      </c>
      <c r="B1200" s="3" t="s">
        <v>2756</v>
      </c>
      <c r="C1200" s="3" t="s">
        <v>9</v>
      </c>
      <c r="D1200" s="3" t="s">
        <v>5</v>
      </c>
      <c r="E1200" s="3" t="s">
        <v>10</v>
      </c>
      <c r="F1200" s="3" t="s">
        <v>2757</v>
      </c>
      <c r="G1200" s="3" t="s">
        <v>2758</v>
      </c>
      <c r="H1200" s="3">
        <v>439</v>
      </c>
      <c r="I1200" s="3" t="s">
        <v>11</v>
      </c>
    </row>
    <row r="1201" spans="1:9" x14ac:dyDescent="0.35">
      <c r="A1201" s="3">
        <v>103406166</v>
      </c>
      <c r="B1201" s="3" t="s">
        <v>2759</v>
      </c>
      <c r="C1201" s="3" t="s">
        <v>9</v>
      </c>
      <c r="D1201" s="3" t="s">
        <v>5</v>
      </c>
      <c r="E1201" s="3" t="s">
        <v>10</v>
      </c>
      <c r="F1201" s="3" t="s">
        <v>2760</v>
      </c>
      <c r="G1201" s="3" t="s">
        <v>2761</v>
      </c>
      <c r="H1201" s="4">
        <v>5984.05</v>
      </c>
      <c r="I1201" s="3" t="s">
        <v>11</v>
      </c>
    </row>
    <row r="1202" spans="1:9" x14ac:dyDescent="0.35">
      <c r="A1202" s="3">
        <v>103406079</v>
      </c>
      <c r="B1202" s="3" t="s">
        <v>2762</v>
      </c>
      <c r="C1202" s="3" t="s">
        <v>9</v>
      </c>
      <c r="D1202" s="3" t="s">
        <v>5</v>
      </c>
      <c r="E1202" s="3" t="s">
        <v>12</v>
      </c>
      <c r="F1202" s="3" t="s">
        <v>2763</v>
      </c>
      <c r="G1202" s="3" t="s">
        <v>2764</v>
      </c>
      <c r="H1202" s="4">
        <v>3290.89</v>
      </c>
      <c r="I1202" s="3" t="s">
        <v>11</v>
      </c>
    </row>
    <row r="1203" spans="1:9" x14ac:dyDescent="0.35">
      <c r="A1203" s="3">
        <v>103405964</v>
      </c>
      <c r="B1203" s="3" t="s">
        <v>2765</v>
      </c>
      <c r="C1203" s="3" t="s">
        <v>9</v>
      </c>
      <c r="D1203" s="3" t="s">
        <v>5</v>
      </c>
      <c r="E1203" s="3" t="s">
        <v>10</v>
      </c>
      <c r="F1203" s="3" t="s">
        <v>2766</v>
      </c>
      <c r="G1203" s="3" t="s">
        <v>2767</v>
      </c>
      <c r="H1203" s="3">
        <v>920.55</v>
      </c>
      <c r="I1203" s="3" t="s">
        <v>11</v>
      </c>
    </row>
    <row r="1204" spans="1:9" x14ac:dyDescent="0.35">
      <c r="A1204" s="3">
        <v>103405963</v>
      </c>
      <c r="B1204" s="3" t="s">
        <v>2768</v>
      </c>
      <c r="C1204" s="3" t="s">
        <v>9</v>
      </c>
      <c r="D1204" s="3" t="s">
        <v>5</v>
      </c>
      <c r="E1204" s="3" t="s">
        <v>10</v>
      </c>
      <c r="F1204" s="3" t="s">
        <v>2735</v>
      </c>
      <c r="G1204" s="3" t="s">
        <v>2736</v>
      </c>
      <c r="H1204" s="5">
        <v>1869</v>
      </c>
      <c r="I1204" s="3" t="s">
        <v>11</v>
      </c>
    </row>
    <row r="1205" spans="1:9" x14ac:dyDescent="0.35">
      <c r="A1205" s="3">
        <v>103406077</v>
      </c>
      <c r="B1205" s="3" t="s">
        <v>2769</v>
      </c>
      <c r="C1205" s="3" t="s">
        <v>9</v>
      </c>
      <c r="D1205" s="3" t="s">
        <v>5</v>
      </c>
      <c r="E1205" s="3" t="s">
        <v>10</v>
      </c>
      <c r="F1205" s="3" t="s">
        <v>2723</v>
      </c>
      <c r="G1205" s="3" t="s">
        <v>2724</v>
      </c>
      <c r="H1205" s="4">
        <v>4101.43</v>
      </c>
      <c r="I1205" s="3" t="s">
        <v>11</v>
      </c>
    </row>
    <row r="1206" spans="1:9" x14ac:dyDescent="0.35">
      <c r="A1206" s="3">
        <v>103406071</v>
      </c>
      <c r="B1206" s="3" t="s">
        <v>2770</v>
      </c>
      <c r="C1206" s="3" t="s">
        <v>9</v>
      </c>
      <c r="D1206" s="3" t="s">
        <v>5</v>
      </c>
      <c r="E1206" s="3" t="s">
        <v>10</v>
      </c>
      <c r="F1206" s="3" t="s">
        <v>1469</v>
      </c>
      <c r="G1206" s="3" t="s">
        <v>1470</v>
      </c>
      <c r="H1206" s="4">
        <v>1880.14</v>
      </c>
      <c r="I1206" s="3" t="s">
        <v>11</v>
      </c>
    </row>
    <row r="1207" spans="1:9" x14ac:dyDescent="0.35">
      <c r="A1207" s="3">
        <v>103406070</v>
      </c>
      <c r="B1207" s="3" t="s">
        <v>2771</v>
      </c>
      <c r="C1207" s="3" t="s">
        <v>9</v>
      </c>
      <c r="D1207" s="3" t="s">
        <v>5</v>
      </c>
      <c r="E1207" s="3" t="s">
        <v>10</v>
      </c>
      <c r="F1207" s="3" t="s">
        <v>2300</v>
      </c>
      <c r="G1207" s="3" t="s">
        <v>2301</v>
      </c>
      <c r="H1207" s="4">
        <v>12156.9</v>
      </c>
      <c r="I1207" s="3" t="s">
        <v>11</v>
      </c>
    </row>
    <row r="1208" spans="1:9" x14ac:dyDescent="0.35">
      <c r="A1208" s="3">
        <v>103406067</v>
      </c>
      <c r="B1208" s="3" t="s">
        <v>2772</v>
      </c>
      <c r="C1208" s="3" t="s">
        <v>9</v>
      </c>
      <c r="D1208" s="3" t="s">
        <v>5</v>
      </c>
      <c r="E1208" s="3" t="s">
        <v>10</v>
      </c>
      <c r="F1208" s="3" t="s">
        <v>2773</v>
      </c>
      <c r="G1208" s="3" t="s">
        <v>2774</v>
      </c>
      <c r="H1208" s="4">
        <v>1281.55</v>
      </c>
      <c r="I1208" s="3" t="s">
        <v>11</v>
      </c>
    </row>
    <row r="1209" spans="1:9" x14ac:dyDescent="0.35">
      <c r="A1209" s="3">
        <v>103406063</v>
      </c>
      <c r="B1209" s="3" t="s">
        <v>2775</v>
      </c>
      <c r="C1209" s="3" t="s">
        <v>9</v>
      </c>
      <c r="D1209" s="3" t="s">
        <v>5</v>
      </c>
      <c r="E1209" s="3" t="s">
        <v>10</v>
      </c>
      <c r="F1209" s="3" t="s">
        <v>2776</v>
      </c>
      <c r="G1209" s="3" t="s">
        <v>2777</v>
      </c>
      <c r="H1209" s="5">
        <v>3599</v>
      </c>
      <c r="I1209" s="3" t="s">
        <v>11</v>
      </c>
    </row>
    <row r="1210" spans="1:9" x14ac:dyDescent="0.35">
      <c r="A1210" s="3">
        <v>103406062</v>
      </c>
      <c r="B1210" s="3" t="s">
        <v>2778</v>
      </c>
      <c r="C1210" s="3" t="s">
        <v>9</v>
      </c>
      <c r="D1210" s="3" t="s">
        <v>5</v>
      </c>
      <c r="E1210" s="3" t="s">
        <v>10</v>
      </c>
      <c r="F1210" s="3" t="s">
        <v>2779</v>
      </c>
      <c r="G1210" s="3" t="s">
        <v>2780</v>
      </c>
      <c r="H1210" s="4">
        <v>1994.05</v>
      </c>
      <c r="I1210" s="3" t="s">
        <v>11</v>
      </c>
    </row>
    <row r="1211" spans="1:9" x14ac:dyDescent="0.35">
      <c r="A1211" s="3">
        <v>103405945</v>
      </c>
      <c r="B1211" s="3" t="s">
        <v>2781</v>
      </c>
      <c r="C1211" s="3" t="s">
        <v>9</v>
      </c>
      <c r="D1211" s="3" t="s">
        <v>5</v>
      </c>
      <c r="E1211" s="3" t="s">
        <v>10</v>
      </c>
      <c r="F1211" s="3" t="s">
        <v>2782</v>
      </c>
      <c r="G1211" s="3" t="s">
        <v>2783</v>
      </c>
      <c r="H1211" s="3">
        <v>350.55</v>
      </c>
      <c r="I1211" s="3" t="s">
        <v>11</v>
      </c>
    </row>
    <row r="1212" spans="1:9" x14ac:dyDescent="0.35">
      <c r="A1212" s="3">
        <v>103406055</v>
      </c>
      <c r="B1212" s="3" t="s">
        <v>2784</v>
      </c>
      <c r="C1212" s="3" t="s">
        <v>9</v>
      </c>
      <c r="D1212" s="3" t="s">
        <v>5</v>
      </c>
      <c r="E1212" s="3" t="s">
        <v>10</v>
      </c>
      <c r="F1212" s="3" t="s">
        <v>2785</v>
      </c>
      <c r="G1212" s="3" t="s">
        <v>2786</v>
      </c>
      <c r="H1212" s="4">
        <v>1310.05</v>
      </c>
      <c r="I1212" s="3" t="s">
        <v>11</v>
      </c>
    </row>
    <row r="1213" spans="1:9" x14ac:dyDescent="0.35">
      <c r="A1213" s="3">
        <v>103406053</v>
      </c>
      <c r="B1213" s="3" t="s">
        <v>2787</v>
      </c>
      <c r="C1213" s="3" t="s">
        <v>9</v>
      </c>
      <c r="D1213" s="3" t="s">
        <v>5</v>
      </c>
      <c r="E1213" s="3" t="s">
        <v>10</v>
      </c>
      <c r="F1213" s="3" t="s">
        <v>2788</v>
      </c>
      <c r="G1213" s="3" t="s">
        <v>2789</v>
      </c>
      <c r="H1213" s="5">
        <v>1479</v>
      </c>
      <c r="I1213" s="3" t="s">
        <v>11</v>
      </c>
    </row>
    <row r="1214" spans="1:9" x14ac:dyDescent="0.35">
      <c r="A1214" s="3">
        <v>103405941</v>
      </c>
      <c r="B1214" s="3" t="s">
        <v>2790</v>
      </c>
      <c r="C1214" s="3" t="s">
        <v>9</v>
      </c>
      <c r="D1214" s="3" t="s">
        <v>5</v>
      </c>
      <c r="E1214" s="3" t="s">
        <v>10</v>
      </c>
      <c r="F1214" s="3" t="s">
        <v>2791</v>
      </c>
      <c r="G1214" s="3" t="s">
        <v>2792</v>
      </c>
      <c r="H1214" s="3">
        <v>569.04999999999995</v>
      </c>
      <c r="I1214" s="3" t="s">
        <v>11</v>
      </c>
    </row>
    <row r="1215" spans="1:9" x14ac:dyDescent="0.35">
      <c r="A1215" s="3">
        <v>103406049</v>
      </c>
      <c r="B1215" s="3" t="s">
        <v>2793</v>
      </c>
      <c r="C1215" s="3" t="s">
        <v>9</v>
      </c>
      <c r="D1215" s="3" t="s">
        <v>5</v>
      </c>
      <c r="E1215" s="3" t="s">
        <v>10</v>
      </c>
      <c r="F1215" s="3" t="s">
        <v>2794</v>
      </c>
      <c r="G1215" s="3" t="s">
        <v>2795</v>
      </c>
      <c r="H1215" s="3">
        <v>768.55</v>
      </c>
      <c r="I1215" s="3" t="s">
        <v>11</v>
      </c>
    </row>
    <row r="1216" spans="1:9" x14ac:dyDescent="0.35">
      <c r="A1216" s="3">
        <v>103406047</v>
      </c>
      <c r="B1216" s="3" t="s">
        <v>2796</v>
      </c>
      <c r="C1216" s="3" t="s">
        <v>9</v>
      </c>
      <c r="D1216" s="3" t="s">
        <v>5</v>
      </c>
      <c r="E1216" s="3" t="s">
        <v>10</v>
      </c>
      <c r="F1216" s="3" t="s">
        <v>2797</v>
      </c>
      <c r="G1216" s="3" t="s">
        <v>2798</v>
      </c>
      <c r="H1216" s="3">
        <v>811.35</v>
      </c>
      <c r="I1216" s="3" t="s">
        <v>11</v>
      </c>
    </row>
    <row r="1217" spans="1:9" x14ac:dyDescent="0.35">
      <c r="A1217" s="3">
        <v>103406046</v>
      </c>
      <c r="B1217" s="3" t="s">
        <v>2799</v>
      </c>
      <c r="C1217" s="3" t="s">
        <v>9</v>
      </c>
      <c r="D1217" s="3" t="s">
        <v>5</v>
      </c>
      <c r="E1217" s="3" t="s">
        <v>12</v>
      </c>
      <c r="F1217" s="3" t="s">
        <v>2800</v>
      </c>
      <c r="G1217" s="3" t="s">
        <v>2801</v>
      </c>
      <c r="H1217" s="5">
        <v>1619</v>
      </c>
      <c r="I1217" s="3" t="s">
        <v>11</v>
      </c>
    </row>
    <row r="1218" spans="1:9" x14ac:dyDescent="0.35">
      <c r="A1218" s="3">
        <v>103406044</v>
      </c>
      <c r="B1218" s="3" t="s">
        <v>2802</v>
      </c>
      <c r="C1218" s="3" t="s">
        <v>9</v>
      </c>
      <c r="D1218" s="3" t="s">
        <v>5</v>
      </c>
      <c r="E1218" s="3" t="s">
        <v>10</v>
      </c>
      <c r="F1218" s="3" t="s">
        <v>2803</v>
      </c>
      <c r="G1218" s="3" t="s">
        <v>2804</v>
      </c>
      <c r="H1218" s="3">
        <v>768.55</v>
      </c>
      <c r="I1218" s="3" t="s">
        <v>11</v>
      </c>
    </row>
    <row r="1219" spans="1:9" x14ac:dyDescent="0.35">
      <c r="A1219" s="3">
        <v>103405932</v>
      </c>
      <c r="B1219" s="3" t="s">
        <v>2805</v>
      </c>
      <c r="C1219" s="3" t="s">
        <v>9</v>
      </c>
      <c r="D1219" s="3" t="s">
        <v>5</v>
      </c>
      <c r="E1219" s="3" t="s">
        <v>12</v>
      </c>
      <c r="F1219" s="3" t="s">
        <v>2806</v>
      </c>
      <c r="G1219" s="3" t="s">
        <v>2807</v>
      </c>
      <c r="H1219" s="4">
        <v>3509.1</v>
      </c>
      <c r="I1219" s="3" t="s">
        <v>11</v>
      </c>
    </row>
    <row r="1220" spans="1:9" x14ac:dyDescent="0.35">
      <c r="A1220" s="3">
        <v>103405931</v>
      </c>
      <c r="B1220" s="3" t="s">
        <v>2808</v>
      </c>
      <c r="C1220" s="3" t="s">
        <v>9</v>
      </c>
      <c r="D1220" s="3" t="s">
        <v>5</v>
      </c>
      <c r="E1220" s="3" t="s">
        <v>10</v>
      </c>
      <c r="F1220" s="3" t="s">
        <v>2809</v>
      </c>
      <c r="G1220" s="3" t="s">
        <v>2810</v>
      </c>
      <c r="H1220" s="4">
        <v>2753.1</v>
      </c>
      <c r="I1220" s="3" t="s">
        <v>11</v>
      </c>
    </row>
    <row r="1221" spans="1:9" x14ac:dyDescent="0.35">
      <c r="A1221" s="3">
        <v>103405929</v>
      </c>
      <c r="B1221" s="3" t="s">
        <v>2811</v>
      </c>
      <c r="C1221" s="3" t="s">
        <v>9</v>
      </c>
      <c r="D1221" s="3" t="s">
        <v>5</v>
      </c>
      <c r="E1221" s="3" t="s">
        <v>12</v>
      </c>
      <c r="F1221" s="3" t="s">
        <v>2812</v>
      </c>
      <c r="G1221" s="3" t="s">
        <v>2813</v>
      </c>
      <c r="H1221" s="5">
        <v>4549</v>
      </c>
      <c r="I1221" s="3" t="s">
        <v>11</v>
      </c>
    </row>
    <row r="1222" spans="1:9" x14ac:dyDescent="0.35">
      <c r="A1222" s="3">
        <v>103405926</v>
      </c>
      <c r="B1222" s="3" t="s">
        <v>2814</v>
      </c>
      <c r="C1222" s="3" t="s">
        <v>9</v>
      </c>
      <c r="D1222" s="3" t="s">
        <v>5</v>
      </c>
      <c r="E1222" s="3" t="s">
        <v>10</v>
      </c>
      <c r="F1222" s="3" t="s">
        <v>2815</v>
      </c>
      <c r="G1222" s="3" t="s">
        <v>2816</v>
      </c>
      <c r="H1222" s="3">
        <v>779</v>
      </c>
      <c r="I1222" s="3" t="s">
        <v>11</v>
      </c>
    </row>
    <row r="1223" spans="1:9" x14ac:dyDescent="0.35">
      <c r="A1223" s="3">
        <v>103405925</v>
      </c>
      <c r="B1223" s="3" t="s">
        <v>2817</v>
      </c>
      <c r="C1223" s="3" t="s">
        <v>9</v>
      </c>
      <c r="D1223" s="3" t="s">
        <v>5</v>
      </c>
      <c r="E1223" s="3" t="s">
        <v>10</v>
      </c>
      <c r="F1223" s="3" t="s">
        <v>2818</v>
      </c>
      <c r="G1223" s="3" t="s">
        <v>2819</v>
      </c>
      <c r="H1223" s="4">
        <v>4624.6000000000004</v>
      </c>
      <c r="I1223" s="3" t="s">
        <v>11</v>
      </c>
    </row>
    <row r="1224" spans="1:9" x14ac:dyDescent="0.35">
      <c r="A1224" s="3">
        <v>103406032</v>
      </c>
      <c r="B1224" s="3" t="s">
        <v>2820</v>
      </c>
      <c r="C1224" s="3" t="s">
        <v>9</v>
      </c>
      <c r="D1224" s="3" t="s">
        <v>5</v>
      </c>
      <c r="E1224" s="3" t="s">
        <v>10</v>
      </c>
      <c r="F1224" s="3" t="s">
        <v>2821</v>
      </c>
      <c r="G1224" s="3" t="s">
        <v>2822</v>
      </c>
      <c r="H1224" s="5">
        <v>1488</v>
      </c>
      <c r="I1224" s="3" t="s">
        <v>11</v>
      </c>
    </row>
    <row r="1225" spans="1:9" x14ac:dyDescent="0.35">
      <c r="A1225" s="3">
        <v>103405924</v>
      </c>
      <c r="B1225" s="3" t="s">
        <v>2823</v>
      </c>
      <c r="C1225" s="3" t="s">
        <v>9</v>
      </c>
      <c r="D1225" s="3" t="s">
        <v>5</v>
      </c>
      <c r="E1225" s="3" t="s">
        <v>10</v>
      </c>
      <c r="F1225" s="3" t="s">
        <v>1309</v>
      </c>
      <c r="G1225" s="3" t="s">
        <v>1310</v>
      </c>
      <c r="H1225" s="5">
        <v>3999</v>
      </c>
      <c r="I1225" s="3" t="s">
        <v>11</v>
      </c>
    </row>
    <row r="1226" spans="1:9" x14ac:dyDescent="0.35">
      <c r="A1226" s="3">
        <v>103405922</v>
      </c>
      <c r="B1226" s="3" t="s">
        <v>2824</v>
      </c>
      <c r="C1226" s="3" t="s">
        <v>9</v>
      </c>
      <c r="D1226" s="3" t="s">
        <v>5</v>
      </c>
      <c r="E1226" s="3" t="s">
        <v>12</v>
      </c>
      <c r="F1226" s="3" t="s">
        <v>2825</v>
      </c>
      <c r="G1226" s="3" t="s">
        <v>2826</v>
      </c>
      <c r="H1226" s="5">
        <v>2599</v>
      </c>
      <c r="I1226" s="3" t="s">
        <v>11</v>
      </c>
    </row>
    <row r="1227" spans="1:9" x14ac:dyDescent="0.35">
      <c r="A1227" s="3">
        <v>103406021</v>
      </c>
      <c r="B1227" s="3" t="s">
        <v>2827</v>
      </c>
      <c r="C1227" s="3" t="s">
        <v>9</v>
      </c>
      <c r="D1227" s="3" t="s">
        <v>5</v>
      </c>
      <c r="E1227" s="3" t="s">
        <v>10</v>
      </c>
      <c r="F1227" s="3" t="s">
        <v>2828</v>
      </c>
      <c r="G1227" s="3" t="s">
        <v>2829</v>
      </c>
      <c r="H1227" s="5">
        <v>1119</v>
      </c>
      <c r="I1227" s="3" t="s">
        <v>11</v>
      </c>
    </row>
    <row r="1228" spans="1:9" x14ac:dyDescent="0.35">
      <c r="A1228" s="3">
        <v>103406011</v>
      </c>
      <c r="B1228" s="3" t="s">
        <v>2830</v>
      </c>
      <c r="C1228" s="3" t="s">
        <v>9</v>
      </c>
      <c r="D1228" s="3" t="s">
        <v>5</v>
      </c>
      <c r="E1228" s="3" t="s">
        <v>10</v>
      </c>
      <c r="F1228" s="3" t="s">
        <v>2831</v>
      </c>
      <c r="G1228" s="3" t="s">
        <v>2832</v>
      </c>
      <c r="H1228" s="3">
        <v>971.1</v>
      </c>
      <c r="I1228" s="3" t="s">
        <v>11</v>
      </c>
    </row>
    <row r="1229" spans="1:9" x14ac:dyDescent="0.35">
      <c r="A1229" s="3">
        <v>103405917</v>
      </c>
      <c r="B1229" s="3" t="s">
        <v>2833</v>
      </c>
      <c r="C1229" s="3" t="s">
        <v>9</v>
      </c>
      <c r="D1229" s="3" t="s">
        <v>5</v>
      </c>
      <c r="E1229" s="3" t="s">
        <v>12</v>
      </c>
      <c r="F1229" s="3" t="s">
        <v>2834</v>
      </c>
      <c r="G1229" s="3" t="s">
        <v>2835</v>
      </c>
      <c r="H1229" s="5">
        <v>6447</v>
      </c>
      <c r="I1229" s="3" t="s">
        <v>11</v>
      </c>
    </row>
    <row r="1230" spans="1:9" x14ac:dyDescent="0.35">
      <c r="A1230" s="3">
        <v>103406008</v>
      </c>
      <c r="B1230" s="3" t="s">
        <v>2836</v>
      </c>
      <c r="C1230" s="3" t="s">
        <v>9</v>
      </c>
      <c r="D1230" s="3" t="s">
        <v>5</v>
      </c>
      <c r="E1230" s="3" t="s">
        <v>10</v>
      </c>
      <c r="F1230" s="3" t="s">
        <v>2837</v>
      </c>
      <c r="G1230" s="3" t="s">
        <v>2838</v>
      </c>
      <c r="H1230" s="5">
        <v>2309</v>
      </c>
      <c r="I1230" s="3" t="s">
        <v>11</v>
      </c>
    </row>
    <row r="1231" spans="1:9" x14ac:dyDescent="0.35">
      <c r="A1231" s="3">
        <v>103405915</v>
      </c>
      <c r="B1231" s="3" t="s">
        <v>2839</v>
      </c>
      <c r="C1231" s="3" t="s">
        <v>9</v>
      </c>
      <c r="D1231" s="3" t="s">
        <v>5</v>
      </c>
      <c r="E1231" s="3" t="s">
        <v>12</v>
      </c>
      <c r="F1231" s="3" t="s">
        <v>2840</v>
      </c>
      <c r="G1231" s="3" t="s">
        <v>2841</v>
      </c>
      <c r="H1231" s="5">
        <v>3849</v>
      </c>
      <c r="I1231" s="3" t="s">
        <v>11</v>
      </c>
    </row>
    <row r="1232" spans="1:9" x14ac:dyDescent="0.35">
      <c r="A1232" s="3">
        <v>103406007</v>
      </c>
      <c r="B1232" s="3" t="s">
        <v>2842</v>
      </c>
      <c r="C1232" s="3" t="s">
        <v>9</v>
      </c>
      <c r="D1232" s="3" t="s">
        <v>5</v>
      </c>
      <c r="E1232" s="3" t="s">
        <v>10</v>
      </c>
      <c r="F1232" s="3" t="s">
        <v>2843</v>
      </c>
      <c r="G1232" s="3" t="s">
        <v>2844</v>
      </c>
      <c r="H1232" s="3">
        <v>579</v>
      </c>
      <c r="I1232" s="3" t="s">
        <v>11</v>
      </c>
    </row>
    <row r="1233" spans="1:9" x14ac:dyDescent="0.35">
      <c r="A1233" s="3">
        <v>103405912</v>
      </c>
      <c r="B1233" s="3" t="s">
        <v>2845</v>
      </c>
      <c r="C1233" s="3" t="s">
        <v>9</v>
      </c>
      <c r="D1233" s="3" t="s">
        <v>5</v>
      </c>
      <c r="E1233" s="3" t="s">
        <v>10</v>
      </c>
      <c r="F1233" s="3" t="s">
        <v>2846</v>
      </c>
      <c r="G1233" s="3" t="s">
        <v>2847</v>
      </c>
      <c r="H1233" s="4">
        <v>6142.7</v>
      </c>
      <c r="I1233" s="3" t="s">
        <v>11</v>
      </c>
    </row>
    <row r="1234" spans="1:9" x14ac:dyDescent="0.35">
      <c r="A1234" s="3">
        <v>103406005</v>
      </c>
      <c r="B1234" s="3" t="s">
        <v>2848</v>
      </c>
      <c r="C1234" s="3" t="s">
        <v>9</v>
      </c>
      <c r="D1234" s="3" t="s">
        <v>5</v>
      </c>
      <c r="E1234" s="3" t="s">
        <v>10</v>
      </c>
      <c r="F1234" s="3" t="s">
        <v>2849</v>
      </c>
      <c r="G1234" s="3" t="s">
        <v>2850</v>
      </c>
      <c r="H1234" s="5">
        <v>1489</v>
      </c>
      <c r="I1234" s="3" t="s">
        <v>11</v>
      </c>
    </row>
    <row r="1235" spans="1:9" x14ac:dyDescent="0.35">
      <c r="A1235" s="3">
        <v>103406002</v>
      </c>
      <c r="B1235" s="3" t="s">
        <v>2851</v>
      </c>
      <c r="C1235" s="3" t="s">
        <v>9</v>
      </c>
      <c r="D1235" s="3" t="s">
        <v>5</v>
      </c>
      <c r="E1235" s="3" t="s">
        <v>10</v>
      </c>
      <c r="F1235" s="3" t="s">
        <v>2852</v>
      </c>
      <c r="G1235" s="3" t="s">
        <v>2853</v>
      </c>
      <c r="H1235" s="4">
        <v>8940.16</v>
      </c>
      <c r="I1235" s="3" t="s">
        <v>11</v>
      </c>
    </row>
    <row r="1236" spans="1:9" x14ac:dyDescent="0.35">
      <c r="A1236" s="3">
        <v>103406001</v>
      </c>
      <c r="B1236" s="3" t="s">
        <v>2854</v>
      </c>
      <c r="C1236" s="3" t="s">
        <v>9</v>
      </c>
      <c r="D1236" s="3" t="s">
        <v>5</v>
      </c>
      <c r="E1236" s="3" t="s">
        <v>10</v>
      </c>
      <c r="F1236" s="3" t="s">
        <v>2855</v>
      </c>
      <c r="G1236" s="3" t="s">
        <v>2856</v>
      </c>
      <c r="H1236" s="4">
        <v>3507.3</v>
      </c>
      <c r="I1236" s="3" t="s">
        <v>11</v>
      </c>
    </row>
    <row r="1237" spans="1:9" x14ac:dyDescent="0.35">
      <c r="A1237" s="3">
        <v>103405908</v>
      </c>
      <c r="B1237" s="3" t="s">
        <v>2857</v>
      </c>
      <c r="C1237" s="3" t="s">
        <v>9</v>
      </c>
      <c r="D1237" s="3" t="s">
        <v>5</v>
      </c>
      <c r="E1237" s="3" t="s">
        <v>10</v>
      </c>
      <c r="F1237" s="3" t="s">
        <v>2858</v>
      </c>
      <c r="G1237" s="3" t="s">
        <v>2859</v>
      </c>
      <c r="H1237" s="5">
        <v>3899</v>
      </c>
      <c r="I1237" s="3" t="s">
        <v>11</v>
      </c>
    </row>
    <row r="1238" spans="1:9" x14ac:dyDescent="0.35">
      <c r="A1238" s="3">
        <v>103405995</v>
      </c>
      <c r="B1238" s="3" t="s">
        <v>2860</v>
      </c>
      <c r="C1238" s="3" t="s">
        <v>9</v>
      </c>
      <c r="D1238" s="3" t="s">
        <v>5</v>
      </c>
      <c r="E1238" s="3" t="s">
        <v>10</v>
      </c>
      <c r="F1238" s="3" t="s">
        <v>2861</v>
      </c>
      <c r="G1238" s="3" t="s">
        <v>2862</v>
      </c>
      <c r="H1238" s="4">
        <v>1139.05</v>
      </c>
      <c r="I1238" s="3" t="s">
        <v>11</v>
      </c>
    </row>
    <row r="1239" spans="1:9" x14ac:dyDescent="0.35">
      <c r="A1239" s="3">
        <v>103405994</v>
      </c>
      <c r="B1239" s="3" t="s">
        <v>2863</v>
      </c>
      <c r="C1239" s="3" t="s">
        <v>9</v>
      </c>
      <c r="D1239" s="3" t="s">
        <v>5</v>
      </c>
      <c r="E1239" s="3" t="s">
        <v>10</v>
      </c>
      <c r="F1239" s="3" t="s">
        <v>2864</v>
      </c>
      <c r="G1239" s="3" t="s">
        <v>2865</v>
      </c>
      <c r="H1239" s="3">
        <v>464.55</v>
      </c>
      <c r="I1239" s="3" t="s">
        <v>11</v>
      </c>
    </row>
    <row r="1240" spans="1:9" x14ac:dyDescent="0.35">
      <c r="A1240" s="3">
        <v>103405993</v>
      </c>
      <c r="B1240" s="3" t="s">
        <v>2866</v>
      </c>
      <c r="C1240" s="3" t="s">
        <v>9</v>
      </c>
      <c r="D1240" s="3" t="s">
        <v>5</v>
      </c>
      <c r="E1240" s="3" t="s">
        <v>12</v>
      </c>
      <c r="F1240" s="3" t="s">
        <v>2867</v>
      </c>
      <c r="G1240" s="3" t="s">
        <v>2578</v>
      </c>
      <c r="H1240" s="3">
        <v>999</v>
      </c>
      <c r="I1240" s="3" t="s">
        <v>11</v>
      </c>
    </row>
    <row r="1241" spans="1:9" x14ac:dyDescent="0.35">
      <c r="A1241" s="3">
        <v>103405907</v>
      </c>
      <c r="B1241" s="3" t="s">
        <v>2868</v>
      </c>
      <c r="C1241" s="3" t="s">
        <v>9</v>
      </c>
      <c r="D1241" s="3" t="s">
        <v>5</v>
      </c>
      <c r="E1241" s="3" t="s">
        <v>10</v>
      </c>
      <c r="F1241" s="3" t="s">
        <v>2869</v>
      </c>
      <c r="G1241" s="3" t="s">
        <v>2870</v>
      </c>
      <c r="H1241" s="4">
        <v>3134.05</v>
      </c>
      <c r="I1241" s="3" t="s">
        <v>11</v>
      </c>
    </row>
    <row r="1242" spans="1:9" x14ac:dyDescent="0.35">
      <c r="A1242" s="3">
        <v>103405984</v>
      </c>
      <c r="B1242" s="3" t="s">
        <v>2871</v>
      </c>
      <c r="C1242" s="3" t="s">
        <v>9</v>
      </c>
      <c r="D1242" s="3" t="s">
        <v>5</v>
      </c>
      <c r="E1242" s="3" t="s">
        <v>10</v>
      </c>
      <c r="F1242" s="3" t="s">
        <v>2872</v>
      </c>
      <c r="G1242" s="3" t="s">
        <v>2873</v>
      </c>
      <c r="H1242" s="5">
        <v>5098</v>
      </c>
      <c r="I1242" s="3" t="s">
        <v>11</v>
      </c>
    </row>
    <row r="1243" spans="1:9" x14ac:dyDescent="0.35">
      <c r="A1243" s="3">
        <v>103405900</v>
      </c>
      <c r="B1243" s="3" t="s">
        <v>2874</v>
      </c>
      <c r="C1243" s="3" t="s">
        <v>9</v>
      </c>
      <c r="D1243" s="3" t="s">
        <v>5</v>
      </c>
      <c r="E1243" s="3" t="s">
        <v>10</v>
      </c>
      <c r="F1243" s="3" t="s">
        <v>2809</v>
      </c>
      <c r="G1243" s="3" t="s">
        <v>2810</v>
      </c>
      <c r="H1243" s="4">
        <v>1025.05</v>
      </c>
      <c r="I1243" s="3" t="s">
        <v>11</v>
      </c>
    </row>
    <row r="1244" spans="1:9" x14ac:dyDescent="0.35">
      <c r="A1244" s="3">
        <v>103405983</v>
      </c>
      <c r="B1244" s="3" t="s">
        <v>2875</v>
      </c>
      <c r="C1244" s="3" t="s">
        <v>9</v>
      </c>
      <c r="D1244" s="3" t="s">
        <v>5</v>
      </c>
      <c r="E1244" s="3" t="s">
        <v>10</v>
      </c>
      <c r="F1244" s="3" t="s">
        <v>2876</v>
      </c>
      <c r="G1244" s="3" t="s">
        <v>2877</v>
      </c>
      <c r="H1244" s="4">
        <v>1300.55</v>
      </c>
      <c r="I1244" s="3" t="s">
        <v>11</v>
      </c>
    </row>
    <row r="1245" spans="1:9" x14ac:dyDescent="0.35">
      <c r="A1245" s="3">
        <v>103405979</v>
      </c>
      <c r="B1245" s="3" t="s">
        <v>2878</v>
      </c>
      <c r="C1245" s="3" t="s">
        <v>9</v>
      </c>
      <c r="D1245" s="3" t="s">
        <v>5</v>
      </c>
      <c r="E1245" s="3" t="s">
        <v>10</v>
      </c>
      <c r="F1245" s="3" t="s">
        <v>2879</v>
      </c>
      <c r="G1245" s="3" t="s">
        <v>2880</v>
      </c>
      <c r="H1245" s="4">
        <v>2054.9899999999998</v>
      </c>
      <c r="I1245" s="3" t="s">
        <v>11</v>
      </c>
    </row>
    <row r="1246" spans="1:9" x14ac:dyDescent="0.35">
      <c r="A1246" s="3">
        <v>103405978</v>
      </c>
      <c r="B1246" s="3" t="s">
        <v>2881</v>
      </c>
      <c r="C1246" s="3" t="s">
        <v>9</v>
      </c>
      <c r="D1246" s="3" t="s">
        <v>5</v>
      </c>
      <c r="E1246" s="3" t="s">
        <v>10</v>
      </c>
      <c r="F1246" s="3" t="s">
        <v>2882</v>
      </c>
      <c r="G1246" s="3" t="s">
        <v>2883</v>
      </c>
      <c r="H1246" s="5">
        <v>2749</v>
      </c>
      <c r="I1246" s="3" t="s">
        <v>11</v>
      </c>
    </row>
    <row r="1247" spans="1:9" x14ac:dyDescent="0.35">
      <c r="A1247" s="3">
        <v>103405976</v>
      </c>
      <c r="B1247" s="3" t="s">
        <v>2884</v>
      </c>
      <c r="C1247" s="3" t="s">
        <v>9</v>
      </c>
      <c r="D1247" s="3" t="s">
        <v>5</v>
      </c>
      <c r="E1247" s="3" t="s">
        <v>12</v>
      </c>
      <c r="F1247" s="3" t="s">
        <v>2885</v>
      </c>
      <c r="G1247" s="3" t="s">
        <v>2886</v>
      </c>
      <c r="H1247" s="4">
        <v>2519.1</v>
      </c>
      <c r="I1247" s="3" t="s">
        <v>11</v>
      </c>
    </row>
    <row r="1248" spans="1:9" x14ac:dyDescent="0.35">
      <c r="A1248" s="3">
        <v>103405975</v>
      </c>
      <c r="B1248" s="3" t="s">
        <v>2887</v>
      </c>
      <c r="C1248" s="3" t="s">
        <v>9</v>
      </c>
      <c r="D1248" s="3" t="s">
        <v>5</v>
      </c>
      <c r="E1248" s="3" t="s">
        <v>10</v>
      </c>
      <c r="F1248" s="3" t="s">
        <v>2888</v>
      </c>
      <c r="G1248" s="3" t="s">
        <v>2889</v>
      </c>
      <c r="H1248" s="4">
        <v>1424.05</v>
      </c>
      <c r="I1248" s="3" t="s">
        <v>11</v>
      </c>
    </row>
    <row r="1249" spans="1:9" x14ac:dyDescent="0.35">
      <c r="A1249" s="3">
        <v>103405969</v>
      </c>
      <c r="B1249" s="3" t="s">
        <v>2890</v>
      </c>
      <c r="C1249" s="3" t="s">
        <v>9</v>
      </c>
      <c r="D1249" s="3" t="s">
        <v>5</v>
      </c>
      <c r="E1249" s="3" t="s">
        <v>10</v>
      </c>
      <c r="F1249" s="3" t="s">
        <v>2891</v>
      </c>
      <c r="G1249" s="3" t="s">
        <v>2892</v>
      </c>
      <c r="H1249" s="3">
        <v>808</v>
      </c>
      <c r="I1249" s="3" t="s">
        <v>11</v>
      </c>
    </row>
    <row r="1250" spans="1:9" x14ac:dyDescent="0.35">
      <c r="A1250" s="3">
        <v>103405890</v>
      </c>
      <c r="B1250" s="3" t="s">
        <v>2893</v>
      </c>
      <c r="C1250" s="3" t="s">
        <v>9</v>
      </c>
      <c r="D1250" s="3" t="s">
        <v>5</v>
      </c>
      <c r="E1250" s="3" t="s">
        <v>10</v>
      </c>
      <c r="F1250" s="3" t="s">
        <v>2894</v>
      </c>
      <c r="G1250" s="3" t="s">
        <v>2895</v>
      </c>
      <c r="H1250" s="5">
        <v>4098</v>
      </c>
      <c r="I1250" s="3" t="s">
        <v>11</v>
      </c>
    </row>
    <row r="1251" spans="1:9" x14ac:dyDescent="0.35">
      <c r="A1251" s="3">
        <v>103405887</v>
      </c>
      <c r="B1251" s="3" t="s">
        <v>2896</v>
      </c>
      <c r="C1251" s="3" t="s">
        <v>9</v>
      </c>
      <c r="D1251" s="3" t="s">
        <v>5</v>
      </c>
      <c r="E1251" s="3" t="s">
        <v>10</v>
      </c>
      <c r="F1251" s="3" t="s">
        <v>2897</v>
      </c>
      <c r="G1251" s="3" t="s">
        <v>2898</v>
      </c>
      <c r="H1251" s="4">
        <v>3134.05</v>
      </c>
      <c r="I1251" s="3" t="s">
        <v>11</v>
      </c>
    </row>
    <row r="1252" spans="1:9" x14ac:dyDescent="0.35">
      <c r="A1252" s="3">
        <v>103405882</v>
      </c>
      <c r="B1252" s="3" t="s">
        <v>2899</v>
      </c>
      <c r="C1252" s="3" t="s">
        <v>9</v>
      </c>
      <c r="D1252" s="3" t="s">
        <v>5</v>
      </c>
      <c r="E1252" s="3" t="s">
        <v>10</v>
      </c>
      <c r="F1252" s="3" t="s">
        <v>2900</v>
      </c>
      <c r="G1252" s="3" t="s">
        <v>2901</v>
      </c>
      <c r="H1252" s="5">
        <v>1719</v>
      </c>
      <c r="I1252" s="3" t="s">
        <v>11</v>
      </c>
    </row>
    <row r="1253" spans="1:9" x14ac:dyDescent="0.35">
      <c r="A1253" s="3">
        <v>103405879</v>
      </c>
      <c r="B1253" s="3" t="s">
        <v>2902</v>
      </c>
      <c r="C1253" s="3" t="s">
        <v>9</v>
      </c>
      <c r="D1253" s="3" t="s">
        <v>5</v>
      </c>
      <c r="E1253" s="3" t="s">
        <v>10</v>
      </c>
      <c r="F1253" s="3" t="s">
        <v>2903</v>
      </c>
      <c r="G1253" s="3" t="s">
        <v>2904</v>
      </c>
      <c r="H1253" s="4">
        <v>5745.6</v>
      </c>
      <c r="I1253" s="3" t="s">
        <v>11</v>
      </c>
    </row>
    <row r="1254" spans="1:9" x14ac:dyDescent="0.35">
      <c r="A1254" s="3">
        <v>103405878</v>
      </c>
      <c r="B1254" s="3" t="s">
        <v>2905</v>
      </c>
      <c r="C1254" s="3" t="s">
        <v>9</v>
      </c>
      <c r="D1254" s="3" t="s">
        <v>5</v>
      </c>
      <c r="E1254" s="3" t="s">
        <v>10</v>
      </c>
      <c r="F1254" s="3" t="s">
        <v>2906</v>
      </c>
      <c r="G1254" s="3" t="s">
        <v>2907</v>
      </c>
      <c r="H1254" s="3">
        <v>949.05</v>
      </c>
      <c r="I1254" s="3" t="s">
        <v>11</v>
      </c>
    </row>
    <row r="1255" spans="1:9" x14ac:dyDescent="0.35">
      <c r="A1255" s="3">
        <v>103405877</v>
      </c>
      <c r="B1255" s="3" t="s">
        <v>2908</v>
      </c>
      <c r="C1255" s="3" t="s">
        <v>9</v>
      </c>
      <c r="D1255" s="3" t="s">
        <v>5</v>
      </c>
      <c r="E1255" s="3" t="s">
        <v>10</v>
      </c>
      <c r="F1255" s="3" t="s">
        <v>2909</v>
      </c>
      <c r="G1255" s="3" t="s">
        <v>2910</v>
      </c>
      <c r="H1255" s="5">
        <v>3849</v>
      </c>
      <c r="I1255" s="3" t="s">
        <v>11</v>
      </c>
    </row>
    <row r="1256" spans="1:9" x14ac:dyDescent="0.35">
      <c r="A1256" s="3">
        <v>103405853</v>
      </c>
      <c r="B1256" s="3" t="s">
        <v>2911</v>
      </c>
      <c r="C1256" s="3" t="s">
        <v>9</v>
      </c>
      <c r="D1256" s="3" t="s">
        <v>5</v>
      </c>
      <c r="E1256" s="3" t="s">
        <v>10</v>
      </c>
      <c r="F1256" s="3" t="s">
        <v>2912</v>
      </c>
      <c r="G1256" s="3" t="s">
        <v>2913</v>
      </c>
      <c r="H1256" s="4">
        <v>2991.64</v>
      </c>
      <c r="I1256" s="3" t="s">
        <v>11</v>
      </c>
    </row>
    <row r="1257" spans="1:9" x14ac:dyDescent="0.35">
      <c r="A1257" s="3">
        <v>103405873</v>
      </c>
      <c r="B1257" s="3" t="s">
        <v>2914</v>
      </c>
      <c r="C1257" s="3" t="s">
        <v>9</v>
      </c>
      <c r="D1257" s="3" t="s">
        <v>5</v>
      </c>
      <c r="E1257" s="3" t="s">
        <v>10</v>
      </c>
      <c r="F1257" s="3" t="s">
        <v>2915</v>
      </c>
      <c r="G1257" s="3" t="s">
        <v>2916</v>
      </c>
      <c r="H1257" s="5">
        <v>2309</v>
      </c>
      <c r="I1257" s="3" t="s">
        <v>11</v>
      </c>
    </row>
    <row r="1258" spans="1:9" x14ac:dyDescent="0.35">
      <c r="A1258" s="3">
        <v>103405849</v>
      </c>
      <c r="B1258" s="3" t="s">
        <v>2917</v>
      </c>
      <c r="C1258" s="3" t="s">
        <v>9</v>
      </c>
      <c r="D1258" s="3" t="s">
        <v>5</v>
      </c>
      <c r="E1258" s="3" t="s">
        <v>10</v>
      </c>
      <c r="F1258" s="3" t="s">
        <v>2918</v>
      </c>
      <c r="G1258" s="3" t="s">
        <v>2919</v>
      </c>
      <c r="H1258" s="4">
        <v>1367.14</v>
      </c>
      <c r="I1258" s="3" t="s">
        <v>11</v>
      </c>
    </row>
    <row r="1259" spans="1:9" x14ac:dyDescent="0.35">
      <c r="A1259" s="3">
        <v>103405870</v>
      </c>
      <c r="B1259" s="3" t="s">
        <v>2917</v>
      </c>
      <c r="C1259" s="3" t="s">
        <v>9</v>
      </c>
      <c r="D1259" s="3" t="s">
        <v>5</v>
      </c>
      <c r="E1259" s="3" t="s">
        <v>10</v>
      </c>
      <c r="F1259" s="3" t="s">
        <v>2920</v>
      </c>
      <c r="G1259" s="3" t="s">
        <v>2921</v>
      </c>
      <c r="H1259" s="3">
        <v>929</v>
      </c>
      <c r="I1259" s="3" t="s">
        <v>11</v>
      </c>
    </row>
    <row r="1260" spans="1:9" x14ac:dyDescent="0.35">
      <c r="A1260" s="3">
        <v>103405848</v>
      </c>
      <c r="B1260" s="3" t="s">
        <v>2922</v>
      </c>
      <c r="C1260" s="3" t="s">
        <v>9</v>
      </c>
      <c r="D1260" s="3" t="s">
        <v>5</v>
      </c>
      <c r="E1260" s="3" t="s">
        <v>10</v>
      </c>
      <c r="F1260" s="3" t="s">
        <v>2923</v>
      </c>
      <c r="G1260" s="3" t="s">
        <v>2924</v>
      </c>
      <c r="H1260" s="3">
        <v>759.24</v>
      </c>
      <c r="I1260" s="3" t="s">
        <v>11</v>
      </c>
    </row>
    <row r="1261" spans="1:9" x14ac:dyDescent="0.35">
      <c r="A1261" s="3">
        <v>103405847</v>
      </c>
      <c r="B1261" s="3" t="s">
        <v>2925</v>
      </c>
      <c r="C1261" s="3" t="s">
        <v>9</v>
      </c>
      <c r="D1261" s="3" t="s">
        <v>5</v>
      </c>
      <c r="E1261" s="3" t="s">
        <v>10</v>
      </c>
      <c r="F1261" s="3" t="s">
        <v>2926</v>
      </c>
      <c r="G1261" s="3" t="s">
        <v>2927</v>
      </c>
      <c r="H1261" s="3">
        <v>568</v>
      </c>
      <c r="I1261" s="3" t="s">
        <v>11</v>
      </c>
    </row>
    <row r="1262" spans="1:9" x14ac:dyDescent="0.35">
      <c r="A1262" s="3">
        <v>103405868</v>
      </c>
      <c r="B1262" s="3" t="s">
        <v>2928</v>
      </c>
      <c r="C1262" s="3" t="s">
        <v>9</v>
      </c>
      <c r="D1262" s="3" t="s">
        <v>5</v>
      </c>
      <c r="E1262" s="3" t="s">
        <v>10</v>
      </c>
      <c r="F1262" s="3" t="s">
        <v>2900</v>
      </c>
      <c r="G1262" s="3" t="s">
        <v>2901</v>
      </c>
      <c r="H1262" s="5">
        <v>1999</v>
      </c>
      <c r="I1262" s="3" t="s">
        <v>11</v>
      </c>
    </row>
    <row r="1263" spans="1:9" x14ac:dyDescent="0.35">
      <c r="A1263" s="3">
        <v>103405844</v>
      </c>
      <c r="B1263" s="3" t="s">
        <v>2929</v>
      </c>
      <c r="C1263" s="3" t="s">
        <v>9</v>
      </c>
      <c r="D1263" s="3" t="s">
        <v>5</v>
      </c>
      <c r="E1263" s="3" t="s">
        <v>10</v>
      </c>
      <c r="F1263" s="3" t="s">
        <v>2930</v>
      </c>
      <c r="G1263" s="3" t="s">
        <v>2931</v>
      </c>
      <c r="H1263" s="5">
        <v>2499</v>
      </c>
      <c r="I1263" s="3" t="s">
        <v>11</v>
      </c>
    </row>
    <row r="1264" spans="1:9" x14ac:dyDescent="0.35">
      <c r="A1264" s="3">
        <v>103405841</v>
      </c>
      <c r="B1264" s="3" t="s">
        <v>2932</v>
      </c>
      <c r="C1264" s="3" t="s">
        <v>9</v>
      </c>
      <c r="D1264" s="3" t="s">
        <v>5</v>
      </c>
      <c r="E1264" s="3" t="s">
        <v>10</v>
      </c>
      <c r="F1264" s="3" t="s">
        <v>703</v>
      </c>
      <c r="G1264" s="3" t="s">
        <v>704</v>
      </c>
      <c r="H1264" s="3">
        <v>740.05</v>
      </c>
      <c r="I1264" s="3" t="s">
        <v>11</v>
      </c>
    </row>
    <row r="1265" spans="1:9" x14ac:dyDescent="0.35">
      <c r="A1265" s="3">
        <v>103405835</v>
      </c>
      <c r="B1265" s="3" t="s">
        <v>2933</v>
      </c>
      <c r="C1265" s="3" t="s">
        <v>9</v>
      </c>
      <c r="D1265" s="3" t="s">
        <v>5</v>
      </c>
      <c r="E1265" s="3" t="s">
        <v>12</v>
      </c>
      <c r="F1265" s="3" t="s">
        <v>2934</v>
      </c>
      <c r="G1265" s="3" t="s">
        <v>2935</v>
      </c>
      <c r="H1265" s="3">
        <v>799</v>
      </c>
      <c r="I1265" s="3" t="s">
        <v>11</v>
      </c>
    </row>
    <row r="1266" spans="1:9" x14ac:dyDescent="0.35">
      <c r="A1266" s="3">
        <v>103405833</v>
      </c>
      <c r="B1266" s="3" t="s">
        <v>2936</v>
      </c>
      <c r="C1266" s="3" t="s">
        <v>9</v>
      </c>
      <c r="D1266" s="3" t="s">
        <v>5</v>
      </c>
      <c r="E1266" s="3" t="s">
        <v>10</v>
      </c>
      <c r="F1266" s="3" t="s">
        <v>2937</v>
      </c>
      <c r="G1266" s="3" t="s">
        <v>2938</v>
      </c>
      <c r="H1266" s="5">
        <v>5199</v>
      </c>
      <c r="I1266" s="3" t="s">
        <v>11</v>
      </c>
    </row>
    <row r="1267" spans="1:9" x14ac:dyDescent="0.35">
      <c r="A1267" s="3">
        <v>103405756</v>
      </c>
      <c r="B1267" s="3" t="s">
        <v>2939</v>
      </c>
      <c r="C1267" s="3" t="s">
        <v>9</v>
      </c>
      <c r="D1267" s="3" t="s">
        <v>5</v>
      </c>
      <c r="E1267" s="3" t="s">
        <v>10</v>
      </c>
      <c r="F1267" s="3" t="s">
        <v>2940</v>
      </c>
      <c r="G1267" s="3" t="s">
        <v>2941</v>
      </c>
      <c r="H1267" s="5">
        <v>1249</v>
      </c>
      <c r="I1267" s="3" t="s">
        <v>11</v>
      </c>
    </row>
    <row r="1268" spans="1:9" x14ac:dyDescent="0.35">
      <c r="A1268" s="3">
        <v>103405755</v>
      </c>
      <c r="B1268" s="3" t="s">
        <v>2942</v>
      </c>
      <c r="C1268" s="3" t="s">
        <v>9</v>
      </c>
      <c r="D1268" s="3" t="s">
        <v>5</v>
      </c>
      <c r="E1268" s="3" t="s">
        <v>10</v>
      </c>
      <c r="F1268" s="3" t="s">
        <v>2943</v>
      </c>
      <c r="G1268" s="3" t="s">
        <v>2944</v>
      </c>
      <c r="H1268" s="4">
        <v>1586.59</v>
      </c>
      <c r="I1268" s="3" t="s">
        <v>11</v>
      </c>
    </row>
    <row r="1269" spans="1:9" x14ac:dyDescent="0.35">
      <c r="A1269" s="3">
        <v>103405828</v>
      </c>
      <c r="B1269" s="3" t="s">
        <v>2945</v>
      </c>
      <c r="C1269" s="3" t="s">
        <v>9</v>
      </c>
      <c r="D1269" s="3" t="s">
        <v>5</v>
      </c>
      <c r="E1269" s="3" t="s">
        <v>10</v>
      </c>
      <c r="F1269" s="3" t="s">
        <v>2946</v>
      </c>
      <c r="G1269" s="3" t="s">
        <v>2947</v>
      </c>
      <c r="H1269" s="5">
        <v>2599</v>
      </c>
      <c r="I1269" s="3" t="s">
        <v>11</v>
      </c>
    </row>
    <row r="1270" spans="1:9" x14ac:dyDescent="0.35">
      <c r="A1270" s="3">
        <v>103405827</v>
      </c>
      <c r="B1270" s="3" t="s">
        <v>2948</v>
      </c>
      <c r="C1270" s="3" t="s">
        <v>9</v>
      </c>
      <c r="D1270" s="3" t="s">
        <v>5</v>
      </c>
      <c r="E1270" s="3" t="s">
        <v>10</v>
      </c>
      <c r="F1270" s="3" t="s">
        <v>2949</v>
      </c>
      <c r="G1270" s="3" t="s">
        <v>2950</v>
      </c>
      <c r="H1270" s="3">
        <v>331.55</v>
      </c>
      <c r="I1270" s="3" t="s">
        <v>11</v>
      </c>
    </row>
    <row r="1271" spans="1:9" x14ac:dyDescent="0.35">
      <c r="A1271" s="3">
        <v>103405750</v>
      </c>
      <c r="B1271" s="3" t="s">
        <v>2951</v>
      </c>
      <c r="C1271" s="3" t="s">
        <v>9</v>
      </c>
      <c r="D1271" s="3" t="s">
        <v>5</v>
      </c>
      <c r="E1271" s="3" t="s">
        <v>10</v>
      </c>
      <c r="F1271" s="3" t="s">
        <v>2952</v>
      </c>
      <c r="G1271" s="3" t="s">
        <v>2953</v>
      </c>
      <c r="H1271" s="3">
        <v>949.05</v>
      </c>
      <c r="I1271" s="3" t="s">
        <v>11</v>
      </c>
    </row>
    <row r="1272" spans="1:9" x14ac:dyDescent="0.35">
      <c r="A1272" s="3">
        <v>103405821</v>
      </c>
      <c r="B1272" s="3" t="s">
        <v>4795</v>
      </c>
      <c r="C1272" s="3" t="s">
        <v>9</v>
      </c>
      <c r="D1272" s="3" t="s">
        <v>5</v>
      </c>
      <c r="E1272" s="3" t="s">
        <v>10</v>
      </c>
      <c r="F1272" s="3" t="s">
        <v>4796</v>
      </c>
      <c r="G1272" s="3" t="s">
        <v>4797</v>
      </c>
      <c r="H1272" s="4">
        <v>1538.05</v>
      </c>
      <c r="I1272" s="3" t="s">
        <v>13</v>
      </c>
    </row>
    <row r="1273" spans="1:9" x14ac:dyDescent="0.35">
      <c r="A1273" s="3">
        <v>103405745</v>
      </c>
      <c r="B1273" s="3" t="s">
        <v>2954</v>
      </c>
      <c r="C1273" s="3" t="s">
        <v>9</v>
      </c>
      <c r="D1273" s="3" t="s">
        <v>5</v>
      </c>
      <c r="E1273" s="3" t="s">
        <v>12</v>
      </c>
      <c r="F1273" s="3" t="s">
        <v>2955</v>
      </c>
      <c r="G1273" s="3" t="s">
        <v>2956</v>
      </c>
      <c r="H1273" s="5">
        <v>1238</v>
      </c>
      <c r="I1273" s="3" t="s">
        <v>11</v>
      </c>
    </row>
    <row r="1274" spans="1:9" x14ac:dyDescent="0.35">
      <c r="A1274" s="3">
        <v>103405744</v>
      </c>
      <c r="B1274" s="3" t="s">
        <v>2957</v>
      </c>
      <c r="C1274" s="3" t="s">
        <v>9</v>
      </c>
      <c r="D1274" s="3" t="s">
        <v>5</v>
      </c>
      <c r="E1274" s="3" t="s">
        <v>10</v>
      </c>
      <c r="F1274" s="3" t="s">
        <v>2958</v>
      </c>
      <c r="G1274" s="3" t="s">
        <v>2959</v>
      </c>
      <c r="H1274" s="5">
        <v>1349</v>
      </c>
      <c r="I1274" s="3" t="s">
        <v>11</v>
      </c>
    </row>
    <row r="1275" spans="1:9" x14ac:dyDescent="0.35">
      <c r="A1275" s="3">
        <v>103405742</v>
      </c>
      <c r="B1275" s="3" t="s">
        <v>2960</v>
      </c>
      <c r="C1275" s="3" t="s">
        <v>9</v>
      </c>
      <c r="D1275" s="3" t="s">
        <v>5</v>
      </c>
      <c r="E1275" s="3" t="s">
        <v>10</v>
      </c>
      <c r="F1275" s="3" t="s">
        <v>2961</v>
      </c>
      <c r="G1275" s="3" t="s">
        <v>2962</v>
      </c>
      <c r="H1275" s="3">
        <v>728.1</v>
      </c>
      <c r="I1275" s="3" t="s">
        <v>11</v>
      </c>
    </row>
    <row r="1276" spans="1:9" x14ac:dyDescent="0.35">
      <c r="A1276" s="3">
        <v>103405813</v>
      </c>
      <c r="B1276" s="3" t="s">
        <v>2963</v>
      </c>
      <c r="C1276" s="3" t="s">
        <v>9</v>
      </c>
      <c r="D1276" s="3" t="s">
        <v>5</v>
      </c>
      <c r="E1276" s="3" t="s">
        <v>10</v>
      </c>
      <c r="F1276" s="3" t="s">
        <v>2964</v>
      </c>
      <c r="G1276" s="3" t="s">
        <v>2965</v>
      </c>
      <c r="H1276" s="3">
        <v>949.05</v>
      </c>
      <c r="I1276" s="3" t="s">
        <v>11</v>
      </c>
    </row>
    <row r="1277" spans="1:9" x14ac:dyDescent="0.35">
      <c r="A1277" s="3">
        <v>103405810</v>
      </c>
      <c r="B1277" s="3" t="s">
        <v>2966</v>
      </c>
      <c r="C1277" s="3" t="s">
        <v>9</v>
      </c>
      <c r="D1277" s="3" t="s">
        <v>5</v>
      </c>
      <c r="E1277" s="3" t="s">
        <v>10</v>
      </c>
      <c r="F1277" s="3" t="s">
        <v>2967</v>
      </c>
      <c r="G1277" s="3" t="s">
        <v>2968</v>
      </c>
      <c r="H1277" s="5">
        <v>5567</v>
      </c>
      <c r="I1277" s="3" t="s">
        <v>11</v>
      </c>
    </row>
    <row r="1278" spans="1:9" x14ac:dyDescent="0.35">
      <c r="A1278" s="3">
        <v>103405809</v>
      </c>
      <c r="B1278" s="3" t="s">
        <v>2969</v>
      </c>
      <c r="C1278" s="3" t="s">
        <v>9</v>
      </c>
      <c r="D1278" s="3" t="s">
        <v>5</v>
      </c>
      <c r="E1278" s="3" t="s">
        <v>10</v>
      </c>
      <c r="F1278" s="3" t="s">
        <v>2970</v>
      </c>
      <c r="G1278" s="3" t="s">
        <v>2971</v>
      </c>
      <c r="H1278" s="5">
        <v>1189</v>
      </c>
      <c r="I1278" s="3" t="s">
        <v>11</v>
      </c>
    </row>
    <row r="1279" spans="1:9" x14ac:dyDescent="0.35">
      <c r="A1279" s="3">
        <v>103405803</v>
      </c>
      <c r="B1279" s="3" t="s">
        <v>2972</v>
      </c>
      <c r="C1279" s="3" t="s">
        <v>9</v>
      </c>
      <c r="D1279" s="3" t="s">
        <v>5</v>
      </c>
      <c r="E1279" s="3" t="s">
        <v>10</v>
      </c>
      <c r="F1279" s="3" t="s">
        <v>2973</v>
      </c>
      <c r="G1279" s="3" t="s">
        <v>2974</v>
      </c>
      <c r="H1279" s="3">
        <v>441.32</v>
      </c>
      <c r="I1279" s="3" t="s">
        <v>11</v>
      </c>
    </row>
    <row r="1280" spans="1:9" x14ac:dyDescent="0.35">
      <c r="A1280" s="3">
        <v>103405739</v>
      </c>
      <c r="B1280" s="3" t="s">
        <v>2975</v>
      </c>
      <c r="C1280" s="3" t="s">
        <v>9</v>
      </c>
      <c r="D1280" s="3" t="s">
        <v>5</v>
      </c>
      <c r="E1280" s="3" t="s">
        <v>10</v>
      </c>
      <c r="F1280" s="3" t="s">
        <v>2976</v>
      </c>
      <c r="G1280" s="3" t="s">
        <v>2977</v>
      </c>
      <c r="H1280" s="4">
        <v>4008.05</v>
      </c>
      <c r="I1280" s="3" t="s">
        <v>11</v>
      </c>
    </row>
    <row r="1281" spans="1:9" x14ac:dyDescent="0.35">
      <c r="A1281" s="3">
        <v>103405798</v>
      </c>
      <c r="B1281" s="3" t="s">
        <v>2978</v>
      </c>
      <c r="C1281" s="3" t="s">
        <v>9</v>
      </c>
      <c r="D1281" s="3" t="s">
        <v>5</v>
      </c>
      <c r="E1281" s="3" t="s">
        <v>10</v>
      </c>
      <c r="F1281" s="3" t="s">
        <v>2979</v>
      </c>
      <c r="G1281" s="3" t="s">
        <v>2980</v>
      </c>
      <c r="H1281" s="4">
        <v>4434.6000000000004</v>
      </c>
      <c r="I1281" s="3" t="s">
        <v>11</v>
      </c>
    </row>
    <row r="1282" spans="1:9" x14ac:dyDescent="0.35">
      <c r="A1282" s="3">
        <v>103405791</v>
      </c>
      <c r="B1282" s="3" t="s">
        <v>2981</v>
      </c>
      <c r="C1282" s="3" t="s">
        <v>9</v>
      </c>
      <c r="D1282" s="3" t="s">
        <v>5</v>
      </c>
      <c r="E1282" s="3" t="s">
        <v>12</v>
      </c>
      <c r="F1282" s="3" t="s">
        <v>2982</v>
      </c>
      <c r="G1282" s="3" t="s">
        <v>2983</v>
      </c>
      <c r="H1282" s="5">
        <v>3999</v>
      </c>
      <c r="I1282" s="3" t="s">
        <v>11</v>
      </c>
    </row>
    <row r="1283" spans="1:9" x14ac:dyDescent="0.35">
      <c r="A1283" s="3">
        <v>103405788</v>
      </c>
      <c r="B1283" s="3" t="s">
        <v>2984</v>
      </c>
      <c r="C1283" s="3" t="s">
        <v>9</v>
      </c>
      <c r="D1283" s="3" t="s">
        <v>5</v>
      </c>
      <c r="E1283" s="3" t="s">
        <v>10</v>
      </c>
      <c r="F1283" s="3" t="s">
        <v>2985</v>
      </c>
      <c r="G1283" s="3" t="s">
        <v>2986</v>
      </c>
      <c r="H1283" s="4">
        <v>3846.64</v>
      </c>
      <c r="I1283" s="3" t="s">
        <v>11</v>
      </c>
    </row>
    <row r="1284" spans="1:9" x14ac:dyDescent="0.35">
      <c r="A1284" s="3">
        <v>103405787</v>
      </c>
      <c r="B1284" s="3" t="s">
        <v>2987</v>
      </c>
      <c r="C1284" s="3" t="s">
        <v>9</v>
      </c>
      <c r="D1284" s="3" t="s">
        <v>5</v>
      </c>
      <c r="E1284" s="3" t="s">
        <v>12</v>
      </c>
      <c r="F1284" s="3" t="s">
        <v>2988</v>
      </c>
      <c r="G1284" s="3" t="s">
        <v>2989</v>
      </c>
      <c r="H1284" s="3">
        <v>759.05</v>
      </c>
      <c r="I1284" s="3" t="s">
        <v>11</v>
      </c>
    </row>
    <row r="1285" spans="1:9" x14ac:dyDescent="0.35">
      <c r="A1285" s="3">
        <v>103405786</v>
      </c>
      <c r="B1285" s="3" t="s">
        <v>2990</v>
      </c>
      <c r="C1285" s="3" t="s">
        <v>9</v>
      </c>
      <c r="D1285" s="3" t="s">
        <v>5</v>
      </c>
      <c r="E1285" s="3" t="s">
        <v>10</v>
      </c>
      <c r="F1285" s="3" t="s">
        <v>2991</v>
      </c>
      <c r="G1285" s="3" t="s">
        <v>2992</v>
      </c>
      <c r="H1285" s="5">
        <v>1539</v>
      </c>
      <c r="I1285" s="3" t="s">
        <v>11</v>
      </c>
    </row>
    <row r="1286" spans="1:9" x14ac:dyDescent="0.35">
      <c r="A1286" s="3">
        <v>103405785</v>
      </c>
      <c r="B1286" s="3" t="s">
        <v>2993</v>
      </c>
      <c r="C1286" s="3" t="s">
        <v>9</v>
      </c>
      <c r="D1286" s="3" t="s">
        <v>5</v>
      </c>
      <c r="E1286" s="3" t="s">
        <v>10</v>
      </c>
      <c r="F1286" s="3" t="s">
        <v>2994</v>
      </c>
      <c r="G1286" s="3" t="s">
        <v>2995</v>
      </c>
      <c r="H1286" s="4">
        <v>4321.55</v>
      </c>
      <c r="I1286" s="3" t="s">
        <v>11</v>
      </c>
    </row>
    <row r="1287" spans="1:9" x14ac:dyDescent="0.35">
      <c r="A1287" s="3">
        <v>103405784</v>
      </c>
      <c r="B1287" s="3" t="s">
        <v>2996</v>
      </c>
      <c r="C1287" s="3" t="s">
        <v>9</v>
      </c>
      <c r="D1287" s="3" t="s">
        <v>5</v>
      </c>
      <c r="E1287" s="3" t="s">
        <v>10</v>
      </c>
      <c r="F1287" s="3" t="s">
        <v>2997</v>
      </c>
      <c r="G1287" s="3" t="s">
        <v>2998</v>
      </c>
      <c r="H1287" s="4">
        <v>2868.05</v>
      </c>
      <c r="I1287" s="3" t="s">
        <v>11</v>
      </c>
    </row>
    <row r="1288" spans="1:9" x14ac:dyDescent="0.35">
      <c r="A1288" s="3">
        <v>103405728</v>
      </c>
      <c r="B1288" s="3" t="s">
        <v>2999</v>
      </c>
      <c r="C1288" s="3" t="s">
        <v>9</v>
      </c>
      <c r="D1288" s="3" t="s">
        <v>5</v>
      </c>
      <c r="E1288" s="3" t="s">
        <v>12</v>
      </c>
      <c r="F1288" s="3" t="s">
        <v>3000</v>
      </c>
      <c r="G1288" s="3" t="s">
        <v>3001</v>
      </c>
      <c r="H1288" s="5">
        <v>1198</v>
      </c>
      <c r="I1288" s="3" t="s">
        <v>11</v>
      </c>
    </row>
    <row r="1289" spans="1:9" x14ac:dyDescent="0.35">
      <c r="A1289" s="3">
        <v>103405775</v>
      </c>
      <c r="B1289" s="3" t="s">
        <v>3002</v>
      </c>
      <c r="C1289" s="3" t="s">
        <v>9</v>
      </c>
      <c r="D1289" s="3" t="s">
        <v>5</v>
      </c>
      <c r="E1289" s="3" t="s">
        <v>10</v>
      </c>
      <c r="F1289" s="3" t="s">
        <v>3003</v>
      </c>
      <c r="G1289" s="3" t="s">
        <v>3004</v>
      </c>
      <c r="H1289" s="5">
        <v>1799</v>
      </c>
      <c r="I1289" s="3" t="s">
        <v>11</v>
      </c>
    </row>
    <row r="1290" spans="1:9" x14ac:dyDescent="0.35">
      <c r="A1290" s="3">
        <v>103405770</v>
      </c>
      <c r="B1290" s="3" t="s">
        <v>3005</v>
      </c>
      <c r="C1290" s="3" t="s">
        <v>9</v>
      </c>
      <c r="D1290" s="3" t="s">
        <v>5</v>
      </c>
      <c r="E1290" s="3" t="s">
        <v>10</v>
      </c>
      <c r="F1290" s="3" t="s">
        <v>3006</v>
      </c>
      <c r="G1290" s="3" t="s">
        <v>3007</v>
      </c>
      <c r="H1290" s="3">
        <v>838.42</v>
      </c>
      <c r="I1290" s="3" t="s">
        <v>11</v>
      </c>
    </row>
    <row r="1291" spans="1:9" x14ac:dyDescent="0.35">
      <c r="A1291" s="3">
        <v>103405771</v>
      </c>
      <c r="B1291" s="3" t="s">
        <v>3005</v>
      </c>
      <c r="C1291" s="3" t="s">
        <v>9</v>
      </c>
      <c r="D1291" s="3" t="s">
        <v>5</v>
      </c>
      <c r="E1291" s="3" t="s">
        <v>10</v>
      </c>
      <c r="F1291" s="3" t="s">
        <v>3008</v>
      </c>
      <c r="G1291" s="3" t="s">
        <v>3009</v>
      </c>
      <c r="H1291" s="3">
        <v>756.29</v>
      </c>
      <c r="I1291" s="3" t="s">
        <v>11</v>
      </c>
    </row>
    <row r="1292" spans="1:9" x14ac:dyDescent="0.35">
      <c r="A1292" s="3">
        <v>103405769</v>
      </c>
      <c r="B1292" s="3" t="s">
        <v>3010</v>
      </c>
      <c r="C1292" s="3" t="s">
        <v>9</v>
      </c>
      <c r="D1292" s="3" t="s">
        <v>5</v>
      </c>
      <c r="E1292" s="3" t="s">
        <v>10</v>
      </c>
      <c r="F1292" s="3" t="s">
        <v>3011</v>
      </c>
      <c r="G1292" s="3" t="s">
        <v>3012</v>
      </c>
      <c r="H1292" s="4">
        <v>2221.29</v>
      </c>
      <c r="I1292" s="3" t="s">
        <v>11</v>
      </c>
    </row>
    <row r="1293" spans="1:9" x14ac:dyDescent="0.35">
      <c r="A1293" s="3">
        <v>103405726</v>
      </c>
      <c r="B1293" s="3" t="s">
        <v>3013</v>
      </c>
      <c r="C1293" s="3" t="s">
        <v>9</v>
      </c>
      <c r="D1293" s="3" t="s">
        <v>5</v>
      </c>
      <c r="E1293" s="3" t="s">
        <v>10</v>
      </c>
      <c r="F1293" s="3" t="s">
        <v>3014</v>
      </c>
      <c r="G1293" s="3" t="s">
        <v>3015</v>
      </c>
      <c r="H1293" s="3">
        <v>969</v>
      </c>
      <c r="I1293" s="3" t="s">
        <v>11</v>
      </c>
    </row>
    <row r="1294" spans="1:9" x14ac:dyDescent="0.35">
      <c r="A1294" s="3">
        <v>103405725</v>
      </c>
      <c r="B1294" s="3" t="s">
        <v>3016</v>
      </c>
      <c r="C1294" s="3" t="s">
        <v>9</v>
      </c>
      <c r="D1294" s="3" t="s">
        <v>5</v>
      </c>
      <c r="E1294" s="3" t="s">
        <v>10</v>
      </c>
      <c r="F1294" s="3" t="s">
        <v>3017</v>
      </c>
      <c r="G1294" s="3" t="s">
        <v>3018</v>
      </c>
      <c r="H1294" s="4">
        <v>3989.05</v>
      </c>
      <c r="I1294" s="3" t="s">
        <v>11</v>
      </c>
    </row>
    <row r="1295" spans="1:9" x14ac:dyDescent="0.35">
      <c r="A1295" s="3">
        <v>103405664</v>
      </c>
      <c r="B1295" s="3" t="s">
        <v>3019</v>
      </c>
      <c r="C1295" s="3" t="s">
        <v>9</v>
      </c>
      <c r="D1295" s="3" t="s">
        <v>5</v>
      </c>
      <c r="E1295" s="3" t="s">
        <v>10</v>
      </c>
      <c r="F1295" s="3" t="s">
        <v>3020</v>
      </c>
      <c r="G1295" s="3" t="s">
        <v>3021</v>
      </c>
      <c r="H1295" s="5">
        <v>7999</v>
      </c>
      <c r="I1295" s="3" t="s">
        <v>11</v>
      </c>
    </row>
    <row r="1296" spans="1:9" x14ac:dyDescent="0.35">
      <c r="A1296" s="3">
        <v>103405766</v>
      </c>
      <c r="B1296" s="3" t="s">
        <v>3019</v>
      </c>
      <c r="C1296" s="3" t="s">
        <v>9</v>
      </c>
      <c r="D1296" s="3" t="s">
        <v>5</v>
      </c>
      <c r="E1296" s="3" t="s">
        <v>10</v>
      </c>
      <c r="F1296" s="3" t="s">
        <v>1309</v>
      </c>
      <c r="G1296" s="3" t="s">
        <v>3022</v>
      </c>
      <c r="H1296" s="3">
        <v>464.55</v>
      </c>
      <c r="I1296" s="3" t="s">
        <v>11</v>
      </c>
    </row>
    <row r="1297" spans="1:9" x14ac:dyDescent="0.35">
      <c r="A1297" s="3">
        <v>103405662</v>
      </c>
      <c r="B1297" s="3" t="s">
        <v>3023</v>
      </c>
      <c r="C1297" s="3" t="s">
        <v>9</v>
      </c>
      <c r="D1297" s="3" t="s">
        <v>5</v>
      </c>
      <c r="E1297" s="3" t="s">
        <v>12</v>
      </c>
      <c r="F1297" s="3" t="s">
        <v>3024</v>
      </c>
      <c r="G1297" s="3" t="s">
        <v>3025</v>
      </c>
      <c r="H1297" s="3">
        <v>664.05</v>
      </c>
      <c r="I1297" s="3" t="s">
        <v>11</v>
      </c>
    </row>
    <row r="1298" spans="1:9" x14ac:dyDescent="0.35">
      <c r="A1298" s="3">
        <v>103405654</v>
      </c>
      <c r="B1298" s="3" t="s">
        <v>3026</v>
      </c>
      <c r="C1298" s="3" t="s">
        <v>9</v>
      </c>
      <c r="D1298" s="3" t="s">
        <v>5</v>
      </c>
      <c r="E1298" s="3" t="s">
        <v>10</v>
      </c>
      <c r="F1298" s="3" t="s">
        <v>3027</v>
      </c>
      <c r="G1298" s="3" t="s">
        <v>3028</v>
      </c>
      <c r="H1298" s="4">
        <v>4319.1000000000004</v>
      </c>
      <c r="I1298" s="3" t="s">
        <v>11</v>
      </c>
    </row>
    <row r="1299" spans="1:9" x14ac:dyDescent="0.35">
      <c r="A1299" s="3">
        <v>103405718</v>
      </c>
      <c r="B1299" s="3" t="s">
        <v>3029</v>
      </c>
      <c r="C1299" s="3" t="s">
        <v>9</v>
      </c>
      <c r="D1299" s="3" t="s">
        <v>5</v>
      </c>
      <c r="E1299" s="3" t="s">
        <v>12</v>
      </c>
      <c r="F1299" s="3" t="s">
        <v>3030</v>
      </c>
      <c r="G1299" s="3" t="s">
        <v>3031</v>
      </c>
      <c r="H1299" s="5">
        <v>9999</v>
      </c>
      <c r="I1299" s="3" t="s">
        <v>11</v>
      </c>
    </row>
    <row r="1300" spans="1:9" x14ac:dyDescent="0.35">
      <c r="A1300" s="3">
        <v>103405653</v>
      </c>
      <c r="B1300" s="3" t="s">
        <v>3032</v>
      </c>
      <c r="C1300" s="3" t="s">
        <v>9</v>
      </c>
      <c r="D1300" s="3" t="s">
        <v>5</v>
      </c>
      <c r="E1300" s="3" t="s">
        <v>10</v>
      </c>
      <c r="F1300" s="3" t="s">
        <v>3033</v>
      </c>
      <c r="G1300" s="3" t="s">
        <v>3034</v>
      </c>
      <c r="H1300" s="5">
        <v>2249</v>
      </c>
      <c r="I1300" s="3" t="s">
        <v>11</v>
      </c>
    </row>
    <row r="1301" spans="1:9" x14ac:dyDescent="0.35">
      <c r="A1301" s="3">
        <v>103405651</v>
      </c>
      <c r="B1301" s="3" t="s">
        <v>3035</v>
      </c>
      <c r="C1301" s="3" t="s">
        <v>9</v>
      </c>
      <c r="D1301" s="3" t="s">
        <v>5</v>
      </c>
      <c r="E1301" s="3" t="s">
        <v>10</v>
      </c>
      <c r="F1301" s="3" t="s">
        <v>3036</v>
      </c>
      <c r="G1301" s="3" t="s">
        <v>3037</v>
      </c>
      <c r="H1301" s="4">
        <v>1922.89</v>
      </c>
      <c r="I1301" s="3" t="s">
        <v>11</v>
      </c>
    </row>
    <row r="1302" spans="1:9" x14ac:dyDescent="0.35">
      <c r="A1302" s="3">
        <v>103405645</v>
      </c>
      <c r="B1302" s="3" t="s">
        <v>3038</v>
      </c>
      <c r="C1302" s="3" t="s">
        <v>9</v>
      </c>
      <c r="D1302" s="3" t="s">
        <v>5</v>
      </c>
      <c r="E1302" s="3" t="s">
        <v>10</v>
      </c>
      <c r="F1302" s="3" t="s">
        <v>3039</v>
      </c>
      <c r="G1302" s="3" t="s">
        <v>3040</v>
      </c>
      <c r="H1302" s="4">
        <v>4559.05</v>
      </c>
      <c r="I1302" s="3" t="s">
        <v>11</v>
      </c>
    </row>
    <row r="1303" spans="1:9" x14ac:dyDescent="0.35">
      <c r="A1303" s="3">
        <v>103405644</v>
      </c>
      <c r="B1303" s="3" t="s">
        <v>3041</v>
      </c>
      <c r="C1303" s="3" t="s">
        <v>9</v>
      </c>
      <c r="D1303" s="3" t="s">
        <v>5</v>
      </c>
      <c r="E1303" s="3" t="s">
        <v>10</v>
      </c>
      <c r="F1303" s="3" t="s">
        <v>3042</v>
      </c>
      <c r="G1303" s="3" t="s">
        <v>3043</v>
      </c>
      <c r="H1303" s="3">
        <v>369</v>
      </c>
      <c r="I1303" s="3" t="s">
        <v>11</v>
      </c>
    </row>
    <row r="1304" spans="1:9" x14ac:dyDescent="0.35">
      <c r="A1304" s="3">
        <v>103405704</v>
      </c>
      <c r="B1304" s="3" t="s">
        <v>3044</v>
      </c>
      <c r="C1304" s="3" t="s">
        <v>9</v>
      </c>
      <c r="D1304" s="3" t="s">
        <v>5</v>
      </c>
      <c r="E1304" s="3" t="s">
        <v>10</v>
      </c>
      <c r="F1304" s="3" t="s">
        <v>3045</v>
      </c>
      <c r="G1304" s="3" t="s">
        <v>3046</v>
      </c>
      <c r="H1304" s="5">
        <v>2699</v>
      </c>
      <c r="I1304" s="3" t="s">
        <v>11</v>
      </c>
    </row>
    <row r="1305" spans="1:9" x14ac:dyDescent="0.35">
      <c r="A1305" s="3">
        <v>103405642</v>
      </c>
      <c r="B1305" s="3" t="s">
        <v>3047</v>
      </c>
      <c r="C1305" s="3" t="s">
        <v>9</v>
      </c>
      <c r="D1305" s="3" t="s">
        <v>5</v>
      </c>
      <c r="E1305" s="3" t="s">
        <v>10</v>
      </c>
      <c r="F1305" s="3" t="s">
        <v>3048</v>
      </c>
      <c r="G1305" s="3" t="s">
        <v>3049</v>
      </c>
      <c r="H1305" s="3">
        <v>649</v>
      </c>
      <c r="I1305" s="3" t="s">
        <v>11</v>
      </c>
    </row>
    <row r="1306" spans="1:9" x14ac:dyDescent="0.35">
      <c r="A1306" s="3">
        <v>103405700</v>
      </c>
      <c r="B1306" s="3" t="s">
        <v>3050</v>
      </c>
      <c r="C1306" s="3" t="s">
        <v>9</v>
      </c>
      <c r="D1306" s="3" t="s">
        <v>5</v>
      </c>
      <c r="E1306" s="3" t="s">
        <v>10</v>
      </c>
      <c r="F1306" s="3" t="s">
        <v>3008</v>
      </c>
      <c r="G1306" s="3" t="s">
        <v>3009</v>
      </c>
      <c r="H1306" s="4">
        <v>4487.8900000000003</v>
      </c>
      <c r="I1306" s="3" t="s">
        <v>11</v>
      </c>
    </row>
    <row r="1307" spans="1:9" x14ac:dyDescent="0.35">
      <c r="A1307" s="3">
        <v>103405634</v>
      </c>
      <c r="B1307" s="3" t="s">
        <v>3051</v>
      </c>
      <c r="C1307" s="3" t="s">
        <v>9</v>
      </c>
      <c r="D1307" s="3" t="s">
        <v>5</v>
      </c>
      <c r="E1307" s="3" t="s">
        <v>10</v>
      </c>
      <c r="F1307" s="3" t="s">
        <v>3052</v>
      </c>
      <c r="G1307" s="3" t="s">
        <v>3053</v>
      </c>
      <c r="H1307" s="4">
        <v>6567.3</v>
      </c>
      <c r="I1307" s="3" t="s">
        <v>11</v>
      </c>
    </row>
    <row r="1308" spans="1:9" x14ac:dyDescent="0.35">
      <c r="A1308" s="3">
        <v>103405696</v>
      </c>
      <c r="B1308" s="3" t="s">
        <v>3054</v>
      </c>
      <c r="C1308" s="3" t="s">
        <v>9</v>
      </c>
      <c r="D1308" s="3" t="s">
        <v>5</v>
      </c>
      <c r="E1308" s="3" t="s">
        <v>10</v>
      </c>
      <c r="F1308" s="3" t="s">
        <v>21</v>
      </c>
      <c r="G1308" s="3" t="s">
        <v>3055</v>
      </c>
      <c r="H1308" s="5">
        <v>1169</v>
      </c>
      <c r="I1308" s="3" t="s">
        <v>11</v>
      </c>
    </row>
    <row r="1309" spans="1:9" x14ac:dyDescent="0.35">
      <c r="A1309" s="3">
        <v>103405631</v>
      </c>
      <c r="B1309" s="3" t="s">
        <v>3056</v>
      </c>
      <c r="C1309" s="3" t="s">
        <v>9</v>
      </c>
      <c r="D1309" s="3" t="s">
        <v>5</v>
      </c>
      <c r="E1309" s="3" t="s">
        <v>10</v>
      </c>
      <c r="F1309" s="3" t="s">
        <v>3057</v>
      </c>
      <c r="G1309" s="3" t="s">
        <v>3058</v>
      </c>
      <c r="H1309" s="3">
        <v>749</v>
      </c>
      <c r="I1309" s="3" t="s">
        <v>11</v>
      </c>
    </row>
    <row r="1310" spans="1:9" x14ac:dyDescent="0.35">
      <c r="A1310" s="3">
        <v>103405694</v>
      </c>
      <c r="B1310" s="3" t="s">
        <v>3059</v>
      </c>
      <c r="C1310" s="3" t="s">
        <v>9</v>
      </c>
      <c r="D1310" s="3" t="s">
        <v>5</v>
      </c>
      <c r="E1310" s="3" t="s">
        <v>10</v>
      </c>
      <c r="F1310" s="3" t="s">
        <v>3060</v>
      </c>
      <c r="G1310" s="3" t="s">
        <v>3061</v>
      </c>
      <c r="H1310" s="3">
        <v>519</v>
      </c>
      <c r="I1310" s="3" t="s">
        <v>11</v>
      </c>
    </row>
    <row r="1311" spans="1:9" x14ac:dyDescent="0.35">
      <c r="A1311" s="3">
        <v>103405692</v>
      </c>
      <c r="B1311" s="3" t="s">
        <v>3062</v>
      </c>
      <c r="C1311" s="3" t="s">
        <v>9</v>
      </c>
      <c r="D1311" s="3" t="s">
        <v>5</v>
      </c>
      <c r="E1311" s="3" t="s">
        <v>10</v>
      </c>
      <c r="F1311" s="3" t="s">
        <v>3063</v>
      </c>
      <c r="G1311" s="3" t="s">
        <v>3064</v>
      </c>
      <c r="H1311" s="4">
        <v>1110.55</v>
      </c>
      <c r="I1311" s="3" t="s">
        <v>11</v>
      </c>
    </row>
    <row r="1312" spans="1:9" x14ac:dyDescent="0.35">
      <c r="A1312" s="3">
        <v>103405623</v>
      </c>
      <c r="B1312" s="3" t="s">
        <v>3065</v>
      </c>
      <c r="C1312" s="3" t="s">
        <v>9</v>
      </c>
      <c r="D1312" s="3" t="s">
        <v>5</v>
      </c>
      <c r="E1312" s="3" t="s">
        <v>10</v>
      </c>
      <c r="F1312" s="3" t="s">
        <v>3066</v>
      </c>
      <c r="G1312" s="3" t="s">
        <v>3067</v>
      </c>
      <c r="H1312" s="3">
        <v>920.55</v>
      </c>
      <c r="I1312" s="3" t="s">
        <v>11</v>
      </c>
    </row>
    <row r="1313" spans="1:9" x14ac:dyDescent="0.35">
      <c r="A1313" s="3">
        <v>103405622</v>
      </c>
      <c r="B1313" s="3" t="s">
        <v>3068</v>
      </c>
      <c r="C1313" s="3" t="s">
        <v>9</v>
      </c>
      <c r="D1313" s="3" t="s">
        <v>5</v>
      </c>
      <c r="E1313" s="3" t="s">
        <v>12</v>
      </c>
      <c r="F1313" s="3" t="s">
        <v>3069</v>
      </c>
      <c r="G1313" s="3" t="s">
        <v>3070</v>
      </c>
      <c r="H1313" s="3">
        <v>599</v>
      </c>
      <c r="I1313" s="3" t="s">
        <v>11</v>
      </c>
    </row>
    <row r="1314" spans="1:9" x14ac:dyDescent="0.35">
      <c r="A1314" s="3">
        <v>103405621</v>
      </c>
      <c r="B1314" s="3" t="s">
        <v>3071</v>
      </c>
      <c r="C1314" s="3" t="s">
        <v>9</v>
      </c>
      <c r="D1314" s="3" t="s">
        <v>5</v>
      </c>
      <c r="E1314" s="3" t="s">
        <v>10</v>
      </c>
      <c r="F1314" s="3" t="s">
        <v>3072</v>
      </c>
      <c r="G1314" s="3" t="s">
        <v>3073</v>
      </c>
      <c r="H1314" s="4">
        <v>2193.5500000000002</v>
      </c>
      <c r="I1314" s="3" t="s">
        <v>11</v>
      </c>
    </row>
    <row r="1315" spans="1:9" x14ac:dyDescent="0.35">
      <c r="A1315" s="3">
        <v>103405690</v>
      </c>
      <c r="B1315" s="3" t="s">
        <v>3074</v>
      </c>
      <c r="C1315" s="3" t="s">
        <v>9</v>
      </c>
      <c r="D1315" s="3" t="s">
        <v>5</v>
      </c>
      <c r="E1315" s="3" t="s">
        <v>10</v>
      </c>
      <c r="F1315" s="3" t="s">
        <v>3075</v>
      </c>
      <c r="G1315" s="3" t="s">
        <v>3076</v>
      </c>
      <c r="H1315" s="5">
        <v>2599</v>
      </c>
      <c r="I1315" s="3" t="s">
        <v>11</v>
      </c>
    </row>
    <row r="1316" spans="1:9" x14ac:dyDescent="0.35">
      <c r="A1316" s="3">
        <v>103405619</v>
      </c>
      <c r="B1316" s="3" t="s">
        <v>3077</v>
      </c>
      <c r="C1316" s="3" t="s">
        <v>9</v>
      </c>
      <c r="D1316" s="3" t="s">
        <v>5</v>
      </c>
      <c r="E1316" s="3" t="s">
        <v>10</v>
      </c>
      <c r="F1316" s="3" t="s">
        <v>3078</v>
      </c>
      <c r="G1316" s="3" t="s">
        <v>3079</v>
      </c>
      <c r="H1316" s="3">
        <v>369.55</v>
      </c>
      <c r="I1316" s="3" t="s">
        <v>11</v>
      </c>
    </row>
    <row r="1317" spans="1:9" x14ac:dyDescent="0.35">
      <c r="A1317" s="3">
        <v>103405677</v>
      </c>
      <c r="B1317" s="3" t="s">
        <v>3080</v>
      </c>
      <c r="C1317" s="3" t="s">
        <v>9</v>
      </c>
      <c r="D1317" s="3" t="s">
        <v>5</v>
      </c>
      <c r="E1317" s="3" t="s">
        <v>12</v>
      </c>
      <c r="F1317" s="3" t="s">
        <v>3081</v>
      </c>
      <c r="G1317" s="3" t="s">
        <v>3082</v>
      </c>
      <c r="H1317" s="5">
        <v>2458</v>
      </c>
      <c r="I1317" s="3" t="s">
        <v>11</v>
      </c>
    </row>
    <row r="1318" spans="1:9" x14ac:dyDescent="0.35">
      <c r="A1318" s="3">
        <v>103405676</v>
      </c>
      <c r="B1318" s="3" t="s">
        <v>3083</v>
      </c>
      <c r="C1318" s="3" t="s">
        <v>9</v>
      </c>
      <c r="D1318" s="3" t="s">
        <v>5</v>
      </c>
      <c r="E1318" s="3" t="s">
        <v>10</v>
      </c>
      <c r="F1318" s="3" t="s">
        <v>3084</v>
      </c>
      <c r="G1318" s="3" t="s">
        <v>3085</v>
      </c>
      <c r="H1318" s="3">
        <v>711.55</v>
      </c>
      <c r="I1318" s="3" t="s">
        <v>11</v>
      </c>
    </row>
    <row r="1319" spans="1:9" x14ac:dyDescent="0.35">
      <c r="A1319" s="3">
        <v>103405675</v>
      </c>
      <c r="B1319" s="3" t="s">
        <v>3086</v>
      </c>
      <c r="C1319" s="3" t="s">
        <v>9</v>
      </c>
      <c r="D1319" s="3" t="s">
        <v>5</v>
      </c>
      <c r="E1319" s="3" t="s">
        <v>10</v>
      </c>
      <c r="F1319" s="3" t="s">
        <v>3087</v>
      </c>
      <c r="G1319" s="3" t="s">
        <v>3070</v>
      </c>
      <c r="H1319" s="3">
        <v>599</v>
      </c>
      <c r="I1319" s="3" t="s">
        <v>11</v>
      </c>
    </row>
    <row r="1320" spans="1:9" x14ac:dyDescent="0.35">
      <c r="A1320" s="3">
        <v>103405605</v>
      </c>
      <c r="B1320" s="3" t="s">
        <v>3088</v>
      </c>
      <c r="C1320" s="3" t="s">
        <v>9</v>
      </c>
      <c r="D1320" s="3" t="s">
        <v>5</v>
      </c>
      <c r="E1320" s="3" t="s">
        <v>10</v>
      </c>
      <c r="F1320" s="3" t="s">
        <v>3089</v>
      </c>
      <c r="G1320" s="3" t="s">
        <v>3090</v>
      </c>
      <c r="H1320" s="4">
        <v>3086.55</v>
      </c>
      <c r="I1320" s="3" t="s">
        <v>11</v>
      </c>
    </row>
    <row r="1321" spans="1:9" x14ac:dyDescent="0.35">
      <c r="A1321" s="3">
        <v>103405673</v>
      </c>
      <c r="B1321" s="3" t="s">
        <v>3091</v>
      </c>
      <c r="C1321" s="3" t="s">
        <v>9</v>
      </c>
      <c r="D1321" s="3" t="s">
        <v>5</v>
      </c>
      <c r="E1321" s="3" t="s">
        <v>10</v>
      </c>
      <c r="F1321" s="3" t="s">
        <v>3092</v>
      </c>
      <c r="G1321" s="3" t="s">
        <v>3093</v>
      </c>
      <c r="H1321" s="3">
        <v>854.05</v>
      </c>
      <c r="I1321" s="3" t="s">
        <v>11</v>
      </c>
    </row>
    <row r="1322" spans="1:9" x14ac:dyDescent="0.35">
      <c r="A1322" s="3">
        <v>103405670</v>
      </c>
      <c r="B1322" s="3" t="s">
        <v>3094</v>
      </c>
      <c r="C1322" s="3" t="s">
        <v>9</v>
      </c>
      <c r="D1322" s="3" t="s">
        <v>5</v>
      </c>
      <c r="E1322" s="3" t="s">
        <v>10</v>
      </c>
      <c r="F1322" s="3" t="s">
        <v>3095</v>
      </c>
      <c r="G1322" s="3" t="s">
        <v>3096</v>
      </c>
      <c r="H1322" s="4">
        <v>2611.5500000000002</v>
      </c>
      <c r="I1322" s="3" t="s">
        <v>11</v>
      </c>
    </row>
    <row r="1323" spans="1:9" x14ac:dyDescent="0.35">
      <c r="A1323" s="3">
        <v>103405669</v>
      </c>
      <c r="B1323" s="3" t="s">
        <v>3097</v>
      </c>
      <c r="C1323" s="3" t="s">
        <v>9</v>
      </c>
      <c r="D1323" s="3" t="s">
        <v>5</v>
      </c>
      <c r="E1323" s="3" t="s">
        <v>10</v>
      </c>
      <c r="F1323" s="3" t="s">
        <v>3098</v>
      </c>
      <c r="G1323" s="3" t="s">
        <v>3099</v>
      </c>
      <c r="H1323" s="4">
        <v>2887.05</v>
      </c>
      <c r="I1323" s="3" t="s">
        <v>11</v>
      </c>
    </row>
    <row r="1324" spans="1:9" x14ac:dyDescent="0.35">
      <c r="A1324" s="3">
        <v>103405601</v>
      </c>
      <c r="B1324" s="3" t="s">
        <v>3100</v>
      </c>
      <c r="C1324" s="3" t="s">
        <v>9</v>
      </c>
      <c r="D1324" s="3" t="s">
        <v>5</v>
      </c>
      <c r="E1324" s="3" t="s">
        <v>10</v>
      </c>
      <c r="F1324" s="3" t="s">
        <v>3101</v>
      </c>
      <c r="G1324" s="3" t="s">
        <v>3102</v>
      </c>
      <c r="H1324" s="4">
        <v>1310.05</v>
      </c>
      <c r="I1324" s="3" t="s">
        <v>11</v>
      </c>
    </row>
    <row r="1325" spans="1:9" x14ac:dyDescent="0.35">
      <c r="A1325" s="3">
        <v>103405667</v>
      </c>
      <c r="B1325" s="3" t="s">
        <v>3103</v>
      </c>
      <c r="C1325" s="3" t="s">
        <v>9</v>
      </c>
      <c r="D1325" s="3" t="s">
        <v>5</v>
      </c>
      <c r="E1325" s="3" t="s">
        <v>10</v>
      </c>
      <c r="F1325" s="3" t="s">
        <v>3104</v>
      </c>
      <c r="G1325" s="3" t="s">
        <v>3105</v>
      </c>
      <c r="H1325" s="5">
        <v>1599</v>
      </c>
      <c r="I1325" s="3" t="s">
        <v>11</v>
      </c>
    </row>
    <row r="1326" spans="1:9" x14ac:dyDescent="0.35">
      <c r="A1326" s="3">
        <v>103405665</v>
      </c>
      <c r="B1326" s="3" t="s">
        <v>3106</v>
      </c>
      <c r="C1326" s="3" t="s">
        <v>9</v>
      </c>
      <c r="D1326" s="3" t="s">
        <v>5</v>
      </c>
      <c r="E1326" s="3" t="s">
        <v>10</v>
      </c>
      <c r="F1326" s="3" t="s">
        <v>3107</v>
      </c>
      <c r="G1326" s="3" t="s">
        <v>3108</v>
      </c>
      <c r="H1326" s="4">
        <v>1217.47</v>
      </c>
      <c r="I1326" s="3" t="s">
        <v>11</v>
      </c>
    </row>
    <row r="1327" spans="1:9" x14ac:dyDescent="0.35">
      <c r="A1327" s="3">
        <v>103405459</v>
      </c>
      <c r="B1327" s="3" t="s">
        <v>3109</v>
      </c>
      <c r="C1327" s="3" t="s">
        <v>9</v>
      </c>
      <c r="D1327" s="3" t="s">
        <v>5</v>
      </c>
      <c r="E1327" s="3" t="s">
        <v>10</v>
      </c>
      <c r="F1327" s="3" t="s">
        <v>3110</v>
      </c>
      <c r="G1327" s="3" t="s">
        <v>3111</v>
      </c>
      <c r="H1327" s="4">
        <v>5097.7</v>
      </c>
      <c r="I1327" s="3" t="s">
        <v>11</v>
      </c>
    </row>
    <row r="1328" spans="1:9" x14ac:dyDescent="0.35">
      <c r="A1328" s="3">
        <v>103405586</v>
      </c>
      <c r="B1328" s="3" t="s">
        <v>3112</v>
      </c>
      <c r="C1328" s="3" t="s">
        <v>9</v>
      </c>
      <c r="D1328" s="3" t="s">
        <v>5</v>
      </c>
      <c r="E1328" s="3" t="s">
        <v>10</v>
      </c>
      <c r="F1328" s="3" t="s">
        <v>3113</v>
      </c>
      <c r="G1328" s="3" t="s">
        <v>3114</v>
      </c>
      <c r="H1328" s="4">
        <v>2042.1</v>
      </c>
      <c r="I1328" s="3" t="s">
        <v>11</v>
      </c>
    </row>
    <row r="1329" spans="1:9" x14ac:dyDescent="0.35">
      <c r="A1329" s="3">
        <v>103405451</v>
      </c>
      <c r="B1329" s="3" t="s">
        <v>3115</v>
      </c>
      <c r="C1329" s="3" t="s">
        <v>9</v>
      </c>
      <c r="D1329" s="3" t="s">
        <v>5</v>
      </c>
      <c r="E1329" s="3" t="s">
        <v>10</v>
      </c>
      <c r="F1329" s="3" t="s">
        <v>2515</v>
      </c>
      <c r="G1329" s="3" t="s">
        <v>2516</v>
      </c>
      <c r="H1329" s="5">
        <v>4199</v>
      </c>
      <c r="I1329" s="3" t="s">
        <v>11</v>
      </c>
    </row>
    <row r="1330" spans="1:9" x14ac:dyDescent="0.35">
      <c r="A1330" s="3">
        <v>103405585</v>
      </c>
      <c r="B1330" s="3" t="s">
        <v>3116</v>
      </c>
      <c r="C1330" s="3" t="s">
        <v>9</v>
      </c>
      <c r="D1330" s="3" t="s">
        <v>5</v>
      </c>
      <c r="E1330" s="3" t="s">
        <v>10</v>
      </c>
      <c r="F1330" s="3" t="s">
        <v>3117</v>
      </c>
      <c r="G1330" s="3" t="s">
        <v>3118</v>
      </c>
      <c r="H1330" s="4">
        <v>1186.55</v>
      </c>
      <c r="I1330" s="3" t="s">
        <v>11</v>
      </c>
    </row>
    <row r="1331" spans="1:9" x14ac:dyDescent="0.35">
      <c r="A1331" s="3">
        <v>103405581</v>
      </c>
      <c r="B1331" s="3" t="s">
        <v>3119</v>
      </c>
      <c r="C1331" s="3" t="s">
        <v>9</v>
      </c>
      <c r="D1331" s="3" t="s">
        <v>5</v>
      </c>
      <c r="E1331" s="3" t="s">
        <v>10</v>
      </c>
      <c r="F1331" s="3" t="s">
        <v>3120</v>
      </c>
      <c r="G1331" s="3" t="s">
        <v>3121</v>
      </c>
      <c r="H1331" s="5">
        <v>1189</v>
      </c>
      <c r="I1331" s="3" t="s">
        <v>11</v>
      </c>
    </row>
    <row r="1332" spans="1:9" x14ac:dyDescent="0.35">
      <c r="A1332" s="3">
        <v>103405572</v>
      </c>
      <c r="B1332" s="3" t="s">
        <v>3122</v>
      </c>
      <c r="C1332" s="3" t="s">
        <v>9</v>
      </c>
      <c r="D1332" s="3" t="s">
        <v>5</v>
      </c>
      <c r="E1332" s="3" t="s">
        <v>10</v>
      </c>
      <c r="F1332" s="3" t="s">
        <v>3123</v>
      </c>
      <c r="G1332" s="3" t="s">
        <v>3124</v>
      </c>
      <c r="H1332" s="4">
        <v>2717.1</v>
      </c>
      <c r="I1332" s="3" t="s">
        <v>11</v>
      </c>
    </row>
    <row r="1333" spans="1:9" x14ac:dyDescent="0.35">
      <c r="A1333" s="3">
        <v>103405568</v>
      </c>
      <c r="B1333" s="3" t="s">
        <v>3125</v>
      </c>
      <c r="C1333" s="3" t="s">
        <v>9</v>
      </c>
      <c r="D1333" s="3" t="s">
        <v>5</v>
      </c>
      <c r="E1333" s="3" t="s">
        <v>12</v>
      </c>
      <c r="F1333" s="3" t="s">
        <v>3126</v>
      </c>
      <c r="G1333" s="3" t="s">
        <v>3127</v>
      </c>
      <c r="H1333" s="3">
        <v>920.55</v>
      </c>
      <c r="I1333" s="3" t="s">
        <v>11</v>
      </c>
    </row>
    <row r="1334" spans="1:9" x14ac:dyDescent="0.35">
      <c r="A1334" s="3">
        <v>103405565</v>
      </c>
      <c r="B1334" s="3" t="s">
        <v>3128</v>
      </c>
      <c r="C1334" s="3" t="s">
        <v>9</v>
      </c>
      <c r="D1334" s="3" t="s">
        <v>5</v>
      </c>
      <c r="E1334" s="3" t="s">
        <v>10</v>
      </c>
      <c r="F1334" s="3" t="s">
        <v>3129</v>
      </c>
      <c r="G1334" s="3" t="s">
        <v>3130</v>
      </c>
      <c r="H1334" s="4">
        <v>3040.52</v>
      </c>
      <c r="I1334" s="3" t="s">
        <v>11</v>
      </c>
    </row>
    <row r="1335" spans="1:9" x14ac:dyDescent="0.35">
      <c r="A1335" s="3">
        <v>103405564</v>
      </c>
      <c r="B1335" s="3" t="s">
        <v>3131</v>
      </c>
      <c r="C1335" s="3" t="s">
        <v>9</v>
      </c>
      <c r="D1335" s="3" t="s">
        <v>5</v>
      </c>
      <c r="E1335" s="3" t="s">
        <v>10</v>
      </c>
      <c r="F1335" s="3" t="s">
        <v>3132</v>
      </c>
      <c r="G1335" s="3" t="s">
        <v>3133</v>
      </c>
      <c r="H1335" s="4">
        <v>4103.67</v>
      </c>
      <c r="I1335" s="3" t="s">
        <v>11</v>
      </c>
    </row>
    <row r="1336" spans="1:9" x14ac:dyDescent="0.35">
      <c r="A1336" s="3">
        <v>103405563</v>
      </c>
      <c r="B1336" s="3" t="s">
        <v>3134</v>
      </c>
      <c r="C1336" s="3" t="s">
        <v>9</v>
      </c>
      <c r="D1336" s="3" t="s">
        <v>5</v>
      </c>
      <c r="E1336" s="3" t="s">
        <v>10</v>
      </c>
      <c r="F1336" s="3" t="s">
        <v>3135</v>
      </c>
      <c r="G1336" s="3" t="s">
        <v>3136</v>
      </c>
      <c r="H1336" s="4">
        <v>3086.55</v>
      </c>
      <c r="I1336" s="3" t="s">
        <v>11</v>
      </c>
    </row>
    <row r="1337" spans="1:9" x14ac:dyDescent="0.35">
      <c r="A1337" s="3">
        <v>103405441</v>
      </c>
      <c r="B1337" s="3" t="s">
        <v>3137</v>
      </c>
      <c r="C1337" s="3" t="s">
        <v>9</v>
      </c>
      <c r="D1337" s="3" t="s">
        <v>5</v>
      </c>
      <c r="E1337" s="3" t="s">
        <v>10</v>
      </c>
      <c r="F1337" s="3" t="s">
        <v>3138</v>
      </c>
      <c r="G1337" s="3" t="s">
        <v>3139</v>
      </c>
      <c r="H1337" s="5">
        <v>1199</v>
      </c>
      <c r="I1337" s="3" t="s">
        <v>11</v>
      </c>
    </row>
    <row r="1338" spans="1:9" x14ac:dyDescent="0.35">
      <c r="A1338" s="3">
        <v>103405440</v>
      </c>
      <c r="B1338" s="3" t="s">
        <v>3140</v>
      </c>
      <c r="C1338" s="3" t="s">
        <v>9</v>
      </c>
      <c r="D1338" s="3" t="s">
        <v>5</v>
      </c>
      <c r="E1338" s="3" t="s">
        <v>10</v>
      </c>
      <c r="F1338" s="3" t="s">
        <v>3141</v>
      </c>
      <c r="G1338" s="3" t="s">
        <v>3142</v>
      </c>
      <c r="H1338" s="3">
        <v>759.05</v>
      </c>
      <c r="I1338" s="3" t="s">
        <v>11</v>
      </c>
    </row>
    <row r="1339" spans="1:9" x14ac:dyDescent="0.35">
      <c r="A1339" s="3">
        <v>103405556</v>
      </c>
      <c r="B1339" s="3" t="s">
        <v>3143</v>
      </c>
      <c r="C1339" s="3" t="s">
        <v>9</v>
      </c>
      <c r="D1339" s="3" t="s">
        <v>5</v>
      </c>
      <c r="E1339" s="3" t="s">
        <v>10</v>
      </c>
      <c r="F1339" s="3" t="s">
        <v>3144</v>
      </c>
      <c r="G1339" s="3" t="s">
        <v>3145</v>
      </c>
      <c r="H1339" s="4">
        <v>3419.05</v>
      </c>
      <c r="I1339" s="3" t="s">
        <v>11</v>
      </c>
    </row>
    <row r="1340" spans="1:9" x14ac:dyDescent="0.35">
      <c r="A1340" s="3">
        <v>103405555</v>
      </c>
      <c r="B1340" s="3" t="s">
        <v>3146</v>
      </c>
      <c r="C1340" s="3" t="s">
        <v>9</v>
      </c>
      <c r="D1340" s="3" t="s">
        <v>5</v>
      </c>
      <c r="E1340" s="3" t="s">
        <v>10</v>
      </c>
      <c r="F1340" s="3" t="s">
        <v>3147</v>
      </c>
      <c r="G1340" s="3" t="s">
        <v>3148</v>
      </c>
      <c r="H1340" s="3">
        <v>399</v>
      </c>
      <c r="I1340" s="3" t="s">
        <v>11</v>
      </c>
    </row>
    <row r="1341" spans="1:9" x14ac:dyDescent="0.35">
      <c r="A1341" s="3">
        <v>103405554</v>
      </c>
      <c r="B1341" s="3" t="s">
        <v>3149</v>
      </c>
      <c r="C1341" s="3" t="s">
        <v>9</v>
      </c>
      <c r="D1341" s="3" t="s">
        <v>5</v>
      </c>
      <c r="E1341" s="3" t="s">
        <v>10</v>
      </c>
      <c r="F1341" s="3" t="s">
        <v>3150</v>
      </c>
      <c r="G1341" s="3" t="s">
        <v>3151</v>
      </c>
      <c r="H1341" s="4">
        <v>3134.05</v>
      </c>
      <c r="I1341" s="3" t="s">
        <v>11</v>
      </c>
    </row>
    <row r="1342" spans="1:9" x14ac:dyDescent="0.35">
      <c r="A1342" s="3">
        <v>103405553</v>
      </c>
      <c r="B1342" s="3" t="s">
        <v>3152</v>
      </c>
      <c r="C1342" s="3" t="s">
        <v>9</v>
      </c>
      <c r="D1342" s="3" t="s">
        <v>5</v>
      </c>
      <c r="E1342" s="3" t="s">
        <v>10</v>
      </c>
      <c r="F1342" s="3" t="s">
        <v>3153</v>
      </c>
      <c r="G1342" s="3" t="s">
        <v>22</v>
      </c>
      <c r="H1342" s="3">
        <v>269</v>
      </c>
      <c r="I1342" s="3" t="s">
        <v>11</v>
      </c>
    </row>
    <row r="1343" spans="1:9" x14ac:dyDescent="0.35">
      <c r="A1343" s="3">
        <v>103405551</v>
      </c>
      <c r="B1343" s="3" t="s">
        <v>3154</v>
      </c>
      <c r="C1343" s="3" t="s">
        <v>9</v>
      </c>
      <c r="D1343" s="3" t="s">
        <v>5</v>
      </c>
      <c r="E1343" s="3" t="s">
        <v>10</v>
      </c>
      <c r="F1343" s="3" t="s">
        <v>3155</v>
      </c>
      <c r="G1343" s="3" t="s">
        <v>3156</v>
      </c>
      <c r="H1343" s="3">
        <v>748.5</v>
      </c>
      <c r="I1343" s="3" t="s">
        <v>11</v>
      </c>
    </row>
    <row r="1344" spans="1:9" x14ac:dyDescent="0.35">
      <c r="A1344" s="3">
        <v>103405433</v>
      </c>
      <c r="B1344" s="3" t="s">
        <v>3157</v>
      </c>
      <c r="C1344" s="3" t="s">
        <v>9</v>
      </c>
      <c r="D1344" s="3" t="s">
        <v>5</v>
      </c>
      <c r="E1344" s="3" t="s">
        <v>10</v>
      </c>
      <c r="F1344" s="3" t="s">
        <v>3158</v>
      </c>
      <c r="G1344" s="3" t="s">
        <v>3159</v>
      </c>
      <c r="H1344" s="4">
        <v>1994.05</v>
      </c>
      <c r="I1344" s="3" t="s">
        <v>11</v>
      </c>
    </row>
    <row r="1345" spans="1:9" x14ac:dyDescent="0.35">
      <c r="A1345" s="3">
        <v>103405550</v>
      </c>
      <c r="B1345" s="3" t="s">
        <v>3160</v>
      </c>
      <c r="C1345" s="3" t="s">
        <v>9</v>
      </c>
      <c r="D1345" s="3" t="s">
        <v>5</v>
      </c>
      <c r="E1345" s="3" t="s">
        <v>10</v>
      </c>
      <c r="F1345" s="3" t="s">
        <v>3161</v>
      </c>
      <c r="G1345" s="3" t="s">
        <v>3162</v>
      </c>
      <c r="H1345" s="4">
        <v>1310.05</v>
      </c>
      <c r="I1345" s="3" t="s">
        <v>11</v>
      </c>
    </row>
    <row r="1346" spans="1:9" x14ac:dyDescent="0.35">
      <c r="A1346" s="3">
        <v>103405549</v>
      </c>
      <c r="B1346" s="3" t="s">
        <v>3163</v>
      </c>
      <c r="C1346" s="3" t="s">
        <v>9</v>
      </c>
      <c r="D1346" s="3" t="s">
        <v>5</v>
      </c>
      <c r="E1346" s="3" t="s">
        <v>10</v>
      </c>
      <c r="F1346" s="3" t="s">
        <v>3164</v>
      </c>
      <c r="G1346" s="3" t="s">
        <v>3165</v>
      </c>
      <c r="H1346" s="4">
        <v>1196.05</v>
      </c>
      <c r="I1346" s="3" t="s">
        <v>11</v>
      </c>
    </row>
    <row r="1347" spans="1:9" x14ac:dyDescent="0.35">
      <c r="A1347" s="3">
        <v>103405547</v>
      </c>
      <c r="B1347" s="3" t="s">
        <v>3166</v>
      </c>
      <c r="C1347" s="3" t="s">
        <v>9</v>
      </c>
      <c r="D1347" s="3" t="s">
        <v>5</v>
      </c>
      <c r="E1347" s="3" t="s">
        <v>12</v>
      </c>
      <c r="F1347" s="3" t="s">
        <v>2515</v>
      </c>
      <c r="G1347" s="3" t="s">
        <v>3167</v>
      </c>
      <c r="H1347" s="5">
        <v>4199</v>
      </c>
      <c r="I1347" s="3" t="s">
        <v>11</v>
      </c>
    </row>
    <row r="1348" spans="1:9" x14ac:dyDescent="0.35">
      <c r="A1348" s="3">
        <v>103405538</v>
      </c>
      <c r="B1348" s="3" t="s">
        <v>3168</v>
      </c>
      <c r="C1348" s="3" t="s">
        <v>9</v>
      </c>
      <c r="D1348" s="3" t="s">
        <v>5</v>
      </c>
      <c r="E1348" s="3" t="s">
        <v>10</v>
      </c>
      <c r="F1348" s="3" t="s">
        <v>3169</v>
      </c>
      <c r="G1348" s="3" t="s">
        <v>3170</v>
      </c>
      <c r="H1348" s="4">
        <v>1661.55</v>
      </c>
      <c r="I1348" s="3" t="s">
        <v>11</v>
      </c>
    </row>
    <row r="1349" spans="1:9" x14ac:dyDescent="0.35">
      <c r="A1349" s="3">
        <v>103405532</v>
      </c>
      <c r="B1349" s="3" t="s">
        <v>3171</v>
      </c>
      <c r="C1349" s="3" t="s">
        <v>9</v>
      </c>
      <c r="D1349" s="3" t="s">
        <v>5</v>
      </c>
      <c r="E1349" s="3" t="s">
        <v>10</v>
      </c>
      <c r="F1349" s="3" t="s">
        <v>3147</v>
      </c>
      <c r="G1349" s="3" t="s">
        <v>3148</v>
      </c>
      <c r="H1349" s="3">
        <v>279</v>
      </c>
      <c r="I1349" s="3" t="s">
        <v>11</v>
      </c>
    </row>
    <row r="1350" spans="1:9" x14ac:dyDescent="0.35">
      <c r="A1350" s="3">
        <v>103405421</v>
      </c>
      <c r="B1350" s="3" t="s">
        <v>3172</v>
      </c>
      <c r="C1350" s="3" t="s">
        <v>9</v>
      </c>
      <c r="D1350" s="3" t="s">
        <v>5</v>
      </c>
      <c r="E1350" s="3" t="s">
        <v>10</v>
      </c>
      <c r="F1350" s="3" t="s">
        <v>3173</v>
      </c>
      <c r="G1350" s="3" t="s">
        <v>3174</v>
      </c>
      <c r="H1350" s="3">
        <v>474.05</v>
      </c>
      <c r="I1350" s="3" t="s">
        <v>11</v>
      </c>
    </row>
    <row r="1351" spans="1:9" x14ac:dyDescent="0.35">
      <c r="A1351" s="3">
        <v>103405420</v>
      </c>
      <c r="B1351" s="3" t="s">
        <v>3175</v>
      </c>
      <c r="C1351" s="3" t="s">
        <v>9</v>
      </c>
      <c r="D1351" s="3" t="s">
        <v>5</v>
      </c>
      <c r="E1351" s="3" t="s">
        <v>10</v>
      </c>
      <c r="F1351" s="3" t="s">
        <v>3176</v>
      </c>
      <c r="G1351" s="3" t="s">
        <v>3177</v>
      </c>
      <c r="H1351" s="4">
        <v>4872.6000000000004</v>
      </c>
      <c r="I1351" s="3" t="s">
        <v>11</v>
      </c>
    </row>
    <row r="1352" spans="1:9" x14ac:dyDescent="0.35">
      <c r="A1352" s="3">
        <v>103405531</v>
      </c>
      <c r="B1352" s="3" t="s">
        <v>3178</v>
      </c>
      <c r="C1352" s="3" t="s">
        <v>9</v>
      </c>
      <c r="D1352" s="3" t="s">
        <v>5</v>
      </c>
      <c r="E1352" s="3" t="s">
        <v>10</v>
      </c>
      <c r="F1352" s="3" t="s">
        <v>3179</v>
      </c>
      <c r="G1352" s="3" t="s">
        <v>3180</v>
      </c>
      <c r="H1352" s="4">
        <v>1835.68</v>
      </c>
      <c r="I1352" s="3" t="s">
        <v>11</v>
      </c>
    </row>
    <row r="1353" spans="1:9" x14ac:dyDescent="0.35">
      <c r="A1353" s="3">
        <v>103405419</v>
      </c>
      <c r="B1353" s="3" t="s">
        <v>3181</v>
      </c>
      <c r="C1353" s="3" t="s">
        <v>9</v>
      </c>
      <c r="D1353" s="3" t="s">
        <v>5</v>
      </c>
      <c r="E1353" s="3" t="s">
        <v>12</v>
      </c>
      <c r="F1353" s="3" t="s">
        <v>3182</v>
      </c>
      <c r="G1353" s="3" t="s">
        <v>3183</v>
      </c>
      <c r="H1353" s="5">
        <v>8398</v>
      </c>
      <c r="I1353" s="3" t="s">
        <v>11</v>
      </c>
    </row>
    <row r="1354" spans="1:9" x14ac:dyDescent="0.35">
      <c r="A1354" s="3">
        <v>103405528</v>
      </c>
      <c r="B1354" s="3" t="s">
        <v>3184</v>
      </c>
      <c r="C1354" s="3" t="s">
        <v>9</v>
      </c>
      <c r="D1354" s="3" t="s">
        <v>5</v>
      </c>
      <c r="E1354" s="3" t="s">
        <v>10</v>
      </c>
      <c r="F1354" s="3" t="s">
        <v>1114</v>
      </c>
      <c r="G1354" s="3" t="s">
        <v>3185</v>
      </c>
      <c r="H1354" s="5">
        <v>3849</v>
      </c>
      <c r="I1354" s="3" t="s">
        <v>11</v>
      </c>
    </row>
    <row r="1355" spans="1:9" x14ac:dyDescent="0.35">
      <c r="A1355" s="3">
        <v>103405416</v>
      </c>
      <c r="B1355" s="3" t="s">
        <v>3186</v>
      </c>
      <c r="C1355" s="3" t="s">
        <v>9</v>
      </c>
      <c r="D1355" s="3" t="s">
        <v>5</v>
      </c>
      <c r="E1355" s="3" t="s">
        <v>10</v>
      </c>
      <c r="F1355" s="3" t="s">
        <v>3187</v>
      </c>
      <c r="G1355" s="3" t="s">
        <v>3188</v>
      </c>
      <c r="H1355" s="5">
        <v>3599</v>
      </c>
      <c r="I1355" s="3" t="s">
        <v>11</v>
      </c>
    </row>
    <row r="1356" spans="1:9" x14ac:dyDescent="0.35">
      <c r="A1356" s="3">
        <v>103405415</v>
      </c>
      <c r="B1356" s="3" t="s">
        <v>3189</v>
      </c>
      <c r="C1356" s="3" t="s">
        <v>9</v>
      </c>
      <c r="D1356" s="3" t="s">
        <v>5</v>
      </c>
      <c r="E1356" s="3" t="s">
        <v>10</v>
      </c>
      <c r="F1356" s="3" t="s">
        <v>3190</v>
      </c>
      <c r="G1356" s="3" t="s">
        <v>3191</v>
      </c>
      <c r="H1356" s="5">
        <v>1649</v>
      </c>
      <c r="I1356" s="3" t="s">
        <v>11</v>
      </c>
    </row>
    <row r="1357" spans="1:9" x14ac:dyDescent="0.35">
      <c r="A1357" s="3">
        <v>103405414</v>
      </c>
      <c r="B1357" s="3" t="s">
        <v>3192</v>
      </c>
      <c r="C1357" s="3" t="s">
        <v>9</v>
      </c>
      <c r="D1357" s="3" t="s">
        <v>5</v>
      </c>
      <c r="E1357" s="3" t="s">
        <v>10</v>
      </c>
      <c r="F1357" s="3" t="s">
        <v>3193</v>
      </c>
      <c r="G1357" s="3" t="s">
        <v>3194</v>
      </c>
      <c r="H1357" s="5">
        <v>4199</v>
      </c>
      <c r="I1357" s="3" t="s">
        <v>11</v>
      </c>
    </row>
    <row r="1358" spans="1:9" x14ac:dyDescent="0.35">
      <c r="A1358" s="3">
        <v>103405523</v>
      </c>
      <c r="B1358" s="3" t="s">
        <v>3195</v>
      </c>
      <c r="C1358" s="3" t="s">
        <v>9</v>
      </c>
      <c r="D1358" s="3" t="s">
        <v>5</v>
      </c>
      <c r="E1358" s="3" t="s">
        <v>10</v>
      </c>
      <c r="F1358" s="3" t="s">
        <v>3196</v>
      </c>
      <c r="G1358" s="3" t="s">
        <v>3197</v>
      </c>
      <c r="H1358" s="4">
        <v>2564.14</v>
      </c>
      <c r="I1358" s="3" t="s">
        <v>11</v>
      </c>
    </row>
    <row r="1359" spans="1:9" x14ac:dyDescent="0.35">
      <c r="A1359" s="3">
        <v>103405411</v>
      </c>
      <c r="B1359" s="3" t="s">
        <v>3198</v>
      </c>
      <c r="C1359" s="3" t="s">
        <v>9</v>
      </c>
      <c r="D1359" s="3" t="s">
        <v>5</v>
      </c>
      <c r="E1359" s="3" t="s">
        <v>10</v>
      </c>
      <c r="F1359" s="3" t="s">
        <v>3199</v>
      </c>
      <c r="G1359" s="3" t="s">
        <v>3200</v>
      </c>
      <c r="H1359" s="5">
        <v>1199</v>
      </c>
      <c r="I1359" s="3" t="s">
        <v>11</v>
      </c>
    </row>
    <row r="1360" spans="1:9" x14ac:dyDescent="0.35">
      <c r="A1360" s="3">
        <v>103405410</v>
      </c>
      <c r="B1360" s="3" t="s">
        <v>3201</v>
      </c>
      <c r="C1360" s="3" t="s">
        <v>9</v>
      </c>
      <c r="D1360" s="3" t="s">
        <v>5</v>
      </c>
      <c r="E1360" s="3" t="s">
        <v>10</v>
      </c>
      <c r="F1360" s="3" t="s">
        <v>3202</v>
      </c>
      <c r="G1360" s="3" t="s">
        <v>3203</v>
      </c>
      <c r="H1360" s="5">
        <v>3249</v>
      </c>
      <c r="I1360" s="3" t="s">
        <v>11</v>
      </c>
    </row>
    <row r="1361" spans="1:9" x14ac:dyDescent="0.35">
      <c r="A1361" s="3">
        <v>103405409</v>
      </c>
      <c r="B1361" s="3" t="s">
        <v>3204</v>
      </c>
      <c r="C1361" s="3" t="s">
        <v>9</v>
      </c>
      <c r="D1361" s="3" t="s">
        <v>5</v>
      </c>
      <c r="E1361" s="3" t="s">
        <v>10</v>
      </c>
      <c r="F1361" s="3" t="s">
        <v>3205</v>
      </c>
      <c r="G1361" s="3" t="s">
        <v>3206</v>
      </c>
      <c r="H1361" s="4">
        <v>5556.55</v>
      </c>
      <c r="I1361" s="3" t="s">
        <v>11</v>
      </c>
    </row>
    <row r="1362" spans="1:9" x14ac:dyDescent="0.35">
      <c r="A1362" s="3">
        <v>103405408</v>
      </c>
      <c r="B1362" s="3" t="s">
        <v>3207</v>
      </c>
      <c r="C1362" s="3" t="s">
        <v>9</v>
      </c>
      <c r="D1362" s="3" t="s">
        <v>5</v>
      </c>
      <c r="E1362" s="3" t="s">
        <v>10</v>
      </c>
      <c r="F1362" s="3" t="s">
        <v>3208</v>
      </c>
      <c r="G1362" s="3" t="s">
        <v>3209</v>
      </c>
      <c r="H1362" s="3">
        <v>616.54999999999995</v>
      </c>
      <c r="I1362" s="3" t="s">
        <v>11</v>
      </c>
    </row>
    <row r="1363" spans="1:9" x14ac:dyDescent="0.35">
      <c r="A1363" s="3">
        <v>103405519</v>
      </c>
      <c r="B1363" s="3" t="s">
        <v>3210</v>
      </c>
      <c r="C1363" s="3" t="s">
        <v>9</v>
      </c>
      <c r="D1363" s="3" t="s">
        <v>5</v>
      </c>
      <c r="E1363" s="3" t="s">
        <v>10</v>
      </c>
      <c r="F1363" s="3" t="s">
        <v>1001</v>
      </c>
      <c r="G1363" s="3" t="s">
        <v>1002</v>
      </c>
      <c r="H1363" s="5">
        <v>1399</v>
      </c>
      <c r="I1363" s="3" t="s">
        <v>11</v>
      </c>
    </row>
    <row r="1364" spans="1:9" x14ac:dyDescent="0.35">
      <c r="A1364" s="3">
        <v>103405407</v>
      </c>
      <c r="B1364" s="3" t="s">
        <v>3211</v>
      </c>
      <c r="C1364" s="3" t="s">
        <v>9</v>
      </c>
      <c r="D1364" s="3" t="s">
        <v>5</v>
      </c>
      <c r="E1364" s="3" t="s">
        <v>10</v>
      </c>
      <c r="F1364" s="3" t="s">
        <v>3212</v>
      </c>
      <c r="G1364" s="3" t="s">
        <v>3213</v>
      </c>
      <c r="H1364" s="4">
        <v>3656.55</v>
      </c>
      <c r="I1364" s="3" t="s">
        <v>11</v>
      </c>
    </row>
    <row r="1365" spans="1:9" x14ac:dyDescent="0.35">
      <c r="A1365" s="3">
        <v>103405405</v>
      </c>
      <c r="B1365" s="3" t="s">
        <v>3214</v>
      </c>
      <c r="C1365" s="3" t="s">
        <v>9</v>
      </c>
      <c r="D1365" s="3" t="s">
        <v>5</v>
      </c>
      <c r="E1365" s="3" t="s">
        <v>10</v>
      </c>
      <c r="F1365" s="3" t="s">
        <v>3215</v>
      </c>
      <c r="G1365" s="3" t="s">
        <v>3216</v>
      </c>
      <c r="H1365" s="4">
        <v>3656.55</v>
      </c>
      <c r="I1365" s="3" t="s">
        <v>11</v>
      </c>
    </row>
    <row r="1366" spans="1:9" x14ac:dyDescent="0.35">
      <c r="A1366" s="3">
        <v>103405404</v>
      </c>
      <c r="B1366" s="3" t="s">
        <v>3217</v>
      </c>
      <c r="C1366" s="3" t="s">
        <v>9</v>
      </c>
      <c r="D1366" s="3" t="s">
        <v>5</v>
      </c>
      <c r="E1366" s="3" t="s">
        <v>10</v>
      </c>
      <c r="F1366" s="3" t="s">
        <v>3218</v>
      </c>
      <c r="G1366" s="3" t="s">
        <v>3219</v>
      </c>
      <c r="H1366" s="4">
        <v>3799.05</v>
      </c>
      <c r="I1366" s="3" t="s">
        <v>11</v>
      </c>
    </row>
    <row r="1367" spans="1:9" x14ac:dyDescent="0.35">
      <c r="A1367" s="3">
        <v>103405509</v>
      </c>
      <c r="B1367" s="3" t="s">
        <v>3220</v>
      </c>
      <c r="C1367" s="3" t="s">
        <v>9</v>
      </c>
      <c r="D1367" s="3" t="s">
        <v>5</v>
      </c>
      <c r="E1367" s="3" t="s">
        <v>10</v>
      </c>
      <c r="F1367" s="3" t="s">
        <v>3221</v>
      </c>
      <c r="G1367" s="3" t="s">
        <v>3222</v>
      </c>
      <c r="H1367" s="5">
        <v>5199</v>
      </c>
      <c r="I1367" s="3" t="s">
        <v>11</v>
      </c>
    </row>
    <row r="1368" spans="1:9" x14ac:dyDescent="0.35">
      <c r="A1368" s="3">
        <v>103405508</v>
      </c>
      <c r="B1368" s="3" t="s">
        <v>3223</v>
      </c>
      <c r="C1368" s="3" t="s">
        <v>9</v>
      </c>
      <c r="D1368" s="3" t="s">
        <v>5</v>
      </c>
      <c r="E1368" s="3" t="s">
        <v>10</v>
      </c>
      <c r="F1368" s="3" t="s">
        <v>3224</v>
      </c>
      <c r="G1368" s="3" t="s">
        <v>3225</v>
      </c>
      <c r="H1368" s="4">
        <v>3419.14</v>
      </c>
      <c r="I1368" s="3" t="s">
        <v>11</v>
      </c>
    </row>
    <row r="1369" spans="1:9" x14ac:dyDescent="0.35">
      <c r="A1369" s="3">
        <v>103405507</v>
      </c>
      <c r="B1369" s="3" t="s">
        <v>3226</v>
      </c>
      <c r="C1369" s="3" t="s">
        <v>9</v>
      </c>
      <c r="D1369" s="3" t="s">
        <v>5</v>
      </c>
      <c r="E1369" s="3" t="s">
        <v>10</v>
      </c>
      <c r="F1369" s="3" t="s">
        <v>3227</v>
      </c>
      <c r="G1369" s="3" t="s">
        <v>3228</v>
      </c>
      <c r="H1369" s="3">
        <v>359</v>
      </c>
      <c r="I1369" s="3" t="s">
        <v>11</v>
      </c>
    </row>
    <row r="1370" spans="1:9" x14ac:dyDescent="0.35">
      <c r="A1370" s="3">
        <v>103405506</v>
      </c>
      <c r="B1370" s="3" t="s">
        <v>3229</v>
      </c>
      <c r="C1370" s="3" t="s">
        <v>9</v>
      </c>
      <c r="D1370" s="3" t="s">
        <v>5</v>
      </c>
      <c r="E1370" s="3" t="s">
        <v>10</v>
      </c>
      <c r="F1370" s="3" t="s">
        <v>3230</v>
      </c>
      <c r="G1370" s="3" t="s">
        <v>3231</v>
      </c>
      <c r="H1370" s="3">
        <v>489</v>
      </c>
      <c r="I1370" s="3" t="s">
        <v>11</v>
      </c>
    </row>
    <row r="1371" spans="1:9" x14ac:dyDescent="0.35">
      <c r="A1371" s="3">
        <v>103405398</v>
      </c>
      <c r="B1371" s="3" t="s">
        <v>3232</v>
      </c>
      <c r="C1371" s="3" t="s">
        <v>9</v>
      </c>
      <c r="D1371" s="3" t="s">
        <v>5</v>
      </c>
      <c r="E1371" s="3" t="s">
        <v>10</v>
      </c>
      <c r="F1371" s="3" t="s">
        <v>3233</v>
      </c>
      <c r="G1371" s="3" t="s">
        <v>3234</v>
      </c>
      <c r="H1371" s="4">
        <v>4094.1</v>
      </c>
      <c r="I1371" s="3" t="s">
        <v>11</v>
      </c>
    </row>
    <row r="1372" spans="1:9" x14ac:dyDescent="0.35">
      <c r="A1372" s="3">
        <v>103405397</v>
      </c>
      <c r="B1372" s="3" t="s">
        <v>3235</v>
      </c>
      <c r="C1372" s="3" t="s">
        <v>9</v>
      </c>
      <c r="D1372" s="3" t="s">
        <v>5</v>
      </c>
      <c r="E1372" s="3" t="s">
        <v>10</v>
      </c>
      <c r="F1372" s="3" t="s">
        <v>3236</v>
      </c>
      <c r="G1372" s="3" t="s">
        <v>3237</v>
      </c>
      <c r="H1372" s="4">
        <v>3656.55</v>
      </c>
      <c r="I1372" s="3" t="s">
        <v>11</v>
      </c>
    </row>
    <row r="1373" spans="1:9" x14ac:dyDescent="0.35">
      <c r="A1373" s="3">
        <v>103405396</v>
      </c>
      <c r="B1373" s="3" t="s">
        <v>3238</v>
      </c>
      <c r="C1373" s="3" t="s">
        <v>9</v>
      </c>
      <c r="D1373" s="3" t="s">
        <v>5</v>
      </c>
      <c r="E1373" s="3" t="s">
        <v>10</v>
      </c>
      <c r="F1373" s="3" t="s">
        <v>15</v>
      </c>
      <c r="G1373" s="3" t="s">
        <v>16</v>
      </c>
      <c r="H1373" s="4">
        <v>1049.25</v>
      </c>
      <c r="I1373" s="3" t="s">
        <v>11</v>
      </c>
    </row>
    <row r="1374" spans="1:9" x14ac:dyDescent="0.35">
      <c r="A1374" s="3">
        <v>103405496</v>
      </c>
      <c r="B1374" s="3" t="s">
        <v>3239</v>
      </c>
      <c r="C1374" s="3" t="s">
        <v>9</v>
      </c>
      <c r="D1374" s="3" t="s">
        <v>5</v>
      </c>
      <c r="E1374" s="3" t="s">
        <v>10</v>
      </c>
      <c r="F1374" s="3" t="s">
        <v>3240</v>
      </c>
      <c r="G1374" s="3" t="s">
        <v>3241</v>
      </c>
      <c r="H1374" s="5">
        <v>4199</v>
      </c>
      <c r="I1374" s="3" t="s">
        <v>11</v>
      </c>
    </row>
    <row r="1375" spans="1:9" x14ac:dyDescent="0.35">
      <c r="A1375" s="3">
        <v>103405493</v>
      </c>
      <c r="B1375" s="3" t="s">
        <v>3242</v>
      </c>
      <c r="C1375" s="3" t="s">
        <v>9</v>
      </c>
      <c r="D1375" s="3" t="s">
        <v>5</v>
      </c>
      <c r="E1375" s="3" t="s">
        <v>10</v>
      </c>
      <c r="F1375" s="3" t="s">
        <v>3243</v>
      </c>
      <c r="G1375" s="3" t="s">
        <v>3244</v>
      </c>
      <c r="H1375" s="4">
        <v>2193.5500000000002</v>
      </c>
      <c r="I1375" s="3" t="s">
        <v>11</v>
      </c>
    </row>
    <row r="1376" spans="1:9" x14ac:dyDescent="0.35">
      <c r="A1376" s="3">
        <v>103405492</v>
      </c>
      <c r="B1376" s="3" t="s">
        <v>3245</v>
      </c>
      <c r="C1376" s="3" t="s">
        <v>9</v>
      </c>
      <c r="D1376" s="3" t="s">
        <v>5</v>
      </c>
      <c r="E1376" s="3" t="s">
        <v>12</v>
      </c>
      <c r="F1376" s="3" t="s">
        <v>3246</v>
      </c>
      <c r="G1376" s="3" t="s">
        <v>3247</v>
      </c>
      <c r="H1376" s="5">
        <v>3599</v>
      </c>
      <c r="I1376" s="3" t="s">
        <v>11</v>
      </c>
    </row>
    <row r="1377" spans="1:9" x14ac:dyDescent="0.35">
      <c r="A1377" s="3">
        <v>103405491</v>
      </c>
      <c r="B1377" s="3" t="s">
        <v>3248</v>
      </c>
      <c r="C1377" s="3" t="s">
        <v>9</v>
      </c>
      <c r="D1377" s="3" t="s">
        <v>5</v>
      </c>
      <c r="E1377" s="3" t="s">
        <v>10</v>
      </c>
      <c r="F1377" s="3" t="s">
        <v>3249</v>
      </c>
      <c r="G1377" s="3" t="s">
        <v>3250</v>
      </c>
      <c r="H1377" s="4">
        <v>1755.6</v>
      </c>
      <c r="I1377" s="3" t="s">
        <v>11</v>
      </c>
    </row>
    <row r="1378" spans="1:9" x14ac:dyDescent="0.35">
      <c r="A1378" s="3">
        <v>103405490</v>
      </c>
      <c r="B1378" s="3" t="s">
        <v>3251</v>
      </c>
      <c r="C1378" s="3" t="s">
        <v>9</v>
      </c>
      <c r="D1378" s="3" t="s">
        <v>5</v>
      </c>
      <c r="E1378" s="3" t="s">
        <v>12</v>
      </c>
      <c r="F1378" s="3" t="s">
        <v>3252</v>
      </c>
      <c r="G1378" s="3" t="s">
        <v>3253</v>
      </c>
      <c r="H1378" s="5">
        <v>1349</v>
      </c>
      <c r="I1378" s="3" t="s">
        <v>11</v>
      </c>
    </row>
    <row r="1379" spans="1:9" x14ac:dyDescent="0.35">
      <c r="A1379" s="3">
        <v>103405484</v>
      </c>
      <c r="B1379" s="3" t="s">
        <v>3254</v>
      </c>
      <c r="C1379" s="3" t="s">
        <v>9</v>
      </c>
      <c r="D1379" s="3" t="s">
        <v>5</v>
      </c>
      <c r="E1379" s="3" t="s">
        <v>10</v>
      </c>
      <c r="F1379" s="3" t="s">
        <v>3255</v>
      </c>
      <c r="G1379" s="3" t="s">
        <v>3256</v>
      </c>
      <c r="H1379" s="5">
        <v>6565</v>
      </c>
      <c r="I1379" s="3" t="s">
        <v>11</v>
      </c>
    </row>
    <row r="1380" spans="1:9" x14ac:dyDescent="0.35">
      <c r="A1380" s="3">
        <v>103405390</v>
      </c>
      <c r="B1380" s="3" t="s">
        <v>3257</v>
      </c>
      <c r="C1380" s="3" t="s">
        <v>9</v>
      </c>
      <c r="D1380" s="3" t="s">
        <v>5</v>
      </c>
      <c r="E1380" s="3" t="s">
        <v>10</v>
      </c>
      <c r="F1380" s="3" t="s">
        <v>3258</v>
      </c>
      <c r="G1380" s="3" t="s">
        <v>3259</v>
      </c>
      <c r="H1380" s="5">
        <v>1248</v>
      </c>
      <c r="I1380" s="3" t="s">
        <v>11</v>
      </c>
    </row>
    <row r="1381" spans="1:9" x14ac:dyDescent="0.35">
      <c r="A1381" s="3">
        <v>103405388</v>
      </c>
      <c r="B1381" s="3" t="s">
        <v>3260</v>
      </c>
      <c r="C1381" s="3" t="s">
        <v>9</v>
      </c>
      <c r="D1381" s="3" t="s">
        <v>5</v>
      </c>
      <c r="E1381" s="3" t="s">
        <v>10</v>
      </c>
      <c r="F1381" s="3" t="s">
        <v>3261</v>
      </c>
      <c r="G1381" s="3" t="s">
        <v>3262</v>
      </c>
      <c r="H1381" s="3">
        <v>819</v>
      </c>
      <c r="I1381" s="3" t="s">
        <v>11</v>
      </c>
    </row>
    <row r="1382" spans="1:9" x14ac:dyDescent="0.35">
      <c r="A1382" s="3">
        <v>103405385</v>
      </c>
      <c r="B1382" s="3" t="s">
        <v>3263</v>
      </c>
      <c r="C1382" s="3" t="s">
        <v>9</v>
      </c>
      <c r="D1382" s="3" t="s">
        <v>5</v>
      </c>
      <c r="E1382" s="3" t="s">
        <v>10</v>
      </c>
      <c r="F1382" s="3" t="s">
        <v>3264</v>
      </c>
      <c r="G1382" s="3" t="s">
        <v>3265</v>
      </c>
      <c r="H1382" s="4">
        <v>1165.6500000000001</v>
      </c>
      <c r="I1382" s="3" t="s">
        <v>11</v>
      </c>
    </row>
    <row r="1383" spans="1:9" x14ac:dyDescent="0.35">
      <c r="A1383" s="3">
        <v>103405479</v>
      </c>
      <c r="B1383" s="3" t="s">
        <v>3266</v>
      </c>
      <c r="C1383" s="3" t="s">
        <v>9</v>
      </c>
      <c r="D1383" s="3" t="s">
        <v>5</v>
      </c>
      <c r="E1383" s="3" t="s">
        <v>10</v>
      </c>
      <c r="F1383" s="3" t="s">
        <v>3267</v>
      </c>
      <c r="G1383" s="3" t="s">
        <v>3268</v>
      </c>
      <c r="H1383" s="4">
        <v>3656.55</v>
      </c>
      <c r="I1383" s="3" t="s">
        <v>11</v>
      </c>
    </row>
    <row r="1384" spans="1:9" x14ac:dyDescent="0.35">
      <c r="A1384" s="3">
        <v>103405478</v>
      </c>
      <c r="B1384" s="3" t="s">
        <v>3266</v>
      </c>
      <c r="C1384" s="3" t="s">
        <v>9</v>
      </c>
      <c r="D1384" s="3" t="s">
        <v>5</v>
      </c>
      <c r="E1384" s="3" t="s">
        <v>10</v>
      </c>
      <c r="F1384" s="3" t="s">
        <v>1788</v>
      </c>
      <c r="G1384" s="3" t="s">
        <v>1789</v>
      </c>
      <c r="H1384" s="5">
        <v>1119</v>
      </c>
      <c r="I1384" s="3" t="s">
        <v>11</v>
      </c>
    </row>
    <row r="1385" spans="1:9" x14ac:dyDescent="0.35">
      <c r="A1385" s="3">
        <v>103405471</v>
      </c>
      <c r="B1385" s="3" t="s">
        <v>3269</v>
      </c>
      <c r="C1385" s="3" t="s">
        <v>9</v>
      </c>
      <c r="D1385" s="3" t="s">
        <v>5</v>
      </c>
      <c r="E1385" s="3" t="s">
        <v>10</v>
      </c>
      <c r="F1385" s="3" t="s">
        <v>3270</v>
      </c>
      <c r="G1385" s="3" t="s">
        <v>3271</v>
      </c>
      <c r="H1385" s="4">
        <v>2659.05</v>
      </c>
      <c r="I1385" s="3" t="s">
        <v>11</v>
      </c>
    </row>
    <row r="1386" spans="1:9" x14ac:dyDescent="0.35">
      <c r="A1386" s="3">
        <v>103405381</v>
      </c>
      <c r="B1386" s="3" t="s">
        <v>3272</v>
      </c>
      <c r="C1386" s="3" t="s">
        <v>9</v>
      </c>
      <c r="D1386" s="3" t="s">
        <v>5</v>
      </c>
      <c r="E1386" s="3" t="s">
        <v>10</v>
      </c>
      <c r="F1386" s="3" t="s">
        <v>3273</v>
      </c>
      <c r="G1386" s="3" t="s">
        <v>3274</v>
      </c>
      <c r="H1386" s="4">
        <v>2611.5500000000002</v>
      </c>
      <c r="I1386" s="3" t="s">
        <v>11</v>
      </c>
    </row>
    <row r="1387" spans="1:9" x14ac:dyDescent="0.35">
      <c r="A1387" s="3">
        <v>103405468</v>
      </c>
      <c r="B1387" s="3" t="s">
        <v>3275</v>
      </c>
      <c r="C1387" s="3" t="s">
        <v>9</v>
      </c>
      <c r="D1387" s="3" t="s">
        <v>5</v>
      </c>
      <c r="E1387" s="3" t="s">
        <v>12</v>
      </c>
      <c r="F1387" s="3" t="s">
        <v>3276</v>
      </c>
      <c r="G1387" s="3" t="s">
        <v>3277</v>
      </c>
      <c r="H1387" s="3">
        <v>649</v>
      </c>
      <c r="I1387" s="3" t="s">
        <v>11</v>
      </c>
    </row>
    <row r="1388" spans="1:9" x14ac:dyDescent="0.35">
      <c r="A1388" s="3">
        <v>103405378</v>
      </c>
      <c r="B1388" s="3" t="s">
        <v>3278</v>
      </c>
      <c r="C1388" s="3" t="s">
        <v>9</v>
      </c>
      <c r="D1388" s="3" t="s">
        <v>5</v>
      </c>
      <c r="E1388" s="3" t="s">
        <v>10</v>
      </c>
      <c r="F1388" s="3" t="s">
        <v>3279</v>
      </c>
      <c r="G1388" s="3" t="s">
        <v>3280</v>
      </c>
      <c r="H1388" s="5">
        <v>4199</v>
      </c>
      <c r="I1388" s="3" t="s">
        <v>11</v>
      </c>
    </row>
    <row r="1389" spans="1:9" x14ac:dyDescent="0.35">
      <c r="A1389" s="3">
        <v>103405377</v>
      </c>
      <c r="B1389" s="3" t="s">
        <v>3281</v>
      </c>
      <c r="C1389" s="3" t="s">
        <v>9</v>
      </c>
      <c r="D1389" s="3" t="s">
        <v>5</v>
      </c>
      <c r="E1389" s="3" t="s">
        <v>10</v>
      </c>
      <c r="F1389" s="3" t="s">
        <v>3282</v>
      </c>
      <c r="G1389" s="3" t="s">
        <v>3283</v>
      </c>
      <c r="H1389" s="5">
        <v>1199</v>
      </c>
      <c r="I1389" s="3" t="s">
        <v>11</v>
      </c>
    </row>
    <row r="1390" spans="1:9" x14ac:dyDescent="0.35">
      <c r="A1390" s="3">
        <v>103405465</v>
      </c>
      <c r="B1390" s="3" t="s">
        <v>3284</v>
      </c>
      <c r="C1390" s="3" t="s">
        <v>9</v>
      </c>
      <c r="D1390" s="3" t="s">
        <v>5</v>
      </c>
      <c r="E1390" s="3" t="s">
        <v>10</v>
      </c>
      <c r="F1390" s="3" t="s">
        <v>3285</v>
      </c>
      <c r="G1390" s="3" t="s">
        <v>3286</v>
      </c>
      <c r="H1390" s="5">
        <v>6598</v>
      </c>
      <c r="I1390" s="3" t="s">
        <v>11</v>
      </c>
    </row>
    <row r="1391" spans="1:9" x14ac:dyDescent="0.35">
      <c r="A1391" s="3">
        <v>103405373</v>
      </c>
      <c r="B1391" s="3" t="s">
        <v>3287</v>
      </c>
      <c r="C1391" s="3" t="s">
        <v>9</v>
      </c>
      <c r="D1391" s="3" t="s">
        <v>5</v>
      </c>
      <c r="E1391" s="3" t="s">
        <v>10</v>
      </c>
      <c r="F1391" s="3" t="s">
        <v>3288</v>
      </c>
      <c r="G1391" s="3" t="s">
        <v>3289</v>
      </c>
      <c r="H1391" s="5">
        <v>5599</v>
      </c>
      <c r="I1391" s="3" t="s">
        <v>11</v>
      </c>
    </row>
    <row r="1392" spans="1:9" x14ac:dyDescent="0.35">
      <c r="A1392" s="3">
        <v>103405359</v>
      </c>
      <c r="B1392" s="3" t="s">
        <v>3290</v>
      </c>
      <c r="C1392" s="3" t="s">
        <v>9</v>
      </c>
      <c r="D1392" s="3" t="s">
        <v>5</v>
      </c>
      <c r="E1392" s="3" t="s">
        <v>10</v>
      </c>
      <c r="F1392" s="3" t="s">
        <v>3291</v>
      </c>
      <c r="G1392" s="3" t="s">
        <v>3292</v>
      </c>
      <c r="H1392" s="4">
        <v>4511.6000000000004</v>
      </c>
      <c r="I1392" s="3" t="s">
        <v>11</v>
      </c>
    </row>
    <row r="1393" spans="1:9" x14ac:dyDescent="0.35">
      <c r="A1393" s="3">
        <v>103405369</v>
      </c>
      <c r="B1393" s="3" t="s">
        <v>3293</v>
      </c>
      <c r="C1393" s="3" t="s">
        <v>9</v>
      </c>
      <c r="D1393" s="3" t="s">
        <v>5</v>
      </c>
      <c r="E1393" s="3" t="s">
        <v>10</v>
      </c>
      <c r="F1393" s="3" t="s">
        <v>3294</v>
      </c>
      <c r="G1393" s="3" t="s">
        <v>3295</v>
      </c>
      <c r="H1393" s="3">
        <v>439</v>
      </c>
      <c r="I1393" s="3" t="s">
        <v>11</v>
      </c>
    </row>
    <row r="1394" spans="1:9" x14ac:dyDescent="0.35">
      <c r="A1394" s="3">
        <v>103405357</v>
      </c>
      <c r="B1394" s="3" t="s">
        <v>3296</v>
      </c>
      <c r="C1394" s="3" t="s">
        <v>9</v>
      </c>
      <c r="D1394" s="3" t="s">
        <v>5</v>
      </c>
      <c r="E1394" s="3" t="s">
        <v>10</v>
      </c>
      <c r="F1394" s="3" t="s">
        <v>3255</v>
      </c>
      <c r="G1394" s="3" t="s">
        <v>3256</v>
      </c>
      <c r="H1394" s="5">
        <v>9618</v>
      </c>
      <c r="I1394" s="3" t="s">
        <v>11</v>
      </c>
    </row>
    <row r="1395" spans="1:9" x14ac:dyDescent="0.35">
      <c r="A1395" s="3">
        <v>103405352</v>
      </c>
      <c r="B1395" s="3" t="s">
        <v>3297</v>
      </c>
      <c r="C1395" s="3" t="s">
        <v>9</v>
      </c>
      <c r="D1395" s="3" t="s">
        <v>5</v>
      </c>
      <c r="E1395" s="3" t="s">
        <v>10</v>
      </c>
      <c r="F1395" s="3" t="s">
        <v>3298</v>
      </c>
      <c r="G1395" s="3" t="s">
        <v>3299</v>
      </c>
      <c r="H1395" s="5">
        <v>1169</v>
      </c>
      <c r="I1395" s="3" t="s">
        <v>11</v>
      </c>
    </row>
    <row r="1396" spans="1:9" x14ac:dyDescent="0.35">
      <c r="A1396" s="3">
        <v>103405365</v>
      </c>
      <c r="B1396" s="3" t="s">
        <v>3297</v>
      </c>
      <c r="C1396" s="3" t="s">
        <v>9</v>
      </c>
      <c r="D1396" s="3" t="s">
        <v>5</v>
      </c>
      <c r="E1396" s="3" t="s">
        <v>10</v>
      </c>
      <c r="F1396" s="3" t="s">
        <v>3300</v>
      </c>
      <c r="G1396" s="3" t="s">
        <v>3301</v>
      </c>
      <c r="H1396" s="3">
        <v>779</v>
      </c>
      <c r="I1396" s="3" t="s">
        <v>11</v>
      </c>
    </row>
    <row r="1397" spans="1:9" x14ac:dyDescent="0.35">
      <c r="A1397" s="3">
        <v>103405264</v>
      </c>
      <c r="B1397" s="3" t="s">
        <v>3302</v>
      </c>
      <c r="C1397" s="3" t="s">
        <v>9</v>
      </c>
      <c r="D1397" s="3" t="s">
        <v>5</v>
      </c>
      <c r="E1397" s="3" t="s">
        <v>10</v>
      </c>
      <c r="F1397" s="3" t="s">
        <v>3303</v>
      </c>
      <c r="G1397" s="3" t="s">
        <v>3304</v>
      </c>
      <c r="H1397" s="5">
        <v>1139</v>
      </c>
      <c r="I1397" s="3" t="s">
        <v>11</v>
      </c>
    </row>
    <row r="1398" spans="1:9" x14ac:dyDescent="0.35">
      <c r="A1398" s="3">
        <v>103405350</v>
      </c>
      <c r="B1398" s="3" t="s">
        <v>3305</v>
      </c>
      <c r="C1398" s="3" t="s">
        <v>9</v>
      </c>
      <c r="D1398" s="3" t="s">
        <v>5</v>
      </c>
      <c r="E1398" s="3" t="s">
        <v>10</v>
      </c>
      <c r="F1398" s="3" t="s">
        <v>3306</v>
      </c>
      <c r="G1398" s="3" t="s">
        <v>3307</v>
      </c>
      <c r="H1398" s="3">
        <v>616.54999999999995</v>
      </c>
      <c r="I1398" s="3" t="s">
        <v>11</v>
      </c>
    </row>
    <row r="1399" spans="1:9" x14ac:dyDescent="0.35">
      <c r="A1399" s="3">
        <v>103405259</v>
      </c>
      <c r="B1399" s="3" t="s">
        <v>3308</v>
      </c>
      <c r="C1399" s="3" t="s">
        <v>9</v>
      </c>
      <c r="D1399" s="3" t="s">
        <v>5</v>
      </c>
      <c r="E1399" s="3" t="s">
        <v>10</v>
      </c>
      <c r="F1399" s="3" t="s">
        <v>3309</v>
      </c>
      <c r="G1399" s="3" t="s">
        <v>3310</v>
      </c>
      <c r="H1399" s="5">
        <v>3019</v>
      </c>
      <c r="I1399" s="3" t="s">
        <v>11</v>
      </c>
    </row>
    <row r="1400" spans="1:9" x14ac:dyDescent="0.35">
      <c r="A1400" s="3">
        <v>103405257</v>
      </c>
      <c r="B1400" s="3" t="s">
        <v>3311</v>
      </c>
      <c r="C1400" s="3" t="s">
        <v>9</v>
      </c>
      <c r="D1400" s="3" t="s">
        <v>5</v>
      </c>
      <c r="E1400" s="3" t="s">
        <v>10</v>
      </c>
      <c r="F1400" s="3" t="s">
        <v>3312</v>
      </c>
      <c r="G1400" s="3" t="s">
        <v>3313</v>
      </c>
      <c r="H1400" s="5">
        <v>2249</v>
      </c>
      <c r="I1400" s="3" t="s">
        <v>11</v>
      </c>
    </row>
    <row r="1401" spans="1:9" x14ac:dyDescent="0.35">
      <c r="A1401" s="3">
        <v>103405256</v>
      </c>
      <c r="B1401" s="3" t="s">
        <v>3314</v>
      </c>
      <c r="C1401" s="3" t="s">
        <v>9</v>
      </c>
      <c r="D1401" s="3" t="s">
        <v>5</v>
      </c>
      <c r="E1401" s="3" t="s">
        <v>10</v>
      </c>
      <c r="F1401" s="3" t="s">
        <v>3315</v>
      </c>
      <c r="G1401" s="3" t="s">
        <v>3316</v>
      </c>
      <c r="H1401" s="5">
        <v>4898</v>
      </c>
      <c r="I1401" s="3" t="s">
        <v>11</v>
      </c>
    </row>
    <row r="1402" spans="1:9" x14ac:dyDescent="0.35">
      <c r="A1402" s="3">
        <v>103405343</v>
      </c>
      <c r="B1402" s="3" t="s">
        <v>3317</v>
      </c>
      <c r="C1402" s="3" t="s">
        <v>9</v>
      </c>
      <c r="D1402" s="3" t="s">
        <v>5</v>
      </c>
      <c r="E1402" s="3" t="s">
        <v>10</v>
      </c>
      <c r="F1402" s="3" t="s">
        <v>3318</v>
      </c>
      <c r="G1402" s="3" t="s">
        <v>3319</v>
      </c>
      <c r="H1402" s="4">
        <v>2991.55</v>
      </c>
      <c r="I1402" s="3" t="s">
        <v>11</v>
      </c>
    </row>
    <row r="1403" spans="1:9" x14ac:dyDescent="0.35">
      <c r="A1403" s="3">
        <v>103405254</v>
      </c>
      <c r="B1403" s="3" t="s">
        <v>3320</v>
      </c>
      <c r="C1403" s="3" t="s">
        <v>9</v>
      </c>
      <c r="D1403" s="3" t="s">
        <v>5</v>
      </c>
      <c r="E1403" s="3" t="s">
        <v>10</v>
      </c>
      <c r="F1403" s="3" t="s">
        <v>3321</v>
      </c>
      <c r="G1403" s="3" t="s">
        <v>3322</v>
      </c>
      <c r="H1403" s="4">
        <v>1259.0999999999999</v>
      </c>
      <c r="I1403" s="3" t="s">
        <v>11</v>
      </c>
    </row>
    <row r="1404" spans="1:9" x14ac:dyDescent="0.35">
      <c r="A1404" s="3">
        <v>103405340</v>
      </c>
      <c r="B1404" s="3" t="s">
        <v>3323</v>
      </c>
      <c r="C1404" s="3" t="s">
        <v>9</v>
      </c>
      <c r="D1404" s="3" t="s">
        <v>5</v>
      </c>
      <c r="E1404" s="3" t="s">
        <v>10</v>
      </c>
      <c r="F1404" s="3" t="s">
        <v>3324</v>
      </c>
      <c r="G1404" s="3" t="s">
        <v>3325</v>
      </c>
      <c r="H1404" s="3">
        <v>464.55</v>
      </c>
      <c r="I1404" s="3" t="s">
        <v>11</v>
      </c>
    </row>
    <row r="1405" spans="1:9" x14ac:dyDescent="0.35">
      <c r="A1405" s="3">
        <v>103405337</v>
      </c>
      <c r="B1405" s="3" t="s">
        <v>3326</v>
      </c>
      <c r="C1405" s="3" t="s">
        <v>9</v>
      </c>
      <c r="D1405" s="3" t="s">
        <v>5</v>
      </c>
      <c r="E1405" s="3" t="s">
        <v>10</v>
      </c>
      <c r="F1405" s="3" t="s">
        <v>3327</v>
      </c>
      <c r="G1405" s="3" t="s">
        <v>3328</v>
      </c>
      <c r="H1405" s="3">
        <v>649</v>
      </c>
      <c r="I1405" s="3" t="s">
        <v>11</v>
      </c>
    </row>
    <row r="1406" spans="1:9" x14ac:dyDescent="0.35">
      <c r="A1406" s="3">
        <v>103405249</v>
      </c>
      <c r="B1406" s="3" t="s">
        <v>3329</v>
      </c>
      <c r="C1406" s="3" t="s">
        <v>9</v>
      </c>
      <c r="D1406" s="3" t="s">
        <v>5</v>
      </c>
      <c r="E1406" s="3" t="s">
        <v>12</v>
      </c>
      <c r="F1406" s="3" t="s">
        <v>3330</v>
      </c>
      <c r="G1406" s="3" t="s">
        <v>3331</v>
      </c>
      <c r="H1406" s="4">
        <v>3134.05</v>
      </c>
      <c r="I1406" s="3" t="s">
        <v>11</v>
      </c>
    </row>
    <row r="1407" spans="1:9" x14ac:dyDescent="0.35">
      <c r="A1407" s="3">
        <v>103405333</v>
      </c>
      <c r="B1407" s="3" t="s">
        <v>3332</v>
      </c>
      <c r="C1407" s="3" t="s">
        <v>9</v>
      </c>
      <c r="D1407" s="3" t="s">
        <v>5</v>
      </c>
      <c r="E1407" s="3" t="s">
        <v>10</v>
      </c>
      <c r="F1407" s="3" t="s">
        <v>3333</v>
      </c>
      <c r="G1407" s="3" t="s">
        <v>3334</v>
      </c>
      <c r="H1407" s="5">
        <v>1599</v>
      </c>
      <c r="I1407" s="3" t="s">
        <v>11</v>
      </c>
    </row>
    <row r="1408" spans="1:9" x14ac:dyDescent="0.35">
      <c r="A1408" s="3">
        <v>103405330</v>
      </c>
      <c r="B1408" s="3" t="s">
        <v>3335</v>
      </c>
      <c r="C1408" s="3" t="s">
        <v>9</v>
      </c>
      <c r="D1408" s="3" t="s">
        <v>5</v>
      </c>
      <c r="E1408" s="3" t="s">
        <v>10</v>
      </c>
      <c r="F1408" s="3" t="s">
        <v>3336</v>
      </c>
      <c r="G1408" s="3" t="s">
        <v>3337</v>
      </c>
      <c r="H1408" s="5">
        <v>1399</v>
      </c>
      <c r="I1408" s="3" t="s">
        <v>11</v>
      </c>
    </row>
    <row r="1409" spans="1:9" x14ac:dyDescent="0.35">
      <c r="A1409" s="3">
        <v>103405329</v>
      </c>
      <c r="B1409" s="3" t="s">
        <v>3338</v>
      </c>
      <c r="C1409" s="3" t="s">
        <v>9</v>
      </c>
      <c r="D1409" s="3" t="s">
        <v>5</v>
      </c>
      <c r="E1409" s="3" t="s">
        <v>10</v>
      </c>
      <c r="F1409" s="3" t="s">
        <v>3339</v>
      </c>
      <c r="G1409" s="3" t="s">
        <v>3340</v>
      </c>
      <c r="H1409" s="4">
        <v>1803.19</v>
      </c>
      <c r="I1409" s="3" t="s">
        <v>11</v>
      </c>
    </row>
    <row r="1410" spans="1:9" x14ac:dyDescent="0.35">
      <c r="A1410" s="3">
        <v>103405228</v>
      </c>
      <c r="B1410" s="3" t="s">
        <v>3341</v>
      </c>
      <c r="C1410" s="3" t="s">
        <v>9</v>
      </c>
      <c r="D1410" s="3" t="s">
        <v>5</v>
      </c>
      <c r="E1410" s="3" t="s">
        <v>10</v>
      </c>
      <c r="F1410" s="3" t="s">
        <v>3342</v>
      </c>
      <c r="G1410" s="3" t="s">
        <v>3343</v>
      </c>
      <c r="H1410" s="3">
        <v>956.74</v>
      </c>
      <c r="I1410" s="3" t="s">
        <v>11</v>
      </c>
    </row>
    <row r="1411" spans="1:9" x14ac:dyDescent="0.35">
      <c r="A1411" s="3">
        <v>103405225</v>
      </c>
      <c r="B1411" s="3" t="s">
        <v>3344</v>
      </c>
      <c r="C1411" s="3" t="s">
        <v>9</v>
      </c>
      <c r="D1411" s="3" t="s">
        <v>5</v>
      </c>
      <c r="E1411" s="3" t="s">
        <v>12</v>
      </c>
      <c r="F1411" s="3" t="s">
        <v>3345</v>
      </c>
      <c r="G1411" s="3" t="s">
        <v>3346</v>
      </c>
      <c r="H1411" s="3">
        <v>768.55</v>
      </c>
      <c r="I1411" s="3" t="s">
        <v>11</v>
      </c>
    </row>
    <row r="1412" spans="1:9" x14ac:dyDescent="0.35">
      <c r="A1412" s="3">
        <v>103405224</v>
      </c>
      <c r="B1412" s="3" t="s">
        <v>3347</v>
      </c>
      <c r="C1412" s="3" t="s">
        <v>9</v>
      </c>
      <c r="D1412" s="3" t="s">
        <v>5</v>
      </c>
      <c r="E1412" s="3" t="s">
        <v>12</v>
      </c>
      <c r="F1412" s="3" t="s">
        <v>3348</v>
      </c>
      <c r="G1412" s="3" t="s">
        <v>3349</v>
      </c>
      <c r="H1412" s="5">
        <v>1189</v>
      </c>
      <c r="I1412" s="3" t="s">
        <v>11</v>
      </c>
    </row>
    <row r="1413" spans="1:9" x14ac:dyDescent="0.35">
      <c r="A1413" s="3">
        <v>103405222</v>
      </c>
      <c r="B1413" s="3" t="s">
        <v>3350</v>
      </c>
      <c r="C1413" s="3" t="s">
        <v>9</v>
      </c>
      <c r="D1413" s="3" t="s">
        <v>5</v>
      </c>
      <c r="E1413" s="3" t="s">
        <v>10</v>
      </c>
      <c r="F1413" s="3" t="s">
        <v>3351</v>
      </c>
      <c r="G1413" s="3" t="s">
        <v>3352</v>
      </c>
      <c r="H1413" s="4">
        <v>1794.64</v>
      </c>
      <c r="I1413" s="3" t="s">
        <v>11</v>
      </c>
    </row>
    <row r="1414" spans="1:9" x14ac:dyDescent="0.35">
      <c r="A1414" s="3">
        <v>103405317</v>
      </c>
      <c r="B1414" s="3" t="s">
        <v>3353</v>
      </c>
      <c r="C1414" s="3" t="s">
        <v>9</v>
      </c>
      <c r="D1414" s="3" t="s">
        <v>5</v>
      </c>
      <c r="E1414" s="3" t="s">
        <v>10</v>
      </c>
      <c r="F1414" s="3" t="s">
        <v>3354</v>
      </c>
      <c r="G1414" s="3" t="s">
        <v>3355</v>
      </c>
      <c r="H1414" s="4">
        <v>2991.55</v>
      </c>
      <c r="I1414" s="3" t="s">
        <v>11</v>
      </c>
    </row>
    <row r="1415" spans="1:9" x14ac:dyDescent="0.35">
      <c r="A1415" s="3">
        <v>103405219</v>
      </c>
      <c r="B1415" s="3" t="s">
        <v>3356</v>
      </c>
      <c r="C1415" s="3" t="s">
        <v>9</v>
      </c>
      <c r="D1415" s="3" t="s">
        <v>5</v>
      </c>
      <c r="E1415" s="3" t="s">
        <v>12</v>
      </c>
      <c r="F1415" s="3" t="s">
        <v>3357</v>
      </c>
      <c r="G1415" s="3" t="s">
        <v>3358</v>
      </c>
      <c r="H1415" s="5">
        <v>2199</v>
      </c>
      <c r="I1415" s="3" t="s">
        <v>11</v>
      </c>
    </row>
    <row r="1416" spans="1:9" x14ac:dyDescent="0.35">
      <c r="A1416" s="3">
        <v>103405218</v>
      </c>
      <c r="B1416" s="3" t="s">
        <v>3359</v>
      </c>
      <c r="C1416" s="3" t="s">
        <v>9</v>
      </c>
      <c r="D1416" s="3" t="s">
        <v>5</v>
      </c>
      <c r="E1416" s="3" t="s">
        <v>10</v>
      </c>
      <c r="F1416" s="3" t="s">
        <v>3360</v>
      </c>
      <c r="G1416" s="3" t="s">
        <v>3361</v>
      </c>
      <c r="H1416" s="4">
        <v>4274.1400000000003</v>
      </c>
      <c r="I1416" s="3" t="s">
        <v>11</v>
      </c>
    </row>
    <row r="1417" spans="1:9" x14ac:dyDescent="0.35">
      <c r="A1417" s="3">
        <v>103405311</v>
      </c>
      <c r="B1417" s="3" t="s">
        <v>3362</v>
      </c>
      <c r="C1417" s="3" t="s">
        <v>9</v>
      </c>
      <c r="D1417" s="3" t="s">
        <v>5</v>
      </c>
      <c r="E1417" s="3" t="s">
        <v>10</v>
      </c>
      <c r="F1417" s="3" t="s">
        <v>3363</v>
      </c>
      <c r="G1417" s="3" t="s">
        <v>3364</v>
      </c>
      <c r="H1417" s="5">
        <v>2399</v>
      </c>
      <c r="I1417" s="3" t="s">
        <v>11</v>
      </c>
    </row>
    <row r="1418" spans="1:9" x14ac:dyDescent="0.35">
      <c r="A1418" s="3">
        <v>103405308</v>
      </c>
      <c r="B1418" s="3" t="s">
        <v>3365</v>
      </c>
      <c r="C1418" s="3" t="s">
        <v>9</v>
      </c>
      <c r="D1418" s="3" t="s">
        <v>5</v>
      </c>
      <c r="E1418" s="3" t="s">
        <v>10</v>
      </c>
      <c r="F1418" s="3" t="s">
        <v>3366</v>
      </c>
      <c r="G1418" s="3" t="s">
        <v>3367</v>
      </c>
      <c r="H1418" s="4">
        <v>2849.05</v>
      </c>
      <c r="I1418" s="3" t="s">
        <v>11</v>
      </c>
    </row>
    <row r="1419" spans="1:9" x14ac:dyDescent="0.35">
      <c r="A1419" s="3">
        <v>103405307</v>
      </c>
      <c r="B1419" s="3" t="s">
        <v>3368</v>
      </c>
      <c r="C1419" s="3" t="s">
        <v>9</v>
      </c>
      <c r="D1419" s="3" t="s">
        <v>5</v>
      </c>
      <c r="E1419" s="3" t="s">
        <v>12</v>
      </c>
      <c r="F1419" s="3" t="s">
        <v>3369</v>
      </c>
      <c r="G1419" s="3" t="s">
        <v>3370</v>
      </c>
      <c r="H1419" s="3">
        <v>599</v>
      </c>
      <c r="I1419" s="3" t="s">
        <v>11</v>
      </c>
    </row>
    <row r="1420" spans="1:9" x14ac:dyDescent="0.35">
      <c r="A1420" s="3">
        <v>103405306</v>
      </c>
      <c r="B1420" s="3" t="s">
        <v>3371</v>
      </c>
      <c r="C1420" s="3" t="s">
        <v>9</v>
      </c>
      <c r="D1420" s="3" t="s">
        <v>5</v>
      </c>
      <c r="E1420" s="3" t="s">
        <v>10</v>
      </c>
      <c r="F1420" s="3" t="s">
        <v>3372</v>
      </c>
      <c r="G1420" s="3" t="s">
        <v>3373</v>
      </c>
      <c r="H1420" s="5">
        <v>1119</v>
      </c>
      <c r="I1420" s="3" t="s">
        <v>11</v>
      </c>
    </row>
    <row r="1421" spans="1:9" x14ac:dyDescent="0.35">
      <c r="A1421" s="3">
        <v>103405214</v>
      </c>
      <c r="B1421" s="3" t="s">
        <v>3374</v>
      </c>
      <c r="C1421" s="3" t="s">
        <v>9</v>
      </c>
      <c r="D1421" s="3" t="s">
        <v>5</v>
      </c>
      <c r="E1421" s="3" t="s">
        <v>10</v>
      </c>
      <c r="F1421" s="3" t="s">
        <v>3375</v>
      </c>
      <c r="G1421" s="3" t="s">
        <v>3376</v>
      </c>
      <c r="H1421" s="4">
        <v>4179.05</v>
      </c>
      <c r="I1421" s="3" t="s">
        <v>11</v>
      </c>
    </row>
    <row r="1422" spans="1:9" x14ac:dyDescent="0.35">
      <c r="A1422" s="3">
        <v>103405213</v>
      </c>
      <c r="B1422" s="3" t="s">
        <v>3377</v>
      </c>
      <c r="C1422" s="3" t="s">
        <v>9</v>
      </c>
      <c r="D1422" s="3" t="s">
        <v>5</v>
      </c>
      <c r="E1422" s="3" t="s">
        <v>10</v>
      </c>
      <c r="F1422" s="3" t="s">
        <v>3378</v>
      </c>
      <c r="G1422" s="3" t="s">
        <v>3379</v>
      </c>
      <c r="H1422" s="3">
        <v>969</v>
      </c>
      <c r="I1422" s="3" t="s">
        <v>11</v>
      </c>
    </row>
    <row r="1423" spans="1:9" x14ac:dyDescent="0.35">
      <c r="A1423" s="3">
        <v>103405212</v>
      </c>
      <c r="B1423" s="3" t="s">
        <v>3380</v>
      </c>
      <c r="C1423" s="3" t="s">
        <v>9</v>
      </c>
      <c r="D1423" s="3" t="s">
        <v>5</v>
      </c>
      <c r="E1423" s="3" t="s">
        <v>10</v>
      </c>
      <c r="F1423" s="3" t="s">
        <v>3381</v>
      </c>
      <c r="G1423" s="3" t="s">
        <v>3382</v>
      </c>
      <c r="H1423" s="4">
        <v>3474.15</v>
      </c>
      <c r="I1423" s="3" t="s">
        <v>11</v>
      </c>
    </row>
    <row r="1424" spans="1:9" x14ac:dyDescent="0.35">
      <c r="A1424" s="3">
        <v>103405301</v>
      </c>
      <c r="B1424" s="3" t="s">
        <v>3383</v>
      </c>
      <c r="C1424" s="3" t="s">
        <v>9</v>
      </c>
      <c r="D1424" s="3" t="s">
        <v>5</v>
      </c>
      <c r="E1424" s="3" t="s">
        <v>10</v>
      </c>
      <c r="F1424" s="3" t="s">
        <v>3384</v>
      </c>
      <c r="G1424" s="3" t="s">
        <v>3385</v>
      </c>
      <c r="H1424" s="5">
        <v>2249</v>
      </c>
      <c r="I1424" s="3" t="s">
        <v>11</v>
      </c>
    </row>
    <row r="1425" spans="1:9" x14ac:dyDescent="0.35">
      <c r="A1425" s="3">
        <v>103405299</v>
      </c>
      <c r="B1425" s="3" t="s">
        <v>3386</v>
      </c>
      <c r="C1425" s="3" t="s">
        <v>9</v>
      </c>
      <c r="D1425" s="3" t="s">
        <v>5</v>
      </c>
      <c r="E1425" s="3" t="s">
        <v>10</v>
      </c>
      <c r="F1425" s="3" t="s">
        <v>3387</v>
      </c>
      <c r="G1425" s="3" t="s">
        <v>3388</v>
      </c>
      <c r="H1425" s="3">
        <v>999</v>
      </c>
      <c r="I1425" s="3" t="s">
        <v>11</v>
      </c>
    </row>
    <row r="1426" spans="1:9" x14ac:dyDescent="0.35">
      <c r="A1426" s="3">
        <v>103405294</v>
      </c>
      <c r="B1426" s="3" t="s">
        <v>3389</v>
      </c>
      <c r="C1426" s="3" t="s">
        <v>9</v>
      </c>
      <c r="D1426" s="3" t="s">
        <v>5</v>
      </c>
      <c r="E1426" s="3" t="s">
        <v>10</v>
      </c>
      <c r="F1426" s="3" t="s">
        <v>3390</v>
      </c>
      <c r="G1426" s="3" t="s">
        <v>3391</v>
      </c>
      <c r="H1426" s="3">
        <v>809</v>
      </c>
      <c r="I1426" s="3" t="s">
        <v>11</v>
      </c>
    </row>
    <row r="1427" spans="1:9" x14ac:dyDescent="0.35">
      <c r="A1427" s="3">
        <v>103405198</v>
      </c>
      <c r="B1427" s="3" t="s">
        <v>3392</v>
      </c>
      <c r="C1427" s="3" t="s">
        <v>9</v>
      </c>
      <c r="D1427" s="3" t="s">
        <v>5</v>
      </c>
      <c r="E1427" s="3" t="s">
        <v>10</v>
      </c>
      <c r="F1427" s="3" t="s">
        <v>3393</v>
      </c>
      <c r="G1427" s="3" t="s">
        <v>3394</v>
      </c>
      <c r="H1427" s="4">
        <v>2279.0500000000002</v>
      </c>
      <c r="I1427" s="3" t="s">
        <v>11</v>
      </c>
    </row>
    <row r="1428" spans="1:9" x14ac:dyDescent="0.35">
      <c r="A1428" s="3">
        <v>103405283</v>
      </c>
      <c r="B1428" s="3" t="s">
        <v>3395</v>
      </c>
      <c r="C1428" s="3" t="s">
        <v>9</v>
      </c>
      <c r="D1428" s="3" t="s">
        <v>5</v>
      </c>
      <c r="E1428" s="3" t="s">
        <v>10</v>
      </c>
      <c r="F1428" s="3" t="s">
        <v>3396</v>
      </c>
      <c r="G1428" s="3" t="s">
        <v>3397</v>
      </c>
      <c r="H1428" s="4">
        <v>1709.05</v>
      </c>
      <c r="I1428" s="3" t="s">
        <v>11</v>
      </c>
    </row>
    <row r="1429" spans="1:9" x14ac:dyDescent="0.35">
      <c r="A1429" s="3">
        <v>103405191</v>
      </c>
      <c r="B1429" s="3" t="s">
        <v>3398</v>
      </c>
      <c r="C1429" s="3" t="s">
        <v>9</v>
      </c>
      <c r="D1429" s="3" t="s">
        <v>5</v>
      </c>
      <c r="E1429" s="3" t="s">
        <v>10</v>
      </c>
      <c r="F1429" s="3" t="s">
        <v>3399</v>
      </c>
      <c r="G1429" s="3" t="s">
        <v>3400</v>
      </c>
      <c r="H1429" s="4">
        <v>1619.1</v>
      </c>
      <c r="I1429" s="3" t="s">
        <v>11</v>
      </c>
    </row>
    <row r="1430" spans="1:9" x14ac:dyDescent="0.35">
      <c r="A1430" s="3">
        <v>103405189</v>
      </c>
      <c r="B1430" s="3" t="s">
        <v>3401</v>
      </c>
      <c r="C1430" s="3" t="s">
        <v>9</v>
      </c>
      <c r="D1430" s="3" t="s">
        <v>5</v>
      </c>
      <c r="E1430" s="3" t="s">
        <v>12</v>
      </c>
      <c r="F1430" s="3" t="s">
        <v>3402</v>
      </c>
      <c r="G1430" s="3" t="s">
        <v>3403</v>
      </c>
      <c r="H1430" s="5">
        <v>1869</v>
      </c>
      <c r="I1430" s="3" t="s">
        <v>11</v>
      </c>
    </row>
    <row r="1431" spans="1:9" x14ac:dyDescent="0.35">
      <c r="A1431" s="3">
        <v>103405182</v>
      </c>
      <c r="B1431" s="3" t="s">
        <v>3404</v>
      </c>
      <c r="C1431" s="3" t="s">
        <v>9</v>
      </c>
      <c r="D1431" s="3" t="s">
        <v>5</v>
      </c>
      <c r="E1431" s="3" t="s">
        <v>10</v>
      </c>
      <c r="F1431" s="3" t="s">
        <v>3405</v>
      </c>
      <c r="G1431" s="3" t="s">
        <v>3406</v>
      </c>
      <c r="H1431" s="5">
        <v>1099</v>
      </c>
      <c r="I1431" s="3" t="s">
        <v>11</v>
      </c>
    </row>
    <row r="1432" spans="1:9" x14ac:dyDescent="0.35">
      <c r="A1432" s="3">
        <v>103405269</v>
      </c>
      <c r="B1432" s="3" t="s">
        <v>3407</v>
      </c>
      <c r="C1432" s="3" t="s">
        <v>9</v>
      </c>
      <c r="D1432" s="3" t="s">
        <v>5</v>
      </c>
      <c r="E1432" s="3" t="s">
        <v>10</v>
      </c>
      <c r="F1432" s="3" t="s">
        <v>3408</v>
      </c>
      <c r="G1432" s="3" t="s">
        <v>3409</v>
      </c>
      <c r="H1432" s="5">
        <v>2399</v>
      </c>
      <c r="I1432" s="3" t="s">
        <v>11</v>
      </c>
    </row>
    <row r="1433" spans="1:9" x14ac:dyDescent="0.35">
      <c r="A1433" s="3">
        <v>103405181</v>
      </c>
      <c r="B1433" s="3" t="s">
        <v>3410</v>
      </c>
      <c r="C1433" s="3" t="s">
        <v>9</v>
      </c>
      <c r="D1433" s="3" t="s">
        <v>5</v>
      </c>
      <c r="E1433" s="3" t="s">
        <v>10</v>
      </c>
      <c r="F1433" s="3" t="s">
        <v>3411</v>
      </c>
      <c r="G1433" s="3" t="s">
        <v>3412</v>
      </c>
      <c r="H1433" s="4">
        <v>1079.0999999999999</v>
      </c>
      <c r="I1433" s="3" t="s">
        <v>11</v>
      </c>
    </row>
    <row r="1434" spans="1:9" x14ac:dyDescent="0.35">
      <c r="A1434" s="3">
        <v>103405179</v>
      </c>
      <c r="B1434" s="3" t="s">
        <v>3413</v>
      </c>
      <c r="C1434" s="3" t="s">
        <v>9</v>
      </c>
      <c r="D1434" s="3" t="s">
        <v>5</v>
      </c>
      <c r="E1434" s="3" t="s">
        <v>10</v>
      </c>
      <c r="F1434" s="3" t="s">
        <v>3414</v>
      </c>
      <c r="G1434" s="3" t="s">
        <v>3415</v>
      </c>
      <c r="H1434" s="5">
        <v>1249</v>
      </c>
      <c r="I1434" s="3" t="s">
        <v>11</v>
      </c>
    </row>
    <row r="1435" spans="1:9" x14ac:dyDescent="0.35">
      <c r="A1435" s="3">
        <v>103405265</v>
      </c>
      <c r="B1435" s="3" t="s">
        <v>3416</v>
      </c>
      <c r="C1435" s="3" t="s">
        <v>9</v>
      </c>
      <c r="D1435" s="3" t="s">
        <v>5</v>
      </c>
      <c r="E1435" s="3" t="s">
        <v>10</v>
      </c>
      <c r="F1435" s="3" t="s">
        <v>3417</v>
      </c>
      <c r="G1435" s="3" t="s">
        <v>3418</v>
      </c>
      <c r="H1435" s="5">
        <v>5998</v>
      </c>
      <c r="I1435" s="3" t="s">
        <v>11</v>
      </c>
    </row>
    <row r="1436" spans="1:9" x14ac:dyDescent="0.35">
      <c r="A1436" s="3">
        <v>103405178</v>
      </c>
      <c r="B1436" s="3" t="s">
        <v>3419</v>
      </c>
      <c r="C1436" s="3" t="s">
        <v>9</v>
      </c>
      <c r="D1436" s="3" t="s">
        <v>5</v>
      </c>
      <c r="E1436" s="3" t="s">
        <v>10</v>
      </c>
      <c r="F1436" s="3" t="s">
        <v>3420</v>
      </c>
      <c r="G1436" s="3" t="s">
        <v>3421</v>
      </c>
      <c r="H1436" s="3">
        <v>580.54</v>
      </c>
      <c r="I1436" s="3" t="s">
        <v>11</v>
      </c>
    </row>
    <row r="1437" spans="1:9" x14ac:dyDescent="0.35">
      <c r="A1437" s="3">
        <v>103405171</v>
      </c>
      <c r="B1437" s="3" t="s">
        <v>3422</v>
      </c>
      <c r="C1437" s="3" t="s">
        <v>9</v>
      </c>
      <c r="D1437" s="3" t="s">
        <v>5</v>
      </c>
      <c r="E1437" s="3" t="s">
        <v>10</v>
      </c>
      <c r="F1437" s="3" t="s">
        <v>3423</v>
      </c>
      <c r="G1437" s="3" t="s">
        <v>3424</v>
      </c>
      <c r="H1437" s="5">
        <v>2249</v>
      </c>
      <c r="I1437" s="3" t="s">
        <v>11</v>
      </c>
    </row>
    <row r="1438" spans="1:9" x14ac:dyDescent="0.35">
      <c r="A1438" s="3">
        <v>103405169</v>
      </c>
      <c r="B1438" s="3" t="s">
        <v>3425</v>
      </c>
      <c r="C1438" s="3" t="s">
        <v>9</v>
      </c>
      <c r="D1438" s="3" t="s">
        <v>5</v>
      </c>
      <c r="E1438" s="3" t="s">
        <v>12</v>
      </c>
      <c r="F1438" s="3" t="s">
        <v>3426</v>
      </c>
      <c r="G1438" s="3" t="s">
        <v>3427</v>
      </c>
      <c r="H1438" s="5">
        <v>3149</v>
      </c>
      <c r="I1438" s="3" t="s">
        <v>11</v>
      </c>
    </row>
    <row r="1439" spans="1:9" x14ac:dyDescent="0.35">
      <c r="A1439" s="3">
        <v>103405147</v>
      </c>
      <c r="B1439" s="3" t="s">
        <v>3428</v>
      </c>
      <c r="C1439" s="3" t="s">
        <v>9</v>
      </c>
      <c r="D1439" s="3" t="s">
        <v>5</v>
      </c>
      <c r="E1439" s="3" t="s">
        <v>10</v>
      </c>
      <c r="F1439" s="3" t="s">
        <v>3429</v>
      </c>
      <c r="G1439" s="3" t="s">
        <v>3430</v>
      </c>
      <c r="H1439" s="4">
        <v>1110.55</v>
      </c>
      <c r="I1439" s="3" t="s">
        <v>11</v>
      </c>
    </row>
    <row r="1440" spans="1:9" x14ac:dyDescent="0.35">
      <c r="A1440" s="3">
        <v>103405146</v>
      </c>
      <c r="B1440" s="3" t="s">
        <v>3431</v>
      </c>
      <c r="C1440" s="3" t="s">
        <v>9</v>
      </c>
      <c r="D1440" s="3" t="s">
        <v>5</v>
      </c>
      <c r="E1440" s="3" t="s">
        <v>10</v>
      </c>
      <c r="F1440" s="3" t="s">
        <v>1386</v>
      </c>
      <c r="G1440" s="3" t="s">
        <v>1387</v>
      </c>
      <c r="H1440" s="4">
        <v>1649.45</v>
      </c>
      <c r="I1440" s="3" t="s">
        <v>11</v>
      </c>
    </row>
    <row r="1441" spans="1:9" x14ac:dyDescent="0.35">
      <c r="A1441" s="3">
        <v>103405141</v>
      </c>
      <c r="B1441" s="3" t="s">
        <v>3432</v>
      </c>
      <c r="C1441" s="3" t="s">
        <v>9</v>
      </c>
      <c r="D1441" s="3" t="s">
        <v>5</v>
      </c>
      <c r="E1441" s="3" t="s">
        <v>10</v>
      </c>
      <c r="F1441" s="3" t="s">
        <v>3433</v>
      </c>
      <c r="G1441" s="3" t="s">
        <v>3434</v>
      </c>
      <c r="H1441" s="3">
        <v>669</v>
      </c>
      <c r="I1441" s="3" t="s">
        <v>11</v>
      </c>
    </row>
    <row r="1442" spans="1:9" x14ac:dyDescent="0.35">
      <c r="A1442" s="3">
        <v>103405063</v>
      </c>
      <c r="B1442" s="3" t="s">
        <v>3435</v>
      </c>
      <c r="C1442" s="3" t="s">
        <v>9</v>
      </c>
      <c r="D1442" s="3" t="s">
        <v>5</v>
      </c>
      <c r="E1442" s="3" t="s">
        <v>10</v>
      </c>
      <c r="F1442" s="3" t="s">
        <v>3436</v>
      </c>
      <c r="G1442" s="3" t="s">
        <v>3437</v>
      </c>
      <c r="H1442" s="3">
        <v>489</v>
      </c>
      <c r="I1442" s="3" t="s">
        <v>11</v>
      </c>
    </row>
    <row r="1443" spans="1:9" x14ac:dyDescent="0.35">
      <c r="A1443" s="3">
        <v>103405139</v>
      </c>
      <c r="B1443" s="3" t="s">
        <v>3438</v>
      </c>
      <c r="C1443" s="3" t="s">
        <v>9</v>
      </c>
      <c r="D1443" s="3" t="s">
        <v>5</v>
      </c>
      <c r="E1443" s="3" t="s">
        <v>10</v>
      </c>
      <c r="F1443" s="3" t="s">
        <v>3439</v>
      </c>
      <c r="G1443" s="3" t="s">
        <v>3440</v>
      </c>
      <c r="H1443" s="4">
        <v>3517.94</v>
      </c>
      <c r="I1443" s="3" t="s">
        <v>11</v>
      </c>
    </row>
    <row r="1444" spans="1:9" x14ac:dyDescent="0.35">
      <c r="A1444" s="3">
        <v>103405061</v>
      </c>
      <c r="B1444" s="3" t="s">
        <v>3441</v>
      </c>
      <c r="C1444" s="3" t="s">
        <v>9</v>
      </c>
      <c r="D1444" s="3" t="s">
        <v>5</v>
      </c>
      <c r="E1444" s="3" t="s">
        <v>10</v>
      </c>
      <c r="F1444" s="3" t="s">
        <v>3442</v>
      </c>
      <c r="G1444" s="3" t="s">
        <v>3443</v>
      </c>
      <c r="H1444" s="4">
        <v>1899.05</v>
      </c>
      <c r="I1444" s="3" t="s">
        <v>11</v>
      </c>
    </row>
    <row r="1445" spans="1:9" x14ac:dyDescent="0.35">
      <c r="A1445" s="3">
        <v>103405130</v>
      </c>
      <c r="B1445" s="3" t="s">
        <v>4798</v>
      </c>
      <c r="C1445" s="3" t="s">
        <v>9</v>
      </c>
      <c r="D1445" s="3" t="s">
        <v>5</v>
      </c>
      <c r="E1445" s="3" t="s">
        <v>10</v>
      </c>
      <c r="F1445" s="3" t="s">
        <v>4799</v>
      </c>
      <c r="G1445" s="3" t="s">
        <v>4800</v>
      </c>
      <c r="H1445" s="3">
        <v>995.6</v>
      </c>
      <c r="I1445" s="3" t="s">
        <v>13</v>
      </c>
    </row>
    <row r="1446" spans="1:9" x14ac:dyDescent="0.35">
      <c r="A1446" s="3">
        <v>103405127</v>
      </c>
      <c r="B1446" s="3" t="s">
        <v>3444</v>
      </c>
      <c r="C1446" s="3" t="s">
        <v>9</v>
      </c>
      <c r="D1446" s="3" t="s">
        <v>5</v>
      </c>
      <c r="E1446" s="3" t="s">
        <v>10</v>
      </c>
      <c r="F1446" s="3" t="s">
        <v>3445</v>
      </c>
      <c r="G1446" s="3" t="s">
        <v>3446</v>
      </c>
      <c r="H1446" s="4">
        <v>5984.05</v>
      </c>
      <c r="I1446" s="3" t="s">
        <v>11</v>
      </c>
    </row>
    <row r="1447" spans="1:9" x14ac:dyDescent="0.35">
      <c r="A1447" s="3">
        <v>103405057</v>
      </c>
      <c r="B1447" s="3" t="s">
        <v>3447</v>
      </c>
      <c r="C1447" s="3" t="s">
        <v>9</v>
      </c>
      <c r="D1447" s="3" t="s">
        <v>5</v>
      </c>
      <c r="E1447" s="3" t="s">
        <v>10</v>
      </c>
      <c r="F1447" s="3" t="s">
        <v>3448</v>
      </c>
      <c r="G1447" s="3" t="s">
        <v>3449</v>
      </c>
      <c r="H1447" s="3">
        <v>998</v>
      </c>
      <c r="I1447" s="3" t="s">
        <v>11</v>
      </c>
    </row>
    <row r="1448" spans="1:9" x14ac:dyDescent="0.35">
      <c r="A1448" s="3">
        <v>103405056</v>
      </c>
      <c r="B1448" s="3" t="s">
        <v>3450</v>
      </c>
      <c r="C1448" s="3" t="s">
        <v>9</v>
      </c>
      <c r="D1448" s="3" t="s">
        <v>5</v>
      </c>
      <c r="E1448" s="3" t="s">
        <v>10</v>
      </c>
      <c r="F1448" s="3" t="s">
        <v>3451</v>
      </c>
      <c r="G1448" s="3" t="s">
        <v>3452</v>
      </c>
      <c r="H1448" s="4">
        <v>3370.6</v>
      </c>
      <c r="I1448" s="3" t="s">
        <v>11</v>
      </c>
    </row>
    <row r="1449" spans="1:9" x14ac:dyDescent="0.35">
      <c r="A1449" s="3">
        <v>103405116</v>
      </c>
      <c r="B1449" s="3" t="s">
        <v>3453</v>
      </c>
      <c r="C1449" s="3" t="s">
        <v>9</v>
      </c>
      <c r="D1449" s="3" t="s">
        <v>5</v>
      </c>
      <c r="E1449" s="3" t="s">
        <v>12</v>
      </c>
      <c r="F1449" s="3" t="s">
        <v>3454</v>
      </c>
      <c r="G1449" s="3" t="s">
        <v>3455</v>
      </c>
      <c r="H1449" s="3">
        <v>549</v>
      </c>
      <c r="I1449" s="3" t="s">
        <v>11</v>
      </c>
    </row>
    <row r="1450" spans="1:9" x14ac:dyDescent="0.35">
      <c r="A1450" s="3">
        <v>103405114</v>
      </c>
      <c r="B1450" s="3" t="s">
        <v>3456</v>
      </c>
      <c r="C1450" s="3" t="s">
        <v>9</v>
      </c>
      <c r="D1450" s="3" t="s">
        <v>5</v>
      </c>
      <c r="E1450" s="3" t="s">
        <v>10</v>
      </c>
      <c r="F1450" s="3" t="s">
        <v>3457</v>
      </c>
      <c r="G1450" s="3" t="s">
        <v>3458</v>
      </c>
      <c r="H1450" s="3">
        <v>819</v>
      </c>
      <c r="I1450" s="3" t="s">
        <v>11</v>
      </c>
    </row>
    <row r="1451" spans="1:9" x14ac:dyDescent="0.35">
      <c r="A1451" s="3">
        <v>103405051</v>
      </c>
      <c r="B1451" s="3" t="s">
        <v>3459</v>
      </c>
      <c r="C1451" s="3" t="s">
        <v>9</v>
      </c>
      <c r="D1451" s="3" t="s">
        <v>5</v>
      </c>
      <c r="E1451" s="3" t="s">
        <v>10</v>
      </c>
      <c r="F1451" s="3" t="s">
        <v>3460</v>
      </c>
      <c r="G1451" s="3" t="s">
        <v>3461</v>
      </c>
      <c r="H1451" s="4">
        <v>1262.5999999999999</v>
      </c>
      <c r="I1451" s="3" t="s">
        <v>11</v>
      </c>
    </row>
    <row r="1452" spans="1:9" x14ac:dyDescent="0.35">
      <c r="A1452" s="3">
        <v>103405047</v>
      </c>
      <c r="B1452" s="3" t="s">
        <v>3462</v>
      </c>
      <c r="C1452" s="3" t="s">
        <v>9</v>
      </c>
      <c r="D1452" s="3" t="s">
        <v>5</v>
      </c>
      <c r="E1452" s="3" t="s">
        <v>10</v>
      </c>
      <c r="F1452" s="3" t="s">
        <v>3463</v>
      </c>
      <c r="G1452" s="3" t="s">
        <v>3464</v>
      </c>
      <c r="H1452" s="4">
        <v>4414.6499999999996</v>
      </c>
      <c r="I1452" s="3" t="s">
        <v>11</v>
      </c>
    </row>
    <row r="1453" spans="1:9" x14ac:dyDescent="0.35">
      <c r="A1453" s="3">
        <v>103405046</v>
      </c>
      <c r="B1453" s="3" t="s">
        <v>3465</v>
      </c>
      <c r="C1453" s="3" t="s">
        <v>9</v>
      </c>
      <c r="D1453" s="3" t="s">
        <v>5</v>
      </c>
      <c r="E1453" s="3" t="s">
        <v>10</v>
      </c>
      <c r="F1453" s="3" t="s">
        <v>3466</v>
      </c>
      <c r="G1453" s="3" t="s">
        <v>3467</v>
      </c>
      <c r="H1453" s="4">
        <v>4179.05</v>
      </c>
      <c r="I1453" s="3" t="s">
        <v>11</v>
      </c>
    </row>
    <row r="1454" spans="1:9" x14ac:dyDescent="0.35">
      <c r="A1454" s="3">
        <v>103405109</v>
      </c>
      <c r="B1454" s="3" t="s">
        <v>3468</v>
      </c>
      <c r="C1454" s="3" t="s">
        <v>9</v>
      </c>
      <c r="D1454" s="3" t="s">
        <v>5</v>
      </c>
      <c r="E1454" s="3" t="s">
        <v>10</v>
      </c>
      <c r="F1454" s="3" t="s">
        <v>3469</v>
      </c>
      <c r="G1454" s="3" t="s">
        <v>3470</v>
      </c>
      <c r="H1454" s="4">
        <v>1310.05</v>
      </c>
      <c r="I1454" s="3" t="s">
        <v>11</v>
      </c>
    </row>
    <row r="1455" spans="1:9" x14ac:dyDescent="0.35">
      <c r="A1455" s="3">
        <v>103405104</v>
      </c>
      <c r="B1455" s="3" t="s">
        <v>4801</v>
      </c>
      <c r="C1455" s="3" t="s">
        <v>9</v>
      </c>
      <c r="D1455" s="3" t="s">
        <v>5</v>
      </c>
      <c r="E1455" s="3" t="s">
        <v>10</v>
      </c>
      <c r="F1455" s="3" t="s">
        <v>3442</v>
      </c>
      <c r="G1455" s="3" t="s">
        <v>3443</v>
      </c>
      <c r="H1455" s="4">
        <v>1804.1</v>
      </c>
      <c r="I1455" s="3" t="s">
        <v>13</v>
      </c>
    </row>
    <row r="1456" spans="1:9" x14ac:dyDescent="0.35">
      <c r="A1456" s="3">
        <v>103405039</v>
      </c>
      <c r="B1456" s="3" t="s">
        <v>3471</v>
      </c>
      <c r="C1456" s="3" t="s">
        <v>9</v>
      </c>
      <c r="D1456" s="3" t="s">
        <v>5</v>
      </c>
      <c r="E1456" s="3" t="s">
        <v>10</v>
      </c>
      <c r="F1456" s="3" t="s">
        <v>3472</v>
      </c>
      <c r="G1456" s="3" t="s">
        <v>3473</v>
      </c>
      <c r="H1456" s="3">
        <v>986.1</v>
      </c>
      <c r="I1456" s="3" t="s">
        <v>11</v>
      </c>
    </row>
    <row r="1457" spans="1:9" x14ac:dyDescent="0.35">
      <c r="A1457" s="3">
        <v>103405102</v>
      </c>
      <c r="B1457" s="3" t="s">
        <v>3474</v>
      </c>
      <c r="C1457" s="3" t="s">
        <v>9</v>
      </c>
      <c r="D1457" s="3" t="s">
        <v>5</v>
      </c>
      <c r="E1457" s="3" t="s">
        <v>10</v>
      </c>
      <c r="F1457" s="3" t="s">
        <v>3475</v>
      </c>
      <c r="G1457" s="3" t="s">
        <v>3476</v>
      </c>
      <c r="H1457" s="5">
        <v>1809</v>
      </c>
      <c r="I1457" s="3" t="s">
        <v>11</v>
      </c>
    </row>
    <row r="1458" spans="1:9" x14ac:dyDescent="0.35">
      <c r="A1458" s="3">
        <v>103405099</v>
      </c>
      <c r="B1458" s="3" t="s">
        <v>3477</v>
      </c>
      <c r="C1458" s="3" t="s">
        <v>9</v>
      </c>
      <c r="D1458" s="3" t="s">
        <v>5</v>
      </c>
      <c r="E1458" s="3" t="s">
        <v>10</v>
      </c>
      <c r="F1458" s="3" t="s">
        <v>3478</v>
      </c>
      <c r="G1458" s="3" t="s">
        <v>3479</v>
      </c>
      <c r="H1458" s="3">
        <v>359</v>
      </c>
      <c r="I1458" s="3" t="s">
        <v>11</v>
      </c>
    </row>
    <row r="1459" spans="1:9" x14ac:dyDescent="0.35">
      <c r="A1459" s="3">
        <v>103405098</v>
      </c>
      <c r="B1459" s="3" t="s">
        <v>3480</v>
      </c>
      <c r="C1459" s="3" t="s">
        <v>9</v>
      </c>
      <c r="D1459" s="3" t="s">
        <v>5</v>
      </c>
      <c r="E1459" s="3" t="s">
        <v>10</v>
      </c>
      <c r="F1459" s="3" t="s">
        <v>439</v>
      </c>
      <c r="G1459" s="3" t="s">
        <v>440</v>
      </c>
      <c r="H1459" s="5">
        <v>2309</v>
      </c>
      <c r="I1459" s="3" t="s">
        <v>11</v>
      </c>
    </row>
    <row r="1460" spans="1:9" x14ac:dyDescent="0.35">
      <c r="A1460" s="3">
        <v>103405037</v>
      </c>
      <c r="B1460" s="3" t="s">
        <v>3481</v>
      </c>
      <c r="C1460" s="3" t="s">
        <v>9</v>
      </c>
      <c r="D1460" s="3" t="s">
        <v>5</v>
      </c>
      <c r="E1460" s="3" t="s">
        <v>10</v>
      </c>
      <c r="F1460" s="3" t="s">
        <v>3482</v>
      </c>
      <c r="G1460" s="3" t="s">
        <v>3483</v>
      </c>
      <c r="H1460" s="4">
        <v>1964.6</v>
      </c>
      <c r="I1460" s="3" t="s">
        <v>11</v>
      </c>
    </row>
    <row r="1461" spans="1:9" x14ac:dyDescent="0.35">
      <c r="A1461" s="3">
        <v>103405034</v>
      </c>
      <c r="B1461" s="3" t="s">
        <v>3484</v>
      </c>
      <c r="C1461" s="3" t="s">
        <v>9</v>
      </c>
      <c r="D1461" s="3" t="s">
        <v>5</v>
      </c>
      <c r="E1461" s="3" t="s">
        <v>10</v>
      </c>
      <c r="F1461" s="3" t="s">
        <v>3485</v>
      </c>
      <c r="G1461" s="3" t="s">
        <v>3486</v>
      </c>
      <c r="H1461" s="5">
        <v>1649</v>
      </c>
      <c r="I1461" s="3" t="s">
        <v>11</v>
      </c>
    </row>
    <row r="1462" spans="1:9" x14ac:dyDescent="0.35">
      <c r="A1462" s="3">
        <v>103405089</v>
      </c>
      <c r="B1462" s="3" t="s">
        <v>3487</v>
      </c>
      <c r="C1462" s="3" t="s">
        <v>9</v>
      </c>
      <c r="D1462" s="3" t="s">
        <v>5</v>
      </c>
      <c r="E1462" s="3" t="s">
        <v>10</v>
      </c>
      <c r="F1462" s="3" t="s">
        <v>3488</v>
      </c>
      <c r="G1462" s="3" t="s">
        <v>3489</v>
      </c>
      <c r="H1462" s="4">
        <v>1405.05</v>
      </c>
      <c r="I1462" s="3" t="s">
        <v>11</v>
      </c>
    </row>
    <row r="1463" spans="1:9" x14ac:dyDescent="0.35">
      <c r="A1463" s="3">
        <v>103405085</v>
      </c>
      <c r="B1463" s="3" t="s">
        <v>3490</v>
      </c>
      <c r="C1463" s="3" t="s">
        <v>9</v>
      </c>
      <c r="D1463" s="3" t="s">
        <v>5</v>
      </c>
      <c r="E1463" s="3" t="s">
        <v>10</v>
      </c>
      <c r="F1463" s="3" t="s">
        <v>3491</v>
      </c>
      <c r="G1463" s="3" t="s">
        <v>3492</v>
      </c>
      <c r="H1463" s="4">
        <v>1897.15</v>
      </c>
      <c r="I1463" s="3" t="s">
        <v>11</v>
      </c>
    </row>
    <row r="1464" spans="1:9" x14ac:dyDescent="0.35">
      <c r="A1464" s="3">
        <v>103405030</v>
      </c>
      <c r="B1464" s="3" t="s">
        <v>3493</v>
      </c>
      <c r="C1464" s="3" t="s">
        <v>9</v>
      </c>
      <c r="D1464" s="3" t="s">
        <v>5</v>
      </c>
      <c r="E1464" s="3" t="s">
        <v>10</v>
      </c>
      <c r="F1464" s="3" t="s">
        <v>3494</v>
      </c>
      <c r="G1464" s="3" t="s">
        <v>3495</v>
      </c>
      <c r="H1464" s="4">
        <v>4701.55</v>
      </c>
      <c r="I1464" s="3" t="s">
        <v>11</v>
      </c>
    </row>
    <row r="1465" spans="1:9" x14ac:dyDescent="0.35">
      <c r="A1465" s="3">
        <v>103405080</v>
      </c>
      <c r="B1465" s="3" t="s">
        <v>3496</v>
      </c>
      <c r="C1465" s="3" t="s">
        <v>9</v>
      </c>
      <c r="D1465" s="3" t="s">
        <v>5</v>
      </c>
      <c r="E1465" s="3" t="s">
        <v>10</v>
      </c>
      <c r="F1465" s="3" t="s">
        <v>3390</v>
      </c>
      <c r="G1465" s="3" t="s">
        <v>3391</v>
      </c>
      <c r="H1465" s="5">
        <v>1139</v>
      </c>
      <c r="I1465" s="3" t="s">
        <v>11</v>
      </c>
    </row>
    <row r="1466" spans="1:9" x14ac:dyDescent="0.35">
      <c r="A1466" s="3">
        <v>103405025</v>
      </c>
      <c r="B1466" s="3" t="s">
        <v>3497</v>
      </c>
      <c r="C1466" s="3" t="s">
        <v>9</v>
      </c>
      <c r="D1466" s="3" t="s">
        <v>5</v>
      </c>
      <c r="E1466" s="3" t="s">
        <v>12</v>
      </c>
      <c r="F1466" s="3" t="s">
        <v>3498</v>
      </c>
      <c r="G1466" s="3" t="s">
        <v>3499</v>
      </c>
      <c r="H1466" s="3">
        <v>569.04999999999995</v>
      </c>
      <c r="I1466" s="3" t="s">
        <v>11</v>
      </c>
    </row>
    <row r="1467" spans="1:9" x14ac:dyDescent="0.35">
      <c r="A1467" s="3">
        <v>103405023</v>
      </c>
      <c r="B1467" s="3" t="s">
        <v>3500</v>
      </c>
      <c r="C1467" s="3" t="s">
        <v>9</v>
      </c>
      <c r="D1467" s="3" t="s">
        <v>5</v>
      </c>
      <c r="E1467" s="3" t="s">
        <v>10</v>
      </c>
      <c r="F1467" s="3" t="s">
        <v>3501</v>
      </c>
      <c r="G1467" s="3" t="s">
        <v>3502</v>
      </c>
      <c r="H1467" s="4">
        <v>2279.0500000000002</v>
      </c>
      <c r="I1467" s="3" t="s">
        <v>11</v>
      </c>
    </row>
    <row r="1468" spans="1:9" x14ac:dyDescent="0.35">
      <c r="A1468" s="3">
        <v>103405076</v>
      </c>
      <c r="B1468" s="3" t="s">
        <v>3503</v>
      </c>
      <c r="C1468" s="3" t="s">
        <v>9</v>
      </c>
      <c r="D1468" s="3" t="s">
        <v>5</v>
      </c>
      <c r="E1468" s="3" t="s">
        <v>12</v>
      </c>
      <c r="F1468" s="3" t="s">
        <v>3504</v>
      </c>
      <c r="G1468" s="3" t="s">
        <v>3505</v>
      </c>
      <c r="H1468" s="4">
        <v>1551.4</v>
      </c>
      <c r="I1468" s="3" t="s">
        <v>11</v>
      </c>
    </row>
    <row r="1469" spans="1:9" x14ac:dyDescent="0.35">
      <c r="A1469" s="3">
        <v>103405021</v>
      </c>
      <c r="B1469" s="3" t="s">
        <v>3506</v>
      </c>
      <c r="C1469" s="3" t="s">
        <v>9</v>
      </c>
      <c r="D1469" s="3" t="s">
        <v>5</v>
      </c>
      <c r="E1469" s="3" t="s">
        <v>10</v>
      </c>
      <c r="F1469" s="3" t="s">
        <v>3507</v>
      </c>
      <c r="G1469" s="3" t="s">
        <v>3508</v>
      </c>
      <c r="H1469" s="3">
        <v>719.1</v>
      </c>
      <c r="I1469" s="3" t="s">
        <v>11</v>
      </c>
    </row>
    <row r="1470" spans="1:9" x14ac:dyDescent="0.35">
      <c r="A1470" s="3">
        <v>103405020</v>
      </c>
      <c r="B1470" s="3" t="s">
        <v>3509</v>
      </c>
      <c r="C1470" s="3" t="s">
        <v>9</v>
      </c>
      <c r="D1470" s="3" t="s">
        <v>5</v>
      </c>
      <c r="E1470" s="3" t="s">
        <v>10</v>
      </c>
      <c r="F1470" s="3" t="s">
        <v>3510</v>
      </c>
      <c r="G1470" s="3" t="s">
        <v>3511</v>
      </c>
      <c r="H1470" s="4">
        <v>4724.25</v>
      </c>
      <c r="I1470" s="3" t="s">
        <v>11</v>
      </c>
    </row>
    <row r="1471" spans="1:9" x14ac:dyDescent="0.35">
      <c r="A1471" s="3">
        <v>103405013</v>
      </c>
      <c r="B1471" s="3" t="s">
        <v>3512</v>
      </c>
      <c r="C1471" s="3" t="s">
        <v>9</v>
      </c>
      <c r="D1471" s="3" t="s">
        <v>5</v>
      </c>
      <c r="E1471" s="3" t="s">
        <v>10</v>
      </c>
      <c r="F1471" s="3" t="s">
        <v>3510</v>
      </c>
      <c r="G1471" s="3" t="s">
        <v>3511</v>
      </c>
      <c r="H1471" s="4">
        <v>1049.25</v>
      </c>
      <c r="I1471" s="3" t="s">
        <v>11</v>
      </c>
    </row>
    <row r="1472" spans="1:9" x14ac:dyDescent="0.35">
      <c r="A1472" s="3">
        <v>103404963</v>
      </c>
      <c r="B1472" s="3" t="s">
        <v>3513</v>
      </c>
      <c r="C1472" s="3" t="s">
        <v>9</v>
      </c>
      <c r="D1472" s="3" t="s">
        <v>5</v>
      </c>
      <c r="E1472" s="3" t="s">
        <v>10</v>
      </c>
      <c r="F1472" s="3" t="s">
        <v>3514</v>
      </c>
      <c r="G1472" s="3" t="s">
        <v>3515</v>
      </c>
      <c r="H1472" s="5">
        <v>2099</v>
      </c>
      <c r="I1472" s="3" t="s">
        <v>11</v>
      </c>
    </row>
    <row r="1473" spans="1:9" x14ac:dyDescent="0.35">
      <c r="A1473" s="3">
        <v>103405004</v>
      </c>
      <c r="B1473" s="3" t="s">
        <v>3516</v>
      </c>
      <c r="C1473" s="3" t="s">
        <v>9</v>
      </c>
      <c r="D1473" s="3" t="s">
        <v>5</v>
      </c>
      <c r="E1473" s="3" t="s">
        <v>10</v>
      </c>
      <c r="F1473" s="3" t="s">
        <v>3517</v>
      </c>
      <c r="G1473" s="3" t="s">
        <v>3518</v>
      </c>
      <c r="H1473" s="5">
        <v>2599</v>
      </c>
      <c r="I1473" s="3" t="s">
        <v>11</v>
      </c>
    </row>
    <row r="1474" spans="1:9" x14ac:dyDescent="0.35">
      <c r="A1474" s="3">
        <v>103404951</v>
      </c>
      <c r="B1474" s="3" t="s">
        <v>3519</v>
      </c>
      <c r="C1474" s="3" t="s">
        <v>9</v>
      </c>
      <c r="D1474" s="3" t="s">
        <v>5</v>
      </c>
      <c r="E1474" s="3" t="s">
        <v>12</v>
      </c>
      <c r="F1474" s="3" t="s">
        <v>3520</v>
      </c>
      <c r="G1474" s="3" t="s">
        <v>3521</v>
      </c>
      <c r="H1474" s="5">
        <v>3899</v>
      </c>
      <c r="I1474" s="3" t="s">
        <v>11</v>
      </c>
    </row>
    <row r="1475" spans="1:9" x14ac:dyDescent="0.35">
      <c r="A1475" s="3">
        <v>103404994</v>
      </c>
      <c r="B1475" s="3" t="s">
        <v>3522</v>
      </c>
      <c r="C1475" s="3" t="s">
        <v>9</v>
      </c>
      <c r="D1475" s="3" t="s">
        <v>5</v>
      </c>
      <c r="E1475" s="3" t="s">
        <v>10</v>
      </c>
      <c r="F1475" s="3" t="s">
        <v>3523</v>
      </c>
      <c r="G1475" s="3" t="s">
        <v>3524</v>
      </c>
      <c r="H1475" s="4">
        <v>3607.15</v>
      </c>
      <c r="I1475" s="3" t="s">
        <v>13</v>
      </c>
    </row>
    <row r="1476" spans="1:9" x14ac:dyDescent="0.35">
      <c r="A1476" s="3">
        <v>103404993</v>
      </c>
      <c r="B1476" s="3" t="s">
        <v>4802</v>
      </c>
      <c r="C1476" s="3" t="s">
        <v>9</v>
      </c>
      <c r="D1476" s="3" t="s">
        <v>5</v>
      </c>
      <c r="E1476" s="3" t="s">
        <v>12</v>
      </c>
      <c r="F1476" s="3" t="s">
        <v>4803</v>
      </c>
      <c r="G1476" s="3" t="s">
        <v>4804</v>
      </c>
      <c r="H1476" s="4">
        <v>2279.0500000000002</v>
      </c>
      <c r="I1476" s="3" t="s">
        <v>13</v>
      </c>
    </row>
    <row r="1477" spans="1:9" x14ac:dyDescent="0.35">
      <c r="A1477" s="3">
        <v>103404992</v>
      </c>
      <c r="B1477" s="3" t="s">
        <v>3525</v>
      </c>
      <c r="C1477" s="3" t="s">
        <v>9</v>
      </c>
      <c r="D1477" s="3" t="s">
        <v>5</v>
      </c>
      <c r="E1477" s="3" t="s">
        <v>10</v>
      </c>
      <c r="F1477" s="3" t="s">
        <v>3526</v>
      </c>
      <c r="G1477" s="3" t="s">
        <v>3527</v>
      </c>
      <c r="H1477" s="5">
        <v>6038</v>
      </c>
      <c r="I1477" s="3" t="s">
        <v>11</v>
      </c>
    </row>
    <row r="1478" spans="1:9" x14ac:dyDescent="0.35">
      <c r="A1478" s="3">
        <v>103404991</v>
      </c>
      <c r="B1478" s="3" t="s">
        <v>3528</v>
      </c>
      <c r="C1478" s="3" t="s">
        <v>9</v>
      </c>
      <c r="D1478" s="3" t="s">
        <v>5</v>
      </c>
      <c r="E1478" s="3" t="s">
        <v>10</v>
      </c>
      <c r="F1478" s="3" t="s">
        <v>3529</v>
      </c>
      <c r="G1478" s="3" t="s">
        <v>3530</v>
      </c>
      <c r="H1478" s="4">
        <v>3324.05</v>
      </c>
      <c r="I1478" s="3" t="s">
        <v>11</v>
      </c>
    </row>
    <row r="1479" spans="1:9" x14ac:dyDescent="0.35">
      <c r="A1479" s="3">
        <v>103404948</v>
      </c>
      <c r="B1479" s="3" t="s">
        <v>3531</v>
      </c>
      <c r="C1479" s="3" t="s">
        <v>9</v>
      </c>
      <c r="D1479" s="3" t="s">
        <v>5</v>
      </c>
      <c r="E1479" s="3" t="s">
        <v>10</v>
      </c>
      <c r="F1479" s="3" t="s">
        <v>3532</v>
      </c>
      <c r="G1479" s="3" t="s">
        <v>3533</v>
      </c>
      <c r="H1479" s="5">
        <v>2309</v>
      </c>
      <c r="I1479" s="3" t="s">
        <v>11</v>
      </c>
    </row>
    <row r="1480" spans="1:9" x14ac:dyDescent="0.35">
      <c r="A1480" s="3">
        <v>103404986</v>
      </c>
      <c r="B1480" s="3" t="s">
        <v>3534</v>
      </c>
      <c r="C1480" s="3" t="s">
        <v>9</v>
      </c>
      <c r="D1480" s="3" t="s">
        <v>5</v>
      </c>
      <c r="E1480" s="3" t="s">
        <v>12</v>
      </c>
      <c r="F1480" s="3" t="s">
        <v>3535</v>
      </c>
      <c r="G1480" s="3" t="s">
        <v>3536</v>
      </c>
      <c r="H1480" s="3">
        <v>489</v>
      </c>
      <c r="I1480" s="3" t="s">
        <v>11</v>
      </c>
    </row>
    <row r="1481" spans="1:9" x14ac:dyDescent="0.35">
      <c r="A1481" s="3">
        <v>103404944</v>
      </c>
      <c r="B1481" s="3" t="s">
        <v>3537</v>
      </c>
      <c r="C1481" s="3" t="s">
        <v>9</v>
      </c>
      <c r="D1481" s="3" t="s">
        <v>5</v>
      </c>
      <c r="E1481" s="3" t="s">
        <v>10</v>
      </c>
      <c r="F1481" s="3" t="s">
        <v>3538</v>
      </c>
      <c r="G1481" s="3" t="s">
        <v>3539</v>
      </c>
      <c r="H1481" s="4">
        <v>1899.05</v>
      </c>
      <c r="I1481" s="3" t="s">
        <v>11</v>
      </c>
    </row>
    <row r="1482" spans="1:9" x14ac:dyDescent="0.35">
      <c r="A1482" s="3">
        <v>103404938</v>
      </c>
      <c r="B1482" s="3" t="s">
        <v>3540</v>
      </c>
      <c r="C1482" s="3" t="s">
        <v>9</v>
      </c>
      <c r="D1482" s="3" t="s">
        <v>5</v>
      </c>
      <c r="E1482" s="3" t="s">
        <v>10</v>
      </c>
      <c r="F1482" s="3" t="s">
        <v>3541</v>
      </c>
      <c r="G1482" s="3" t="s">
        <v>3542</v>
      </c>
      <c r="H1482" s="3">
        <v>379.05</v>
      </c>
      <c r="I1482" s="3" t="s">
        <v>11</v>
      </c>
    </row>
    <row r="1483" spans="1:9" x14ac:dyDescent="0.35">
      <c r="A1483" s="3">
        <v>103404936</v>
      </c>
      <c r="B1483" s="3" t="s">
        <v>3543</v>
      </c>
      <c r="C1483" s="3" t="s">
        <v>9</v>
      </c>
      <c r="D1483" s="3" t="s">
        <v>5</v>
      </c>
      <c r="E1483" s="3" t="s">
        <v>12</v>
      </c>
      <c r="F1483" s="3" t="s">
        <v>3544</v>
      </c>
      <c r="G1483" s="3" t="s">
        <v>3545</v>
      </c>
      <c r="H1483" s="3">
        <v>399</v>
      </c>
      <c r="I1483" s="3" t="s">
        <v>11</v>
      </c>
    </row>
    <row r="1484" spans="1:9" x14ac:dyDescent="0.35">
      <c r="A1484" s="3">
        <v>103404982</v>
      </c>
      <c r="B1484" s="3" t="s">
        <v>3546</v>
      </c>
      <c r="C1484" s="3" t="s">
        <v>9</v>
      </c>
      <c r="D1484" s="3" t="s">
        <v>5</v>
      </c>
      <c r="E1484" s="3" t="s">
        <v>10</v>
      </c>
      <c r="F1484" s="3" t="s">
        <v>3547</v>
      </c>
      <c r="G1484" s="3" t="s">
        <v>3548</v>
      </c>
      <c r="H1484" s="4">
        <v>6881.04</v>
      </c>
      <c r="I1484" s="3" t="s">
        <v>11</v>
      </c>
    </row>
    <row r="1485" spans="1:9" x14ac:dyDescent="0.35">
      <c r="A1485" s="3">
        <v>103404933</v>
      </c>
      <c r="B1485" s="3" t="s">
        <v>3549</v>
      </c>
      <c r="C1485" s="3" t="s">
        <v>9</v>
      </c>
      <c r="D1485" s="3" t="s">
        <v>5</v>
      </c>
      <c r="E1485" s="3" t="s">
        <v>12</v>
      </c>
      <c r="F1485" s="3" t="s">
        <v>3550</v>
      </c>
      <c r="G1485" s="3" t="s">
        <v>3551</v>
      </c>
      <c r="H1485" s="5">
        <v>2878</v>
      </c>
      <c r="I1485" s="3" t="s">
        <v>11</v>
      </c>
    </row>
    <row r="1486" spans="1:9" x14ac:dyDescent="0.35">
      <c r="A1486" s="3">
        <v>103404980</v>
      </c>
      <c r="B1486" s="3" t="s">
        <v>3552</v>
      </c>
      <c r="C1486" s="3" t="s">
        <v>9</v>
      </c>
      <c r="D1486" s="3" t="s">
        <v>5</v>
      </c>
      <c r="E1486" s="3" t="s">
        <v>10</v>
      </c>
      <c r="F1486" s="3" t="s">
        <v>3553</v>
      </c>
      <c r="G1486" s="3" t="s">
        <v>3554</v>
      </c>
      <c r="H1486" s="4">
        <v>4559.05</v>
      </c>
      <c r="I1486" s="3" t="s">
        <v>11</v>
      </c>
    </row>
    <row r="1487" spans="1:9" x14ac:dyDescent="0.35">
      <c r="A1487" s="3">
        <v>103404928</v>
      </c>
      <c r="B1487" s="3" t="s">
        <v>3555</v>
      </c>
      <c r="C1487" s="3" t="s">
        <v>9</v>
      </c>
      <c r="D1487" s="3" t="s">
        <v>5</v>
      </c>
      <c r="E1487" s="3" t="s">
        <v>12</v>
      </c>
      <c r="F1487" s="3" t="s">
        <v>3556</v>
      </c>
      <c r="G1487" s="3" t="s">
        <v>3557</v>
      </c>
      <c r="H1487" s="4">
        <v>4274.05</v>
      </c>
      <c r="I1487" s="3" t="s">
        <v>11</v>
      </c>
    </row>
    <row r="1488" spans="1:9" x14ac:dyDescent="0.35">
      <c r="A1488" s="3">
        <v>103404979</v>
      </c>
      <c r="B1488" s="3" t="s">
        <v>3558</v>
      </c>
      <c r="C1488" s="3" t="s">
        <v>9</v>
      </c>
      <c r="D1488" s="3" t="s">
        <v>5</v>
      </c>
      <c r="E1488" s="3" t="s">
        <v>10</v>
      </c>
      <c r="F1488" s="3" t="s">
        <v>3559</v>
      </c>
      <c r="G1488" s="3" t="s">
        <v>3560</v>
      </c>
      <c r="H1488" s="4">
        <v>3656.55</v>
      </c>
      <c r="I1488" s="3" t="s">
        <v>11</v>
      </c>
    </row>
    <row r="1489" spans="1:9" x14ac:dyDescent="0.35">
      <c r="A1489" s="3">
        <v>103404978</v>
      </c>
      <c r="B1489" s="3" t="s">
        <v>3561</v>
      </c>
      <c r="C1489" s="3" t="s">
        <v>9</v>
      </c>
      <c r="D1489" s="3" t="s">
        <v>5</v>
      </c>
      <c r="E1489" s="3" t="s">
        <v>10</v>
      </c>
      <c r="F1489" s="3" t="s">
        <v>3562</v>
      </c>
      <c r="G1489" s="3" t="s">
        <v>3563</v>
      </c>
      <c r="H1489" s="4">
        <v>4986.55</v>
      </c>
      <c r="I1489" s="3" t="s">
        <v>11</v>
      </c>
    </row>
    <row r="1490" spans="1:9" x14ac:dyDescent="0.35">
      <c r="A1490" s="3">
        <v>103404974</v>
      </c>
      <c r="B1490" s="3" t="s">
        <v>3564</v>
      </c>
      <c r="C1490" s="3" t="s">
        <v>9</v>
      </c>
      <c r="D1490" s="3" t="s">
        <v>5</v>
      </c>
      <c r="E1490" s="3" t="s">
        <v>10</v>
      </c>
      <c r="F1490" s="3" t="s">
        <v>3565</v>
      </c>
      <c r="G1490" s="3" t="s">
        <v>3566</v>
      </c>
      <c r="H1490" s="5">
        <v>1539</v>
      </c>
      <c r="I1490" s="3" t="s">
        <v>11</v>
      </c>
    </row>
    <row r="1491" spans="1:9" x14ac:dyDescent="0.35">
      <c r="A1491" s="3">
        <v>103404918</v>
      </c>
      <c r="B1491" s="3" t="s">
        <v>3567</v>
      </c>
      <c r="C1491" s="3" t="s">
        <v>9</v>
      </c>
      <c r="D1491" s="3" t="s">
        <v>5</v>
      </c>
      <c r="E1491" s="3" t="s">
        <v>10</v>
      </c>
      <c r="F1491" s="3" t="s">
        <v>3568</v>
      </c>
      <c r="G1491" s="3" t="s">
        <v>3569</v>
      </c>
      <c r="H1491" s="5">
        <v>4399</v>
      </c>
      <c r="I1491" s="3" t="s">
        <v>11</v>
      </c>
    </row>
    <row r="1492" spans="1:9" x14ac:dyDescent="0.35">
      <c r="A1492" s="3">
        <v>103404970</v>
      </c>
      <c r="B1492" s="3" t="s">
        <v>3570</v>
      </c>
      <c r="C1492" s="3" t="s">
        <v>9</v>
      </c>
      <c r="D1492" s="3" t="s">
        <v>5</v>
      </c>
      <c r="E1492" s="3" t="s">
        <v>10</v>
      </c>
      <c r="F1492" s="3" t="s">
        <v>3571</v>
      </c>
      <c r="G1492" s="3" t="s">
        <v>3572</v>
      </c>
      <c r="H1492" s="3">
        <v>989</v>
      </c>
      <c r="I1492" s="3" t="s">
        <v>11</v>
      </c>
    </row>
    <row r="1493" spans="1:9" x14ac:dyDescent="0.35">
      <c r="A1493" s="3">
        <v>103404910</v>
      </c>
      <c r="B1493" s="3" t="s">
        <v>3573</v>
      </c>
      <c r="C1493" s="3" t="s">
        <v>9</v>
      </c>
      <c r="D1493" s="3" t="s">
        <v>5</v>
      </c>
      <c r="E1493" s="3" t="s">
        <v>10</v>
      </c>
      <c r="F1493" s="3" t="s">
        <v>3574</v>
      </c>
      <c r="G1493" s="3" t="s">
        <v>3575</v>
      </c>
      <c r="H1493" s="4">
        <v>2699.1</v>
      </c>
      <c r="I1493" s="3" t="s">
        <v>11</v>
      </c>
    </row>
    <row r="1494" spans="1:9" x14ac:dyDescent="0.35">
      <c r="A1494" s="3">
        <v>103404898</v>
      </c>
      <c r="B1494" s="3" t="s">
        <v>3576</v>
      </c>
      <c r="C1494" s="3" t="s">
        <v>9</v>
      </c>
      <c r="D1494" s="3" t="s">
        <v>5</v>
      </c>
      <c r="E1494" s="3" t="s">
        <v>10</v>
      </c>
      <c r="F1494" s="3" t="s">
        <v>3577</v>
      </c>
      <c r="G1494" s="3" t="s">
        <v>3578</v>
      </c>
      <c r="H1494" s="3">
        <v>759.05</v>
      </c>
      <c r="I1494" s="3" t="s">
        <v>11</v>
      </c>
    </row>
    <row r="1495" spans="1:9" x14ac:dyDescent="0.35">
      <c r="A1495" s="3">
        <v>103404858</v>
      </c>
      <c r="B1495" s="3" t="s">
        <v>3579</v>
      </c>
      <c r="C1495" s="3" t="s">
        <v>9</v>
      </c>
      <c r="D1495" s="3" t="s">
        <v>5</v>
      </c>
      <c r="E1495" s="3" t="s">
        <v>10</v>
      </c>
      <c r="F1495" s="3" t="s">
        <v>1267</v>
      </c>
      <c r="G1495" s="3" t="s">
        <v>1268</v>
      </c>
      <c r="H1495" s="5">
        <v>3999</v>
      </c>
      <c r="I1495" s="3" t="s">
        <v>11</v>
      </c>
    </row>
    <row r="1496" spans="1:9" x14ac:dyDescent="0.35">
      <c r="A1496" s="3">
        <v>103404891</v>
      </c>
      <c r="B1496" s="3" t="s">
        <v>3580</v>
      </c>
      <c r="C1496" s="3" t="s">
        <v>9</v>
      </c>
      <c r="D1496" s="3" t="s">
        <v>5</v>
      </c>
      <c r="E1496" s="3" t="s">
        <v>10</v>
      </c>
      <c r="F1496" s="3" t="s">
        <v>3581</v>
      </c>
      <c r="G1496" s="3" t="s">
        <v>3582</v>
      </c>
      <c r="H1496" s="4">
        <v>2457.65</v>
      </c>
      <c r="I1496" s="3" t="s">
        <v>11</v>
      </c>
    </row>
    <row r="1497" spans="1:9" x14ac:dyDescent="0.35">
      <c r="A1497" s="3">
        <v>103404889</v>
      </c>
      <c r="B1497" s="3" t="s">
        <v>3583</v>
      </c>
      <c r="C1497" s="3" t="s">
        <v>9</v>
      </c>
      <c r="D1497" s="3" t="s">
        <v>5</v>
      </c>
      <c r="E1497" s="3" t="s">
        <v>10</v>
      </c>
      <c r="F1497" s="3" t="s">
        <v>3584</v>
      </c>
      <c r="G1497" s="3" t="s">
        <v>3585</v>
      </c>
      <c r="H1497" s="4">
        <v>2777.89</v>
      </c>
      <c r="I1497" s="3" t="s">
        <v>11</v>
      </c>
    </row>
    <row r="1498" spans="1:9" x14ac:dyDescent="0.35">
      <c r="A1498" s="3">
        <v>103404855</v>
      </c>
      <c r="B1498" s="3" t="s">
        <v>3586</v>
      </c>
      <c r="C1498" s="3" t="s">
        <v>9</v>
      </c>
      <c r="D1498" s="3" t="s">
        <v>5</v>
      </c>
      <c r="E1498" s="3" t="s">
        <v>10</v>
      </c>
      <c r="F1498" s="3" t="s">
        <v>3587</v>
      </c>
      <c r="G1498" s="3" t="s">
        <v>3588</v>
      </c>
      <c r="H1498" s="5">
        <v>1499</v>
      </c>
      <c r="I1498" s="3" t="s">
        <v>11</v>
      </c>
    </row>
    <row r="1499" spans="1:9" x14ac:dyDescent="0.35">
      <c r="A1499" s="3">
        <v>103404854</v>
      </c>
      <c r="B1499" s="3" t="s">
        <v>3589</v>
      </c>
      <c r="C1499" s="3" t="s">
        <v>9</v>
      </c>
      <c r="D1499" s="3" t="s">
        <v>5</v>
      </c>
      <c r="E1499" s="3" t="s">
        <v>10</v>
      </c>
      <c r="F1499" s="3" t="s">
        <v>3590</v>
      </c>
      <c r="G1499" s="3" t="s">
        <v>3591</v>
      </c>
      <c r="H1499" s="4">
        <v>2158.5</v>
      </c>
      <c r="I1499" s="3" t="s">
        <v>11</v>
      </c>
    </row>
    <row r="1500" spans="1:9" x14ac:dyDescent="0.35">
      <c r="A1500" s="3">
        <v>103404847</v>
      </c>
      <c r="B1500" s="3" t="s">
        <v>3592</v>
      </c>
      <c r="C1500" s="3" t="s">
        <v>9</v>
      </c>
      <c r="D1500" s="3" t="s">
        <v>5</v>
      </c>
      <c r="E1500" s="3" t="s">
        <v>10</v>
      </c>
      <c r="F1500" s="3" t="s">
        <v>3593</v>
      </c>
      <c r="G1500" s="3" t="s">
        <v>3594</v>
      </c>
      <c r="H1500" s="5">
        <v>1169</v>
      </c>
      <c r="I1500" s="3" t="s">
        <v>11</v>
      </c>
    </row>
    <row r="1501" spans="1:9" x14ac:dyDescent="0.35">
      <c r="A1501" s="3">
        <v>103404879</v>
      </c>
      <c r="B1501" s="3" t="s">
        <v>3595</v>
      </c>
      <c r="C1501" s="3" t="s">
        <v>9</v>
      </c>
      <c r="D1501" s="3" t="s">
        <v>5</v>
      </c>
      <c r="E1501" s="3" t="s">
        <v>10</v>
      </c>
      <c r="F1501" s="3" t="s">
        <v>3596</v>
      </c>
      <c r="G1501" s="3" t="s">
        <v>3597</v>
      </c>
      <c r="H1501" s="4">
        <v>2611.5500000000002</v>
      </c>
      <c r="I1501" s="3" t="s">
        <v>11</v>
      </c>
    </row>
    <row r="1502" spans="1:9" x14ac:dyDescent="0.35">
      <c r="A1502" s="3">
        <v>103404839</v>
      </c>
      <c r="B1502" s="3" t="s">
        <v>3598</v>
      </c>
      <c r="C1502" s="3" t="s">
        <v>9</v>
      </c>
      <c r="D1502" s="3" t="s">
        <v>5</v>
      </c>
      <c r="E1502" s="3" t="s">
        <v>12</v>
      </c>
      <c r="F1502" s="3" t="s">
        <v>3599</v>
      </c>
      <c r="G1502" s="3" t="s">
        <v>3600</v>
      </c>
      <c r="H1502" s="5">
        <v>2249</v>
      </c>
      <c r="I1502" s="3" t="s">
        <v>11</v>
      </c>
    </row>
    <row r="1503" spans="1:9" x14ac:dyDescent="0.35">
      <c r="A1503" s="3">
        <v>103404829</v>
      </c>
      <c r="B1503" s="3" t="s">
        <v>3601</v>
      </c>
      <c r="C1503" s="3" t="s">
        <v>9</v>
      </c>
      <c r="D1503" s="3" t="s">
        <v>5</v>
      </c>
      <c r="E1503" s="3" t="s">
        <v>10</v>
      </c>
      <c r="F1503" s="3" t="s">
        <v>3602</v>
      </c>
      <c r="G1503" s="3" t="s">
        <v>3603</v>
      </c>
      <c r="H1503" s="3">
        <v>969</v>
      </c>
      <c r="I1503" s="3" t="s">
        <v>11</v>
      </c>
    </row>
    <row r="1504" spans="1:9" x14ac:dyDescent="0.35">
      <c r="A1504" s="3">
        <v>103404823</v>
      </c>
      <c r="B1504" s="3" t="s">
        <v>3604</v>
      </c>
      <c r="C1504" s="3" t="s">
        <v>9</v>
      </c>
      <c r="D1504" s="3" t="s">
        <v>5</v>
      </c>
      <c r="E1504" s="3" t="s">
        <v>10</v>
      </c>
      <c r="F1504" s="3" t="s">
        <v>3605</v>
      </c>
      <c r="G1504" s="3" t="s">
        <v>3606</v>
      </c>
      <c r="H1504" s="4">
        <v>2724.65</v>
      </c>
      <c r="I1504" s="3" t="s">
        <v>11</v>
      </c>
    </row>
    <row r="1505" spans="1:9" x14ac:dyDescent="0.35">
      <c r="A1505" s="3">
        <v>103404754</v>
      </c>
      <c r="B1505" s="3" t="s">
        <v>3607</v>
      </c>
      <c r="C1505" s="3" t="s">
        <v>9</v>
      </c>
      <c r="D1505" s="3" t="s">
        <v>5</v>
      </c>
      <c r="E1505" s="3" t="s">
        <v>10</v>
      </c>
      <c r="F1505" s="3" t="s">
        <v>3608</v>
      </c>
      <c r="G1505" s="3" t="s">
        <v>3609</v>
      </c>
      <c r="H1505" s="3">
        <v>899</v>
      </c>
      <c r="I1505" s="3" t="s">
        <v>11</v>
      </c>
    </row>
    <row r="1506" spans="1:9" x14ac:dyDescent="0.35">
      <c r="A1506" s="3">
        <v>103404817</v>
      </c>
      <c r="B1506" s="3" t="s">
        <v>3610</v>
      </c>
      <c r="C1506" s="3" t="s">
        <v>9</v>
      </c>
      <c r="D1506" s="3" t="s">
        <v>5</v>
      </c>
      <c r="E1506" s="3" t="s">
        <v>10</v>
      </c>
      <c r="F1506" s="3" t="s">
        <v>3611</v>
      </c>
      <c r="G1506" s="3" t="s">
        <v>3612</v>
      </c>
      <c r="H1506" s="4">
        <v>2374.0500000000002</v>
      </c>
      <c r="I1506" s="3" t="s">
        <v>11</v>
      </c>
    </row>
    <row r="1507" spans="1:9" x14ac:dyDescent="0.35">
      <c r="A1507" s="3">
        <v>103404750</v>
      </c>
      <c r="B1507" s="3" t="s">
        <v>3613</v>
      </c>
      <c r="C1507" s="3" t="s">
        <v>9</v>
      </c>
      <c r="D1507" s="3" t="s">
        <v>5</v>
      </c>
      <c r="E1507" s="3" t="s">
        <v>12</v>
      </c>
      <c r="F1507" s="3" t="s">
        <v>3614</v>
      </c>
      <c r="G1507" s="3" t="s">
        <v>3615</v>
      </c>
      <c r="H1507" s="5">
        <v>1699</v>
      </c>
      <c r="I1507" s="3" t="s">
        <v>11</v>
      </c>
    </row>
    <row r="1508" spans="1:9" x14ac:dyDescent="0.35">
      <c r="A1508" s="3">
        <v>103404749</v>
      </c>
      <c r="B1508" s="3" t="s">
        <v>3616</v>
      </c>
      <c r="C1508" s="3" t="s">
        <v>9</v>
      </c>
      <c r="D1508" s="3" t="s">
        <v>5</v>
      </c>
      <c r="E1508" s="3" t="s">
        <v>10</v>
      </c>
      <c r="F1508" s="3" t="s">
        <v>3617</v>
      </c>
      <c r="G1508" s="3" t="s">
        <v>3618</v>
      </c>
      <c r="H1508" s="4">
        <v>2165.1</v>
      </c>
      <c r="I1508" s="3" t="s">
        <v>11</v>
      </c>
    </row>
    <row r="1509" spans="1:9" x14ac:dyDescent="0.35">
      <c r="A1509" s="3">
        <v>103404746</v>
      </c>
      <c r="B1509" s="3" t="s">
        <v>3619</v>
      </c>
      <c r="C1509" s="3" t="s">
        <v>9</v>
      </c>
      <c r="D1509" s="3" t="s">
        <v>5</v>
      </c>
      <c r="E1509" s="3" t="s">
        <v>10</v>
      </c>
      <c r="F1509" s="3" t="s">
        <v>3620</v>
      </c>
      <c r="G1509" s="3" t="s">
        <v>3621</v>
      </c>
      <c r="H1509" s="5">
        <v>1298</v>
      </c>
      <c r="I1509" s="3" t="s">
        <v>11</v>
      </c>
    </row>
    <row r="1510" spans="1:9" x14ac:dyDescent="0.35">
      <c r="A1510" s="3">
        <v>103404741</v>
      </c>
      <c r="B1510" s="3" t="s">
        <v>3622</v>
      </c>
      <c r="C1510" s="3" t="s">
        <v>9</v>
      </c>
      <c r="D1510" s="3" t="s">
        <v>5</v>
      </c>
      <c r="E1510" s="3" t="s">
        <v>12</v>
      </c>
      <c r="F1510" s="3" t="s">
        <v>1454</v>
      </c>
      <c r="G1510" s="3" t="s">
        <v>3623</v>
      </c>
      <c r="H1510" s="3">
        <v>949.05</v>
      </c>
      <c r="I1510" s="3" t="s">
        <v>11</v>
      </c>
    </row>
    <row r="1511" spans="1:9" x14ac:dyDescent="0.35">
      <c r="A1511" s="3">
        <v>103404810</v>
      </c>
      <c r="B1511" s="3" t="s">
        <v>3624</v>
      </c>
      <c r="C1511" s="3" t="s">
        <v>9</v>
      </c>
      <c r="D1511" s="3" t="s">
        <v>5</v>
      </c>
      <c r="E1511" s="3" t="s">
        <v>10</v>
      </c>
      <c r="F1511" s="3" t="s">
        <v>3625</v>
      </c>
      <c r="G1511" s="3" t="s">
        <v>3626</v>
      </c>
      <c r="H1511" s="4">
        <v>4188.6400000000003</v>
      </c>
      <c r="I1511" s="3" t="s">
        <v>11</v>
      </c>
    </row>
    <row r="1512" spans="1:9" x14ac:dyDescent="0.35">
      <c r="A1512" s="3">
        <v>103404808</v>
      </c>
      <c r="B1512" s="3" t="s">
        <v>3627</v>
      </c>
      <c r="C1512" s="3" t="s">
        <v>9</v>
      </c>
      <c r="D1512" s="3" t="s">
        <v>5</v>
      </c>
      <c r="E1512" s="3" t="s">
        <v>10</v>
      </c>
      <c r="F1512" s="3" t="s">
        <v>1604</v>
      </c>
      <c r="G1512" s="3" t="s">
        <v>1605</v>
      </c>
      <c r="H1512" s="3">
        <v>554.89</v>
      </c>
      <c r="I1512" s="3" t="s">
        <v>11</v>
      </c>
    </row>
    <row r="1513" spans="1:9" x14ac:dyDescent="0.35">
      <c r="A1513" s="3">
        <v>103404734</v>
      </c>
      <c r="B1513" s="3" t="s">
        <v>3628</v>
      </c>
      <c r="C1513" s="3" t="s">
        <v>9</v>
      </c>
      <c r="D1513" s="3" t="s">
        <v>5</v>
      </c>
      <c r="E1513" s="3" t="s">
        <v>12</v>
      </c>
      <c r="F1513" s="3" t="s">
        <v>3629</v>
      </c>
      <c r="G1513" s="3" t="s">
        <v>3630</v>
      </c>
      <c r="H1513" s="3">
        <v>996.55</v>
      </c>
      <c r="I1513" s="3" t="s">
        <v>11</v>
      </c>
    </row>
    <row r="1514" spans="1:9" x14ac:dyDescent="0.35">
      <c r="A1514" s="3">
        <v>103404733</v>
      </c>
      <c r="B1514" s="3" t="s">
        <v>3631</v>
      </c>
      <c r="C1514" s="3" t="s">
        <v>9</v>
      </c>
      <c r="D1514" s="3" t="s">
        <v>5</v>
      </c>
      <c r="E1514" s="3" t="s">
        <v>10</v>
      </c>
      <c r="F1514" s="3" t="s">
        <v>3632</v>
      </c>
      <c r="G1514" s="3" t="s">
        <v>3633</v>
      </c>
      <c r="H1514" s="3">
        <v>989</v>
      </c>
      <c r="I1514" s="3" t="s">
        <v>11</v>
      </c>
    </row>
    <row r="1515" spans="1:9" x14ac:dyDescent="0.35">
      <c r="A1515" s="3">
        <v>103404732</v>
      </c>
      <c r="B1515" s="3" t="s">
        <v>3634</v>
      </c>
      <c r="C1515" s="3" t="s">
        <v>9</v>
      </c>
      <c r="D1515" s="3" t="s">
        <v>5</v>
      </c>
      <c r="E1515" s="3" t="s">
        <v>12</v>
      </c>
      <c r="F1515" s="3" t="s">
        <v>3635</v>
      </c>
      <c r="G1515" s="3" t="s">
        <v>3636</v>
      </c>
      <c r="H1515" s="4">
        <v>2136.5500000000002</v>
      </c>
      <c r="I1515" s="3" t="s">
        <v>11</v>
      </c>
    </row>
    <row r="1516" spans="1:9" x14ac:dyDescent="0.35">
      <c r="A1516" s="3">
        <v>103404730</v>
      </c>
      <c r="B1516" s="3" t="s">
        <v>3637</v>
      </c>
      <c r="C1516" s="3" t="s">
        <v>9</v>
      </c>
      <c r="D1516" s="3" t="s">
        <v>5</v>
      </c>
      <c r="E1516" s="3" t="s">
        <v>10</v>
      </c>
      <c r="F1516" s="3" t="s">
        <v>3638</v>
      </c>
      <c r="G1516" s="3" t="s">
        <v>3639</v>
      </c>
      <c r="H1516" s="4">
        <v>4559.05</v>
      </c>
      <c r="I1516" s="3" t="s">
        <v>11</v>
      </c>
    </row>
    <row r="1517" spans="1:9" x14ac:dyDescent="0.35">
      <c r="A1517" s="3">
        <v>103404726</v>
      </c>
      <c r="B1517" s="3" t="s">
        <v>3640</v>
      </c>
      <c r="C1517" s="3" t="s">
        <v>9</v>
      </c>
      <c r="D1517" s="3" t="s">
        <v>5</v>
      </c>
      <c r="E1517" s="3" t="s">
        <v>10</v>
      </c>
      <c r="F1517" s="3" t="s">
        <v>3641</v>
      </c>
      <c r="G1517" s="3" t="s">
        <v>3642</v>
      </c>
      <c r="H1517" s="4">
        <v>3075.15</v>
      </c>
      <c r="I1517" s="3" t="s">
        <v>11</v>
      </c>
    </row>
    <row r="1518" spans="1:9" x14ac:dyDescent="0.35">
      <c r="A1518" s="3">
        <v>103404802</v>
      </c>
      <c r="B1518" s="3" t="s">
        <v>3643</v>
      </c>
      <c r="C1518" s="3" t="s">
        <v>9</v>
      </c>
      <c r="D1518" s="3" t="s">
        <v>5</v>
      </c>
      <c r="E1518" s="3" t="s">
        <v>12</v>
      </c>
      <c r="F1518" s="3" t="s">
        <v>3644</v>
      </c>
      <c r="G1518" s="3" t="s">
        <v>3645</v>
      </c>
      <c r="H1518" s="5">
        <v>2999</v>
      </c>
      <c r="I1518" s="3" t="s">
        <v>11</v>
      </c>
    </row>
    <row r="1519" spans="1:9" x14ac:dyDescent="0.35">
      <c r="A1519" s="3">
        <v>103404801</v>
      </c>
      <c r="B1519" s="3" t="s">
        <v>3646</v>
      </c>
      <c r="C1519" s="3" t="s">
        <v>9</v>
      </c>
      <c r="D1519" s="3" t="s">
        <v>5</v>
      </c>
      <c r="E1519" s="3" t="s">
        <v>12</v>
      </c>
      <c r="F1519" s="3" t="s">
        <v>3647</v>
      </c>
      <c r="G1519" s="3" t="s">
        <v>3648</v>
      </c>
      <c r="H1519" s="5">
        <v>1259</v>
      </c>
      <c r="I1519" s="3" t="s">
        <v>11</v>
      </c>
    </row>
    <row r="1520" spans="1:9" x14ac:dyDescent="0.35">
      <c r="A1520" s="3">
        <v>103404718</v>
      </c>
      <c r="B1520" s="3" t="s">
        <v>3649</v>
      </c>
      <c r="C1520" s="3" t="s">
        <v>9</v>
      </c>
      <c r="D1520" s="3" t="s">
        <v>5</v>
      </c>
      <c r="E1520" s="3" t="s">
        <v>10</v>
      </c>
      <c r="F1520" s="3" t="s">
        <v>3650</v>
      </c>
      <c r="G1520" s="3" t="s">
        <v>3651</v>
      </c>
      <c r="H1520" s="4">
        <v>1851.55</v>
      </c>
      <c r="I1520" s="3" t="s">
        <v>11</v>
      </c>
    </row>
    <row r="1521" spans="1:9" x14ac:dyDescent="0.35">
      <c r="A1521" s="3">
        <v>103404715</v>
      </c>
      <c r="B1521" s="3" t="s">
        <v>3652</v>
      </c>
      <c r="C1521" s="3" t="s">
        <v>9</v>
      </c>
      <c r="D1521" s="3" t="s">
        <v>5</v>
      </c>
      <c r="E1521" s="3" t="s">
        <v>10</v>
      </c>
      <c r="F1521" s="3" t="s">
        <v>3653</v>
      </c>
      <c r="G1521" s="3" t="s">
        <v>3654</v>
      </c>
      <c r="H1521" s="5">
        <v>2568</v>
      </c>
      <c r="I1521" s="3" t="s">
        <v>11</v>
      </c>
    </row>
    <row r="1522" spans="1:9" x14ac:dyDescent="0.35">
      <c r="A1522" s="3">
        <v>103404784</v>
      </c>
      <c r="B1522" s="3" t="s">
        <v>3655</v>
      </c>
      <c r="C1522" s="3" t="s">
        <v>9</v>
      </c>
      <c r="D1522" s="3" t="s">
        <v>5</v>
      </c>
      <c r="E1522" s="3" t="s">
        <v>10</v>
      </c>
      <c r="F1522" s="3" t="s">
        <v>2618</v>
      </c>
      <c r="G1522" s="3" t="s">
        <v>2619</v>
      </c>
      <c r="H1522" s="4">
        <v>7599.05</v>
      </c>
      <c r="I1522" s="3" t="s">
        <v>11</v>
      </c>
    </row>
    <row r="1523" spans="1:9" x14ac:dyDescent="0.35">
      <c r="A1523" s="3">
        <v>103404712</v>
      </c>
      <c r="B1523" s="3" t="s">
        <v>3656</v>
      </c>
      <c r="C1523" s="3" t="s">
        <v>9</v>
      </c>
      <c r="D1523" s="3" t="s">
        <v>5</v>
      </c>
      <c r="E1523" s="3" t="s">
        <v>10</v>
      </c>
      <c r="F1523" s="3" t="s">
        <v>3657</v>
      </c>
      <c r="G1523" s="3" t="s">
        <v>3658</v>
      </c>
      <c r="H1523" s="5">
        <v>1169</v>
      </c>
      <c r="I1523" s="3" t="s">
        <v>11</v>
      </c>
    </row>
    <row r="1524" spans="1:9" x14ac:dyDescent="0.35">
      <c r="A1524" s="3">
        <v>103404711</v>
      </c>
      <c r="B1524" s="3" t="s">
        <v>3659</v>
      </c>
      <c r="C1524" s="3" t="s">
        <v>9</v>
      </c>
      <c r="D1524" s="3" t="s">
        <v>5</v>
      </c>
      <c r="E1524" s="3" t="s">
        <v>10</v>
      </c>
      <c r="F1524" s="3" t="s">
        <v>3660</v>
      </c>
      <c r="G1524" s="3" t="s">
        <v>3661</v>
      </c>
      <c r="H1524" s="4">
        <v>2469.0500000000002</v>
      </c>
      <c r="I1524" s="3" t="s">
        <v>11</v>
      </c>
    </row>
    <row r="1525" spans="1:9" x14ac:dyDescent="0.35">
      <c r="A1525" s="3">
        <v>103404779</v>
      </c>
      <c r="B1525" s="3" t="s">
        <v>3662</v>
      </c>
      <c r="C1525" s="3" t="s">
        <v>9</v>
      </c>
      <c r="D1525" s="3" t="s">
        <v>5</v>
      </c>
      <c r="E1525" s="3" t="s">
        <v>10</v>
      </c>
      <c r="F1525" s="3" t="s">
        <v>3472</v>
      </c>
      <c r="G1525" s="3" t="s">
        <v>3663</v>
      </c>
      <c r="H1525" s="5">
        <v>1749</v>
      </c>
      <c r="I1525" s="3" t="s">
        <v>11</v>
      </c>
    </row>
    <row r="1526" spans="1:9" x14ac:dyDescent="0.35">
      <c r="A1526" s="3">
        <v>103404708</v>
      </c>
      <c r="B1526" s="3" t="s">
        <v>3664</v>
      </c>
      <c r="C1526" s="3" t="s">
        <v>9</v>
      </c>
      <c r="D1526" s="3" t="s">
        <v>5</v>
      </c>
      <c r="E1526" s="3" t="s">
        <v>10</v>
      </c>
      <c r="F1526" s="3" t="s">
        <v>2894</v>
      </c>
      <c r="G1526" s="3" t="s">
        <v>2895</v>
      </c>
      <c r="H1526" s="5">
        <v>3518</v>
      </c>
      <c r="I1526" s="3" t="s">
        <v>11</v>
      </c>
    </row>
    <row r="1527" spans="1:9" x14ac:dyDescent="0.35">
      <c r="A1527" s="3">
        <v>103404775</v>
      </c>
      <c r="B1527" s="3" t="s">
        <v>3665</v>
      </c>
      <c r="C1527" s="3" t="s">
        <v>9</v>
      </c>
      <c r="D1527" s="3" t="s">
        <v>5</v>
      </c>
      <c r="E1527" s="3" t="s">
        <v>10</v>
      </c>
      <c r="F1527" s="3" t="s">
        <v>3666</v>
      </c>
      <c r="G1527" s="3" t="s">
        <v>3667</v>
      </c>
      <c r="H1527" s="5">
        <v>3019</v>
      </c>
      <c r="I1527" s="3" t="s">
        <v>11</v>
      </c>
    </row>
    <row r="1528" spans="1:9" x14ac:dyDescent="0.35">
      <c r="A1528" s="3">
        <v>103404706</v>
      </c>
      <c r="B1528" s="3" t="s">
        <v>3668</v>
      </c>
      <c r="C1528" s="3" t="s">
        <v>9</v>
      </c>
      <c r="D1528" s="3" t="s">
        <v>5</v>
      </c>
      <c r="E1528" s="3" t="s">
        <v>10</v>
      </c>
      <c r="F1528" s="3" t="s">
        <v>3669</v>
      </c>
      <c r="G1528" s="3" t="s">
        <v>3670</v>
      </c>
      <c r="H1528" s="5">
        <v>3498</v>
      </c>
      <c r="I1528" s="3" t="s">
        <v>11</v>
      </c>
    </row>
    <row r="1529" spans="1:9" x14ac:dyDescent="0.35">
      <c r="A1529" s="3">
        <v>103404772</v>
      </c>
      <c r="B1529" s="3" t="s">
        <v>3671</v>
      </c>
      <c r="C1529" s="3" t="s">
        <v>9</v>
      </c>
      <c r="D1529" s="3" t="s">
        <v>5</v>
      </c>
      <c r="E1529" s="3" t="s">
        <v>10</v>
      </c>
      <c r="F1529" s="3" t="s">
        <v>3672</v>
      </c>
      <c r="G1529" s="3" t="s">
        <v>3673</v>
      </c>
      <c r="H1529" s="4">
        <v>1661.55</v>
      </c>
      <c r="I1529" s="3" t="s">
        <v>11</v>
      </c>
    </row>
    <row r="1530" spans="1:9" x14ac:dyDescent="0.35">
      <c r="A1530" s="3">
        <v>103404704</v>
      </c>
      <c r="B1530" s="3" t="s">
        <v>3674</v>
      </c>
      <c r="C1530" s="3" t="s">
        <v>9</v>
      </c>
      <c r="D1530" s="3" t="s">
        <v>5</v>
      </c>
      <c r="E1530" s="3" t="s">
        <v>10</v>
      </c>
      <c r="F1530" s="3" t="s">
        <v>3675</v>
      </c>
      <c r="G1530" s="3" t="s">
        <v>3676</v>
      </c>
      <c r="H1530" s="5">
        <v>3599</v>
      </c>
      <c r="I1530" s="3" t="s">
        <v>11</v>
      </c>
    </row>
    <row r="1531" spans="1:9" x14ac:dyDescent="0.35">
      <c r="A1531" s="3">
        <v>103404662</v>
      </c>
      <c r="B1531" s="3" t="s">
        <v>3677</v>
      </c>
      <c r="C1531" s="3" t="s">
        <v>9</v>
      </c>
      <c r="D1531" s="3" t="s">
        <v>5</v>
      </c>
      <c r="E1531" s="3" t="s">
        <v>12</v>
      </c>
      <c r="F1531" s="3" t="s">
        <v>3678</v>
      </c>
      <c r="G1531" s="3" t="s">
        <v>3679</v>
      </c>
      <c r="H1531" s="4">
        <v>1462.05</v>
      </c>
      <c r="I1531" s="3" t="s">
        <v>11</v>
      </c>
    </row>
    <row r="1532" spans="1:9" x14ac:dyDescent="0.35">
      <c r="A1532" s="3">
        <v>103404701</v>
      </c>
      <c r="B1532" s="3" t="s">
        <v>3680</v>
      </c>
      <c r="C1532" s="3" t="s">
        <v>9</v>
      </c>
      <c r="D1532" s="3" t="s">
        <v>5</v>
      </c>
      <c r="E1532" s="3" t="s">
        <v>10</v>
      </c>
      <c r="F1532" s="3" t="s">
        <v>3681</v>
      </c>
      <c r="G1532" s="3" t="s">
        <v>3682</v>
      </c>
      <c r="H1532" s="4">
        <v>1758.97</v>
      </c>
      <c r="I1532" s="3" t="s">
        <v>11</v>
      </c>
    </row>
    <row r="1533" spans="1:9" x14ac:dyDescent="0.35">
      <c r="A1533" s="3">
        <v>103404700</v>
      </c>
      <c r="B1533" s="3" t="s">
        <v>3683</v>
      </c>
      <c r="C1533" s="3" t="s">
        <v>9</v>
      </c>
      <c r="D1533" s="3" t="s">
        <v>5</v>
      </c>
      <c r="E1533" s="3" t="s">
        <v>10</v>
      </c>
      <c r="F1533" s="3" t="s">
        <v>3684</v>
      </c>
      <c r="G1533" s="3" t="s">
        <v>3685</v>
      </c>
      <c r="H1533" s="3">
        <v>569.04999999999995</v>
      </c>
      <c r="I1533" s="3" t="s">
        <v>11</v>
      </c>
    </row>
    <row r="1534" spans="1:9" x14ac:dyDescent="0.35">
      <c r="A1534" s="3">
        <v>103404659</v>
      </c>
      <c r="B1534" s="3" t="s">
        <v>3686</v>
      </c>
      <c r="C1534" s="3" t="s">
        <v>9</v>
      </c>
      <c r="D1534" s="3" t="s">
        <v>5</v>
      </c>
      <c r="E1534" s="3" t="s">
        <v>10</v>
      </c>
      <c r="F1534" s="3" t="s">
        <v>3687</v>
      </c>
      <c r="G1534" s="3" t="s">
        <v>3688</v>
      </c>
      <c r="H1534" s="4">
        <v>1889.1</v>
      </c>
      <c r="I1534" s="3" t="s">
        <v>11</v>
      </c>
    </row>
    <row r="1535" spans="1:9" x14ac:dyDescent="0.35">
      <c r="A1535" s="3">
        <v>103404696</v>
      </c>
      <c r="B1535" s="3" t="s">
        <v>3689</v>
      </c>
      <c r="C1535" s="3" t="s">
        <v>9</v>
      </c>
      <c r="D1535" s="3" t="s">
        <v>5</v>
      </c>
      <c r="E1535" s="3" t="s">
        <v>12</v>
      </c>
      <c r="F1535" s="3" t="s">
        <v>3690</v>
      </c>
      <c r="G1535" s="3" t="s">
        <v>3691</v>
      </c>
      <c r="H1535" s="5">
        <v>1388</v>
      </c>
      <c r="I1535" s="3" t="s">
        <v>11</v>
      </c>
    </row>
    <row r="1536" spans="1:9" x14ac:dyDescent="0.35">
      <c r="A1536" s="3">
        <v>103404695</v>
      </c>
      <c r="B1536" s="3" t="s">
        <v>3692</v>
      </c>
      <c r="C1536" s="3" t="s">
        <v>9</v>
      </c>
      <c r="D1536" s="3" t="s">
        <v>5</v>
      </c>
      <c r="E1536" s="3" t="s">
        <v>10</v>
      </c>
      <c r="F1536" s="3" t="s">
        <v>3693</v>
      </c>
      <c r="G1536" s="3" t="s">
        <v>3694</v>
      </c>
      <c r="H1536" s="3">
        <v>369.55</v>
      </c>
      <c r="I1536" s="3" t="s">
        <v>11</v>
      </c>
    </row>
    <row r="1537" spans="1:9" x14ac:dyDescent="0.35">
      <c r="A1537" s="3">
        <v>103404655</v>
      </c>
      <c r="B1537" s="3" t="s">
        <v>3695</v>
      </c>
      <c r="C1537" s="3" t="s">
        <v>9</v>
      </c>
      <c r="D1537" s="3" t="s">
        <v>5</v>
      </c>
      <c r="E1537" s="3" t="s">
        <v>10</v>
      </c>
      <c r="F1537" s="3" t="s">
        <v>3696</v>
      </c>
      <c r="G1537" s="3" t="s">
        <v>3697</v>
      </c>
      <c r="H1537" s="5">
        <v>4549</v>
      </c>
      <c r="I1537" s="3" t="s">
        <v>11</v>
      </c>
    </row>
    <row r="1538" spans="1:9" x14ac:dyDescent="0.35">
      <c r="A1538" s="3">
        <v>103404652</v>
      </c>
      <c r="B1538" s="3" t="s">
        <v>3698</v>
      </c>
      <c r="C1538" s="3" t="s">
        <v>9</v>
      </c>
      <c r="D1538" s="3" t="s">
        <v>5</v>
      </c>
      <c r="E1538" s="3" t="s">
        <v>10</v>
      </c>
      <c r="F1538" s="3" t="s">
        <v>2269</v>
      </c>
      <c r="G1538" s="3" t="s">
        <v>2270</v>
      </c>
      <c r="H1538" s="5">
        <v>3899</v>
      </c>
      <c r="I1538" s="3" t="s">
        <v>11</v>
      </c>
    </row>
    <row r="1539" spans="1:9" x14ac:dyDescent="0.35">
      <c r="A1539" s="3">
        <v>103404651</v>
      </c>
      <c r="B1539" s="3" t="s">
        <v>3699</v>
      </c>
      <c r="C1539" s="3" t="s">
        <v>9</v>
      </c>
      <c r="D1539" s="3" t="s">
        <v>5</v>
      </c>
      <c r="E1539" s="3" t="s">
        <v>10</v>
      </c>
      <c r="F1539" s="3" t="s">
        <v>3700</v>
      </c>
      <c r="G1539" s="3" t="s">
        <v>3701</v>
      </c>
      <c r="H1539" s="5">
        <v>2469</v>
      </c>
      <c r="I1539" s="3" t="s">
        <v>11</v>
      </c>
    </row>
    <row r="1540" spans="1:9" x14ac:dyDescent="0.35">
      <c r="A1540" s="3">
        <v>103404684</v>
      </c>
      <c r="B1540" s="3" t="s">
        <v>3702</v>
      </c>
      <c r="C1540" s="3" t="s">
        <v>9</v>
      </c>
      <c r="D1540" s="3" t="s">
        <v>5</v>
      </c>
      <c r="E1540" s="3" t="s">
        <v>10</v>
      </c>
      <c r="F1540" s="3" t="s">
        <v>3703</v>
      </c>
      <c r="G1540" s="3" t="s">
        <v>3704</v>
      </c>
      <c r="H1540" s="3">
        <v>389</v>
      </c>
      <c r="I1540" s="3" t="s">
        <v>11</v>
      </c>
    </row>
    <row r="1541" spans="1:9" x14ac:dyDescent="0.35">
      <c r="A1541" s="3">
        <v>103404679</v>
      </c>
      <c r="B1541" s="3" t="s">
        <v>3705</v>
      </c>
      <c r="C1541" s="3" t="s">
        <v>9</v>
      </c>
      <c r="D1541" s="3" t="s">
        <v>5</v>
      </c>
      <c r="E1541" s="3" t="s">
        <v>10</v>
      </c>
      <c r="F1541" s="3" t="s">
        <v>3706</v>
      </c>
      <c r="G1541" s="3" t="s">
        <v>3707</v>
      </c>
      <c r="H1541" s="5">
        <v>2599</v>
      </c>
      <c r="I1541" s="3" t="s">
        <v>11</v>
      </c>
    </row>
    <row r="1542" spans="1:9" x14ac:dyDescent="0.35">
      <c r="A1542" s="3">
        <v>103404678</v>
      </c>
      <c r="B1542" s="3" t="s">
        <v>3708</v>
      </c>
      <c r="C1542" s="3" t="s">
        <v>9</v>
      </c>
      <c r="D1542" s="3" t="s">
        <v>5</v>
      </c>
      <c r="E1542" s="3" t="s">
        <v>10</v>
      </c>
      <c r="F1542" s="3" t="s">
        <v>3709</v>
      </c>
      <c r="G1542" s="3" t="s">
        <v>3710</v>
      </c>
      <c r="H1542" s="5">
        <v>3668</v>
      </c>
      <c r="I1542" s="3" t="s">
        <v>11</v>
      </c>
    </row>
    <row r="1543" spans="1:9" x14ac:dyDescent="0.35">
      <c r="A1543" s="3">
        <v>103404676</v>
      </c>
      <c r="B1543" s="3" t="s">
        <v>3711</v>
      </c>
      <c r="C1543" s="3" t="s">
        <v>9</v>
      </c>
      <c r="D1543" s="3" t="s">
        <v>5</v>
      </c>
      <c r="E1543" s="3" t="s">
        <v>10</v>
      </c>
      <c r="F1543" s="3" t="s">
        <v>3712</v>
      </c>
      <c r="G1543" s="3" t="s">
        <v>3713</v>
      </c>
      <c r="H1543" s="3">
        <v>439</v>
      </c>
      <c r="I1543" s="3" t="s">
        <v>11</v>
      </c>
    </row>
    <row r="1544" spans="1:9" x14ac:dyDescent="0.35">
      <c r="A1544" s="3">
        <v>103404674</v>
      </c>
      <c r="B1544" s="3" t="s">
        <v>3714</v>
      </c>
      <c r="C1544" s="3" t="s">
        <v>9</v>
      </c>
      <c r="D1544" s="3" t="s">
        <v>5</v>
      </c>
      <c r="E1544" s="3" t="s">
        <v>10</v>
      </c>
      <c r="F1544" s="3" t="s">
        <v>3715</v>
      </c>
      <c r="G1544" s="3" t="s">
        <v>3716</v>
      </c>
      <c r="H1544" s="4">
        <v>6553.1</v>
      </c>
      <c r="I1544" s="3" t="s">
        <v>11</v>
      </c>
    </row>
    <row r="1545" spans="1:9" x14ac:dyDescent="0.35">
      <c r="A1545" s="3">
        <v>103404633</v>
      </c>
      <c r="B1545" s="3" t="s">
        <v>3717</v>
      </c>
      <c r="C1545" s="3" t="s">
        <v>9</v>
      </c>
      <c r="D1545" s="3" t="s">
        <v>5</v>
      </c>
      <c r="E1545" s="3" t="s">
        <v>10</v>
      </c>
      <c r="F1545" s="3" t="s">
        <v>3718</v>
      </c>
      <c r="G1545" s="3" t="s">
        <v>3719</v>
      </c>
      <c r="H1545" s="4">
        <v>3365.25</v>
      </c>
      <c r="I1545" s="3" t="s">
        <v>11</v>
      </c>
    </row>
    <row r="1546" spans="1:9" x14ac:dyDescent="0.35">
      <c r="A1546" s="3">
        <v>103404670</v>
      </c>
      <c r="B1546" s="3" t="s">
        <v>3720</v>
      </c>
      <c r="C1546" s="3" t="s">
        <v>9</v>
      </c>
      <c r="D1546" s="3" t="s">
        <v>5</v>
      </c>
      <c r="E1546" s="3" t="s">
        <v>10</v>
      </c>
      <c r="F1546" s="3" t="s">
        <v>3721</v>
      </c>
      <c r="G1546" s="3" t="s">
        <v>3722</v>
      </c>
      <c r="H1546" s="3">
        <v>440.1</v>
      </c>
      <c r="I1546" s="3" t="s">
        <v>11</v>
      </c>
    </row>
    <row r="1547" spans="1:9" x14ac:dyDescent="0.35">
      <c r="A1547" s="3">
        <v>103404669</v>
      </c>
      <c r="B1547" s="3" t="s">
        <v>3723</v>
      </c>
      <c r="C1547" s="3" t="s">
        <v>9</v>
      </c>
      <c r="D1547" s="3" t="s">
        <v>5</v>
      </c>
      <c r="E1547" s="3" t="s">
        <v>10</v>
      </c>
      <c r="F1547" s="3" t="s">
        <v>3724</v>
      </c>
      <c r="G1547" s="3" t="s">
        <v>3725</v>
      </c>
      <c r="H1547" s="4">
        <v>1082.0999999999999</v>
      </c>
      <c r="I1547" s="3" t="s">
        <v>11</v>
      </c>
    </row>
    <row r="1548" spans="1:9" x14ac:dyDescent="0.35">
      <c r="A1548" s="3">
        <v>103404668</v>
      </c>
      <c r="B1548" s="3" t="s">
        <v>3726</v>
      </c>
      <c r="C1548" s="3" t="s">
        <v>9</v>
      </c>
      <c r="D1548" s="3" t="s">
        <v>5</v>
      </c>
      <c r="E1548" s="3" t="s">
        <v>10</v>
      </c>
      <c r="F1548" s="3" t="s">
        <v>3727</v>
      </c>
      <c r="G1548" s="3" t="s">
        <v>3728</v>
      </c>
      <c r="H1548" s="4">
        <v>5031.2</v>
      </c>
      <c r="I1548" s="3" t="s">
        <v>11</v>
      </c>
    </row>
    <row r="1549" spans="1:9" x14ac:dyDescent="0.35">
      <c r="A1549" s="3">
        <v>103404632</v>
      </c>
      <c r="B1549" s="3" t="s">
        <v>3729</v>
      </c>
      <c r="C1549" s="3" t="s">
        <v>9</v>
      </c>
      <c r="D1549" s="3" t="s">
        <v>5</v>
      </c>
      <c r="E1549" s="3" t="s">
        <v>12</v>
      </c>
      <c r="F1549" s="3" t="s">
        <v>3730</v>
      </c>
      <c r="G1549" s="3" t="s">
        <v>3731</v>
      </c>
      <c r="H1549" s="5">
        <v>2698</v>
      </c>
      <c r="I1549" s="3" t="s">
        <v>11</v>
      </c>
    </row>
    <row r="1550" spans="1:9" x14ac:dyDescent="0.35">
      <c r="A1550" s="3">
        <v>103404564</v>
      </c>
      <c r="B1550" s="3" t="s">
        <v>3732</v>
      </c>
      <c r="C1550" s="3" t="s">
        <v>9</v>
      </c>
      <c r="D1550" s="3" t="s">
        <v>5</v>
      </c>
      <c r="E1550" s="3" t="s">
        <v>10</v>
      </c>
      <c r="F1550" s="3" t="s">
        <v>3721</v>
      </c>
      <c r="G1550" s="3" t="s">
        <v>3722</v>
      </c>
      <c r="H1550" s="3">
        <v>440.1</v>
      </c>
      <c r="I1550" s="3" t="s">
        <v>11</v>
      </c>
    </row>
    <row r="1551" spans="1:9" x14ac:dyDescent="0.35">
      <c r="A1551" s="3">
        <v>103404630</v>
      </c>
      <c r="B1551" s="3" t="s">
        <v>3733</v>
      </c>
      <c r="C1551" s="3" t="s">
        <v>9</v>
      </c>
      <c r="D1551" s="3" t="s">
        <v>5</v>
      </c>
      <c r="E1551" s="3" t="s">
        <v>10</v>
      </c>
      <c r="F1551" s="3" t="s">
        <v>3734</v>
      </c>
      <c r="G1551" s="3" t="s">
        <v>3735</v>
      </c>
      <c r="H1551" s="5">
        <v>2988</v>
      </c>
      <c r="I1551" s="3" t="s">
        <v>11</v>
      </c>
    </row>
    <row r="1552" spans="1:9" x14ac:dyDescent="0.35">
      <c r="A1552" s="3">
        <v>103404625</v>
      </c>
      <c r="B1552" s="3" t="s">
        <v>3736</v>
      </c>
      <c r="C1552" s="3" t="s">
        <v>9</v>
      </c>
      <c r="D1552" s="3" t="s">
        <v>5</v>
      </c>
      <c r="E1552" s="3" t="s">
        <v>10</v>
      </c>
      <c r="F1552" s="3" t="s">
        <v>3737</v>
      </c>
      <c r="G1552" s="3" t="s">
        <v>3738</v>
      </c>
      <c r="H1552" s="4">
        <v>1775.55</v>
      </c>
      <c r="I1552" s="3" t="s">
        <v>11</v>
      </c>
    </row>
    <row r="1553" spans="1:9" x14ac:dyDescent="0.35">
      <c r="A1553" s="3">
        <v>103404623</v>
      </c>
      <c r="B1553" s="3" t="s">
        <v>3739</v>
      </c>
      <c r="C1553" s="3" t="s">
        <v>9</v>
      </c>
      <c r="D1553" s="3" t="s">
        <v>5</v>
      </c>
      <c r="E1553" s="3" t="s">
        <v>10</v>
      </c>
      <c r="F1553" s="3" t="s">
        <v>3740</v>
      </c>
      <c r="G1553" s="3" t="s">
        <v>3741</v>
      </c>
      <c r="H1553" s="4">
        <v>1234.05</v>
      </c>
      <c r="I1553" s="3" t="s">
        <v>11</v>
      </c>
    </row>
    <row r="1554" spans="1:9" x14ac:dyDescent="0.35">
      <c r="A1554" s="3">
        <v>103404552</v>
      </c>
      <c r="B1554" s="3" t="s">
        <v>4805</v>
      </c>
      <c r="C1554" s="3" t="s">
        <v>9</v>
      </c>
      <c r="D1554" s="3" t="s">
        <v>5</v>
      </c>
      <c r="E1554" s="3" t="s">
        <v>10</v>
      </c>
      <c r="F1554" s="3" t="s">
        <v>4806</v>
      </c>
      <c r="G1554" s="3" t="s">
        <v>4807</v>
      </c>
      <c r="H1554" s="3">
        <v>865.5</v>
      </c>
      <c r="I1554" s="3" t="s">
        <v>13</v>
      </c>
    </row>
    <row r="1555" spans="1:9" x14ac:dyDescent="0.35">
      <c r="A1555" s="3">
        <v>103404618</v>
      </c>
      <c r="B1555" s="3" t="s">
        <v>3742</v>
      </c>
      <c r="C1555" s="3" t="s">
        <v>9</v>
      </c>
      <c r="D1555" s="3" t="s">
        <v>5</v>
      </c>
      <c r="E1555" s="3" t="s">
        <v>10</v>
      </c>
      <c r="F1555" s="3" t="s">
        <v>3743</v>
      </c>
      <c r="G1555" s="3" t="s">
        <v>3744</v>
      </c>
      <c r="H1555" s="4">
        <v>5642.14</v>
      </c>
      <c r="I1555" s="3" t="s">
        <v>11</v>
      </c>
    </row>
    <row r="1556" spans="1:9" x14ac:dyDescent="0.35">
      <c r="A1556" s="3">
        <v>103404547</v>
      </c>
      <c r="B1556" s="3" t="s">
        <v>3745</v>
      </c>
      <c r="C1556" s="3" t="s">
        <v>9</v>
      </c>
      <c r="D1556" s="3" t="s">
        <v>5</v>
      </c>
      <c r="E1556" s="3" t="s">
        <v>10</v>
      </c>
      <c r="F1556" s="3" t="s">
        <v>3746</v>
      </c>
      <c r="G1556" s="3" t="s">
        <v>3747</v>
      </c>
      <c r="H1556" s="4">
        <v>2932.22</v>
      </c>
      <c r="I1556" s="3" t="s">
        <v>11</v>
      </c>
    </row>
    <row r="1557" spans="1:9" x14ac:dyDescent="0.35">
      <c r="A1557" s="3">
        <v>103404545</v>
      </c>
      <c r="B1557" s="3" t="s">
        <v>3748</v>
      </c>
      <c r="C1557" s="3" t="s">
        <v>9</v>
      </c>
      <c r="D1557" s="3" t="s">
        <v>5</v>
      </c>
      <c r="E1557" s="3" t="s">
        <v>10</v>
      </c>
      <c r="F1557" s="3" t="s">
        <v>3749</v>
      </c>
      <c r="G1557" s="3" t="s">
        <v>3750</v>
      </c>
      <c r="H1557" s="4">
        <v>2777.89</v>
      </c>
      <c r="I1557" s="3" t="s">
        <v>11</v>
      </c>
    </row>
    <row r="1558" spans="1:9" x14ac:dyDescent="0.35">
      <c r="A1558" s="3">
        <v>103404615</v>
      </c>
      <c r="B1558" s="3" t="s">
        <v>3751</v>
      </c>
      <c r="C1558" s="3" t="s">
        <v>9</v>
      </c>
      <c r="D1558" s="3" t="s">
        <v>5</v>
      </c>
      <c r="E1558" s="3" t="s">
        <v>12</v>
      </c>
      <c r="F1558" s="3" t="s">
        <v>3752</v>
      </c>
      <c r="G1558" s="3" t="s">
        <v>3753</v>
      </c>
      <c r="H1558" s="5">
        <v>2269</v>
      </c>
      <c r="I1558" s="3" t="s">
        <v>11</v>
      </c>
    </row>
    <row r="1559" spans="1:9" x14ac:dyDescent="0.35">
      <c r="A1559" s="3">
        <v>103404540</v>
      </c>
      <c r="B1559" s="3" t="s">
        <v>3754</v>
      </c>
      <c r="C1559" s="3" t="s">
        <v>9</v>
      </c>
      <c r="D1559" s="3" t="s">
        <v>5</v>
      </c>
      <c r="E1559" s="3" t="s">
        <v>10</v>
      </c>
      <c r="F1559" s="3" t="s">
        <v>3755</v>
      </c>
      <c r="G1559" s="3" t="s">
        <v>3756</v>
      </c>
      <c r="H1559" s="3">
        <v>888</v>
      </c>
      <c r="I1559" s="3" t="s">
        <v>11</v>
      </c>
    </row>
    <row r="1560" spans="1:9" x14ac:dyDescent="0.35">
      <c r="A1560" s="3">
        <v>103404613</v>
      </c>
      <c r="B1560" s="3" t="s">
        <v>3757</v>
      </c>
      <c r="C1560" s="3" t="s">
        <v>9</v>
      </c>
      <c r="D1560" s="3" t="s">
        <v>5</v>
      </c>
      <c r="E1560" s="3" t="s">
        <v>10</v>
      </c>
      <c r="F1560" s="3" t="s">
        <v>3758</v>
      </c>
      <c r="G1560" s="3" t="s">
        <v>3759</v>
      </c>
      <c r="H1560" s="4">
        <v>1329.05</v>
      </c>
      <c r="I1560" s="3" t="s">
        <v>11</v>
      </c>
    </row>
    <row r="1561" spans="1:9" x14ac:dyDescent="0.35">
      <c r="A1561" s="3">
        <v>103404611</v>
      </c>
      <c r="B1561" s="3" t="s">
        <v>3760</v>
      </c>
      <c r="C1561" s="3" t="s">
        <v>9</v>
      </c>
      <c r="D1561" s="3" t="s">
        <v>5</v>
      </c>
      <c r="E1561" s="3" t="s">
        <v>10</v>
      </c>
      <c r="F1561" s="3" t="s">
        <v>3761</v>
      </c>
      <c r="G1561" s="3" t="s">
        <v>3762</v>
      </c>
      <c r="H1561" s="4">
        <v>1110.55</v>
      </c>
      <c r="I1561" s="3" t="s">
        <v>11</v>
      </c>
    </row>
    <row r="1562" spans="1:9" x14ac:dyDescent="0.35">
      <c r="A1562" s="3">
        <v>103404535</v>
      </c>
      <c r="B1562" s="3" t="s">
        <v>3763</v>
      </c>
      <c r="C1562" s="3" t="s">
        <v>9</v>
      </c>
      <c r="D1562" s="3" t="s">
        <v>5</v>
      </c>
      <c r="E1562" s="3" t="s">
        <v>10</v>
      </c>
      <c r="F1562" s="3" t="s">
        <v>3764</v>
      </c>
      <c r="G1562" s="3" t="s">
        <v>3765</v>
      </c>
      <c r="H1562" s="3">
        <v>489</v>
      </c>
      <c r="I1562" s="3" t="s">
        <v>11</v>
      </c>
    </row>
    <row r="1563" spans="1:9" x14ac:dyDescent="0.35">
      <c r="A1563" s="3">
        <v>103404609</v>
      </c>
      <c r="B1563" s="3" t="s">
        <v>3766</v>
      </c>
      <c r="C1563" s="3" t="s">
        <v>9</v>
      </c>
      <c r="D1563" s="3" t="s">
        <v>5</v>
      </c>
      <c r="E1563" s="3" t="s">
        <v>10</v>
      </c>
      <c r="F1563" s="3" t="s">
        <v>3767</v>
      </c>
      <c r="G1563" s="3" t="s">
        <v>3768</v>
      </c>
      <c r="H1563" s="3">
        <v>719</v>
      </c>
      <c r="I1563" s="3" t="s">
        <v>11</v>
      </c>
    </row>
    <row r="1564" spans="1:9" x14ac:dyDescent="0.35">
      <c r="A1564" s="3">
        <v>103404605</v>
      </c>
      <c r="B1564" s="3" t="s">
        <v>3769</v>
      </c>
      <c r="C1564" s="3" t="s">
        <v>9</v>
      </c>
      <c r="D1564" s="3" t="s">
        <v>5</v>
      </c>
      <c r="E1564" s="3" t="s">
        <v>10</v>
      </c>
      <c r="F1564" s="3" t="s">
        <v>3770</v>
      </c>
      <c r="G1564" s="3" t="s">
        <v>3771</v>
      </c>
      <c r="H1564" s="5">
        <v>4899</v>
      </c>
      <c r="I1564" s="3" t="s">
        <v>11</v>
      </c>
    </row>
    <row r="1565" spans="1:9" x14ac:dyDescent="0.35">
      <c r="A1565" s="3">
        <v>103404530</v>
      </c>
      <c r="B1565" s="3" t="s">
        <v>3772</v>
      </c>
      <c r="C1565" s="3" t="s">
        <v>9</v>
      </c>
      <c r="D1565" s="3" t="s">
        <v>5</v>
      </c>
      <c r="E1565" s="3" t="s">
        <v>10</v>
      </c>
      <c r="F1565" s="3" t="s">
        <v>3773</v>
      </c>
      <c r="G1565" s="3" t="s">
        <v>3774</v>
      </c>
      <c r="H1565" s="4">
        <v>2040.6</v>
      </c>
      <c r="I1565" s="3" t="s">
        <v>11</v>
      </c>
    </row>
    <row r="1566" spans="1:9" x14ac:dyDescent="0.35">
      <c r="A1566" s="3">
        <v>103404527</v>
      </c>
      <c r="B1566" s="3" t="s">
        <v>3775</v>
      </c>
      <c r="C1566" s="3" t="s">
        <v>9</v>
      </c>
      <c r="D1566" s="3" t="s">
        <v>5</v>
      </c>
      <c r="E1566" s="3" t="s">
        <v>12</v>
      </c>
      <c r="F1566" s="3" t="s">
        <v>3776</v>
      </c>
      <c r="G1566" s="3" t="s">
        <v>3777</v>
      </c>
      <c r="H1566" s="4">
        <v>1424.05</v>
      </c>
      <c r="I1566" s="3" t="s">
        <v>11</v>
      </c>
    </row>
    <row r="1567" spans="1:9" x14ac:dyDescent="0.35">
      <c r="A1567" s="3">
        <v>103404600</v>
      </c>
      <c r="B1567" s="3" t="s">
        <v>3778</v>
      </c>
      <c r="C1567" s="3" t="s">
        <v>9</v>
      </c>
      <c r="D1567" s="3" t="s">
        <v>5</v>
      </c>
      <c r="E1567" s="3" t="s">
        <v>10</v>
      </c>
      <c r="F1567" s="3" t="s">
        <v>3779</v>
      </c>
      <c r="G1567" s="3" t="s">
        <v>3780</v>
      </c>
      <c r="H1567" s="4">
        <v>1551.4</v>
      </c>
      <c r="I1567" s="3" t="s">
        <v>11</v>
      </c>
    </row>
    <row r="1568" spans="1:9" x14ac:dyDescent="0.35">
      <c r="A1568" s="3">
        <v>103404523</v>
      </c>
      <c r="B1568" s="3" t="s">
        <v>3781</v>
      </c>
      <c r="C1568" s="3" t="s">
        <v>9</v>
      </c>
      <c r="D1568" s="3" t="s">
        <v>5</v>
      </c>
      <c r="E1568" s="3" t="s">
        <v>10</v>
      </c>
      <c r="F1568" s="3" t="s">
        <v>3782</v>
      </c>
      <c r="G1568" s="3" t="s">
        <v>3783</v>
      </c>
      <c r="H1568" s="3">
        <v>999</v>
      </c>
      <c r="I1568" s="3" t="s">
        <v>11</v>
      </c>
    </row>
    <row r="1569" spans="1:9" x14ac:dyDescent="0.35">
      <c r="A1569" s="3">
        <v>103404596</v>
      </c>
      <c r="B1569" s="3" t="s">
        <v>3784</v>
      </c>
      <c r="C1569" s="3" t="s">
        <v>9</v>
      </c>
      <c r="D1569" s="3" t="s">
        <v>5</v>
      </c>
      <c r="E1569" s="3" t="s">
        <v>10</v>
      </c>
      <c r="F1569" s="3" t="s">
        <v>1309</v>
      </c>
      <c r="G1569" s="3" t="s">
        <v>3785</v>
      </c>
      <c r="H1569" s="5">
        <v>1619</v>
      </c>
      <c r="I1569" s="3" t="s">
        <v>11</v>
      </c>
    </row>
    <row r="1570" spans="1:9" x14ac:dyDescent="0.35">
      <c r="A1570" s="3">
        <v>103404521</v>
      </c>
      <c r="B1570" s="3" t="s">
        <v>3786</v>
      </c>
      <c r="C1570" s="3" t="s">
        <v>9</v>
      </c>
      <c r="D1570" s="3" t="s">
        <v>5</v>
      </c>
      <c r="E1570" s="3" t="s">
        <v>10</v>
      </c>
      <c r="F1570" s="3" t="s">
        <v>3787</v>
      </c>
      <c r="G1570" s="3" t="s">
        <v>3788</v>
      </c>
      <c r="H1570" s="4">
        <v>5270.6</v>
      </c>
      <c r="I1570" s="3" t="s">
        <v>11</v>
      </c>
    </row>
    <row r="1571" spans="1:9" x14ac:dyDescent="0.35">
      <c r="A1571" s="3">
        <v>103404519</v>
      </c>
      <c r="B1571" s="3" t="s">
        <v>3789</v>
      </c>
      <c r="C1571" s="3" t="s">
        <v>9</v>
      </c>
      <c r="D1571" s="3" t="s">
        <v>5</v>
      </c>
      <c r="E1571" s="3" t="s">
        <v>10</v>
      </c>
      <c r="F1571" s="3" t="s">
        <v>3790</v>
      </c>
      <c r="G1571" s="3" t="s">
        <v>3791</v>
      </c>
      <c r="H1571" s="3">
        <v>255.55</v>
      </c>
      <c r="I1571" s="3" t="s">
        <v>11</v>
      </c>
    </row>
    <row r="1572" spans="1:9" x14ac:dyDescent="0.35">
      <c r="A1572" s="3">
        <v>103404518</v>
      </c>
      <c r="B1572" s="3" t="s">
        <v>3792</v>
      </c>
      <c r="C1572" s="3" t="s">
        <v>9</v>
      </c>
      <c r="D1572" s="3" t="s">
        <v>5</v>
      </c>
      <c r="E1572" s="3" t="s">
        <v>10</v>
      </c>
      <c r="F1572" s="3" t="s">
        <v>3793</v>
      </c>
      <c r="G1572" s="3" t="s">
        <v>3794</v>
      </c>
      <c r="H1572" s="3">
        <v>920.55</v>
      </c>
      <c r="I1572" s="3" t="s">
        <v>11</v>
      </c>
    </row>
    <row r="1573" spans="1:9" x14ac:dyDescent="0.35">
      <c r="A1573" s="3">
        <v>103404591</v>
      </c>
      <c r="B1573" s="3" t="s">
        <v>3795</v>
      </c>
      <c r="C1573" s="3" t="s">
        <v>9</v>
      </c>
      <c r="D1573" s="3" t="s">
        <v>5</v>
      </c>
      <c r="E1573" s="3" t="s">
        <v>10</v>
      </c>
      <c r="F1573" s="3" t="s">
        <v>3796</v>
      </c>
      <c r="G1573" s="3" t="s">
        <v>3797</v>
      </c>
      <c r="H1573" s="4">
        <v>2480.9699999999998</v>
      </c>
      <c r="I1573" s="3" t="s">
        <v>11</v>
      </c>
    </row>
    <row r="1574" spans="1:9" x14ac:dyDescent="0.35">
      <c r="A1574" s="3">
        <v>103404588</v>
      </c>
      <c r="B1574" s="3" t="s">
        <v>3798</v>
      </c>
      <c r="C1574" s="3" t="s">
        <v>9</v>
      </c>
      <c r="D1574" s="3" t="s">
        <v>5</v>
      </c>
      <c r="E1574" s="3" t="s">
        <v>10</v>
      </c>
      <c r="F1574" s="3" t="s">
        <v>3799</v>
      </c>
      <c r="G1574" s="3" t="s">
        <v>3800</v>
      </c>
      <c r="H1574" s="3">
        <v>675.97</v>
      </c>
      <c r="I1574" s="3" t="s">
        <v>11</v>
      </c>
    </row>
    <row r="1575" spans="1:9" x14ac:dyDescent="0.35">
      <c r="A1575" s="3">
        <v>103404509</v>
      </c>
      <c r="B1575" s="3" t="s">
        <v>3801</v>
      </c>
      <c r="C1575" s="3" t="s">
        <v>9</v>
      </c>
      <c r="D1575" s="3" t="s">
        <v>5</v>
      </c>
      <c r="E1575" s="3" t="s">
        <v>10</v>
      </c>
      <c r="F1575" s="3" t="s">
        <v>3802</v>
      </c>
      <c r="G1575" s="3" t="s">
        <v>3803</v>
      </c>
      <c r="H1575" s="5">
        <v>1949</v>
      </c>
      <c r="I1575" s="3" t="s">
        <v>11</v>
      </c>
    </row>
    <row r="1576" spans="1:9" x14ac:dyDescent="0.35">
      <c r="A1576" s="3">
        <v>103404587</v>
      </c>
      <c r="B1576" s="3" t="s">
        <v>3804</v>
      </c>
      <c r="C1576" s="3" t="s">
        <v>9</v>
      </c>
      <c r="D1576" s="3" t="s">
        <v>5</v>
      </c>
      <c r="E1576" s="3" t="s">
        <v>12</v>
      </c>
      <c r="F1576" s="3" t="s">
        <v>3805</v>
      </c>
      <c r="G1576" s="3" t="s">
        <v>3806</v>
      </c>
      <c r="H1576" s="5">
        <v>2699</v>
      </c>
      <c r="I1576" s="3" t="s">
        <v>11</v>
      </c>
    </row>
    <row r="1577" spans="1:9" x14ac:dyDescent="0.35">
      <c r="A1577" s="3">
        <v>103404586</v>
      </c>
      <c r="B1577" s="3" t="s">
        <v>3807</v>
      </c>
      <c r="C1577" s="3" t="s">
        <v>9</v>
      </c>
      <c r="D1577" s="3" t="s">
        <v>5</v>
      </c>
      <c r="E1577" s="3" t="s">
        <v>10</v>
      </c>
      <c r="F1577" s="3" t="s">
        <v>3808</v>
      </c>
      <c r="G1577" s="3" t="s">
        <v>3809</v>
      </c>
      <c r="H1577" s="4">
        <v>3590.14</v>
      </c>
      <c r="I1577" s="3" t="s">
        <v>11</v>
      </c>
    </row>
    <row r="1578" spans="1:9" x14ac:dyDescent="0.35">
      <c r="A1578" s="3">
        <v>103404585</v>
      </c>
      <c r="B1578" s="3" t="s">
        <v>3810</v>
      </c>
      <c r="C1578" s="3" t="s">
        <v>9</v>
      </c>
      <c r="D1578" s="3" t="s">
        <v>5</v>
      </c>
      <c r="E1578" s="3" t="s">
        <v>12</v>
      </c>
      <c r="F1578" s="3" t="s">
        <v>3811</v>
      </c>
      <c r="G1578" s="3" t="s">
        <v>3812</v>
      </c>
      <c r="H1578" s="5">
        <v>4549</v>
      </c>
      <c r="I1578" s="3" t="s">
        <v>11</v>
      </c>
    </row>
    <row r="1579" spans="1:9" x14ac:dyDescent="0.35">
      <c r="A1579" s="3">
        <v>103404583</v>
      </c>
      <c r="B1579" s="3" t="s">
        <v>3813</v>
      </c>
      <c r="C1579" s="3" t="s">
        <v>9</v>
      </c>
      <c r="D1579" s="3" t="s">
        <v>5</v>
      </c>
      <c r="E1579" s="3" t="s">
        <v>10</v>
      </c>
      <c r="F1579" s="3" t="s">
        <v>3814</v>
      </c>
      <c r="G1579" s="3" t="s">
        <v>3815</v>
      </c>
      <c r="H1579" s="5">
        <v>1489</v>
      </c>
      <c r="I1579" s="3" t="s">
        <v>11</v>
      </c>
    </row>
    <row r="1580" spans="1:9" x14ac:dyDescent="0.35">
      <c r="A1580" s="3">
        <v>103404582</v>
      </c>
      <c r="B1580" s="3" t="s">
        <v>3816</v>
      </c>
      <c r="C1580" s="3" t="s">
        <v>9</v>
      </c>
      <c r="D1580" s="3" t="s">
        <v>5</v>
      </c>
      <c r="E1580" s="3" t="s">
        <v>12</v>
      </c>
      <c r="F1580" s="3" t="s">
        <v>3817</v>
      </c>
      <c r="G1580" s="3" t="s">
        <v>3818</v>
      </c>
      <c r="H1580" s="5">
        <v>5648</v>
      </c>
      <c r="I1580" s="3" t="s">
        <v>11</v>
      </c>
    </row>
    <row r="1581" spans="1:9" x14ac:dyDescent="0.35">
      <c r="A1581" s="3">
        <v>103404499</v>
      </c>
      <c r="B1581" s="3" t="s">
        <v>3819</v>
      </c>
      <c r="C1581" s="3" t="s">
        <v>9</v>
      </c>
      <c r="D1581" s="3" t="s">
        <v>5</v>
      </c>
      <c r="E1581" s="3" t="s">
        <v>10</v>
      </c>
      <c r="F1581" s="3" t="s">
        <v>3820</v>
      </c>
      <c r="G1581" s="3" t="s">
        <v>3821</v>
      </c>
      <c r="H1581" s="4">
        <v>5556.55</v>
      </c>
      <c r="I1581" s="3" t="s">
        <v>11</v>
      </c>
    </row>
    <row r="1582" spans="1:9" x14ac:dyDescent="0.35">
      <c r="A1582" s="3">
        <v>103404578</v>
      </c>
      <c r="B1582" s="3" t="s">
        <v>3822</v>
      </c>
      <c r="C1582" s="3" t="s">
        <v>9</v>
      </c>
      <c r="D1582" s="3" t="s">
        <v>5</v>
      </c>
      <c r="E1582" s="3" t="s">
        <v>10</v>
      </c>
      <c r="F1582" s="3" t="s">
        <v>3823</v>
      </c>
      <c r="G1582" s="3" t="s">
        <v>3824</v>
      </c>
      <c r="H1582" s="3">
        <v>999</v>
      </c>
      <c r="I1582" s="3" t="s">
        <v>11</v>
      </c>
    </row>
    <row r="1583" spans="1:9" x14ac:dyDescent="0.35">
      <c r="A1583" s="3">
        <v>103404496</v>
      </c>
      <c r="B1583" s="3" t="s">
        <v>3825</v>
      </c>
      <c r="C1583" s="3" t="s">
        <v>9</v>
      </c>
      <c r="D1583" s="3" t="s">
        <v>5</v>
      </c>
      <c r="E1583" s="3" t="s">
        <v>10</v>
      </c>
      <c r="F1583" s="3" t="s">
        <v>3826</v>
      </c>
      <c r="G1583" s="3" t="s">
        <v>3827</v>
      </c>
      <c r="H1583" s="5">
        <v>3299</v>
      </c>
      <c r="I1583" s="3" t="s">
        <v>11</v>
      </c>
    </row>
    <row r="1584" spans="1:9" x14ac:dyDescent="0.35">
      <c r="A1584" s="3">
        <v>103404576</v>
      </c>
      <c r="B1584" s="3" t="s">
        <v>3828</v>
      </c>
      <c r="C1584" s="3" t="s">
        <v>9</v>
      </c>
      <c r="D1584" s="3" t="s">
        <v>5</v>
      </c>
      <c r="E1584" s="3" t="s">
        <v>12</v>
      </c>
      <c r="F1584" s="3" t="s">
        <v>3829</v>
      </c>
      <c r="G1584" s="3" t="s">
        <v>1775</v>
      </c>
      <c r="H1584" s="5">
        <v>1169</v>
      </c>
      <c r="I1584" s="3" t="s">
        <v>11</v>
      </c>
    </row>
    <row r="1585" spans="1:9" x14ac:dyDescent="0.35">
      <c r="A1585" s="3">
        <v>103404487</v>
      </c>
      <c r="B1585" s="3" t="s">
        <v>3830</v>
      </c>
      <c r="C1585" s="3" t="s">
        <v>9</v>
      </c>
      <c r="D1585" s="3" t="s">
        <v>5</v>
      </c>
      <c r="E1585" s="3" t="s">
        <v>10</v>
      </c>
      <c r="F1585" s="3" t="s">
        <v>3831</v>
      </c>
      <c r="G1585" s="3" t="s">
        <v>3832</v>
      </c>
      <c r="H1585" s="4">
        <v>6195.66</v>
      </c>
      <c r="I1585" s="3" t="s">
        <v>11</v>
      </c>
    </row>
    <row r="1586" spans="1:9" x14ac:dyDescent="0.35">
      <c r="A1586" s="3">
        <v>103404482</v>
      </c>
      <c r="B1586" s="3" t="s">
        <v>3833</v>
      </c>
      <c r="C1586" s="3" t="s">
        <v>9</v>
      </c>
      <c r="D1586" s="3" t="s">
        <v>5</v>
      </c>
      <c r="E1586" s="3" t="s">
        <v>10</v>
      </c>
      <c r="F1586" s="3" t="s">
        <v>3834</v>
      </c>
      <c r="G1586" s="3" t="s">
        <v>3835</v>
      </c>
      <c r="H1586" s="3">
        <v>369</v>
      </c>
      <c r="I1586" s="3" t="s">
        <v>11</v>
      </c>
    </row>
    <row r="1587" spans="1:9" x14ac:dyDescent="0.35">
      <c r="A1587" s="3">
        <v>103404480</v>
      </c>
      <c r="B1587" s="3" t="s">
        <v>3836</v>
      </c>
      <c r="C1587" s="3" t="s">
        <v>9</v>
      </c>
      <c r="D1587" s="3" t="s">
        <v>5</v>
      </c>
      <c r="E1587" s="3" t="s">
        <v>12</v>
      </c>
      <c r="F1587" s="3" t="s">
        <v>3837</v>
      </c>
      <c r="G1587" s="3" t="s">
        <v>3838</v>
      </c>
      <c r="H1587" s="5">
        <v>6299</v>
      </c>
      <c r="I1587" s="3" t="s">
        <v>11</v>
      </c>
    </row>
    <row r="1588" spans="1:9" x14ac:dyDescent="0.35">
      <c r="A1588" s="3">
        <v>103404565</v>
      </c>
      <c r="B1588" s="3" t="s">
        <v>3839</v>
      </c>
      <c r="C1588" s="3" t="s">
        <v>9</v>
      </c>
      <c r="D1588" s="3" t="s">
        <v>5</v>
      </c>
      <c r="E1588" s="3" t="s">
        <v>10</v>
      </c>
      <c r="F1588" s="3" t="s">
        <v>3840</v>
      </c>
      <c r="G1588" s="3" t="s">
        <v>3841</v>
      </c>
      <c r="H1588" s="4">
        <v>2494.89</v>
      </c>
      <c r="I1588" s="3" t="s">
        <v>11</v>
      </c>
    </row>
    <row r="1589" spans="1:9" x14ac:dyDescent="0.35">
      <c r="A1589" s="3">
        <v>103404476</v>
      </c>
      <c r="B1589" s="3" t="s">
        <v>3842</v>
      </c>
      <c r="C1589" s="3" t="s">
        <v>9</v>
      </c>
      <c r="D1589" s="3" t="s">
        <v>5</v>
      </c>
      <c r="E1589" s="3" t="s">
        <v>10</v>
      </c>
      <c r="F1589" s="3" t="s">
        <v>3843</v>
      </c>
      <c r="G1589" s="3" t="s">
        <v>3844</v>
      </c>
      <c r="H1589" s="5">
        <v>2359</v>
      </c>
      <c r="I1589" s="3" t="s">
        <v>11</v>
      </c>
    </row>
    <row r="1590" spans="1:9" x14ac:dyDescent="0.35">
      <c r="A1590" s="3">
        <v>103404462</v>
      </c>
      <c r="B1590" s="3" t="s">
        <v>3845</v>
      </c>
      <c r="C1590" s="3" t="s">
        <v>9</v>
      </c>
      <c r="D1590" s="3" t="s">
        <v>5</v>
      </c>
      <c r="E1590" s="3" t="s">
        <v>10</v>
      </c>
      <c r="F1590" s="3" t="s">
        <v>3846</v>
      </c>
      <c r="G1590" s="3" t="s">
        <v>3847</v>
      </c>
      <c r="H1590" s="3">
        <v>419</v>
      </c>
      <c r="I1590" s="3" t="s">
        <v>11</v>
      </c>
    </row>
    <row r="1591" spans="1:9" x14ac:dyDescent="0.35">
      <c r="A1591" s="3">
        <v>103404472</v>
      </c>
      <c r="B1591" s="3" t="s">
        <v>3848</v>
      </c>
      <c r="C1591" s="3" t="s">
        <v>9</v>
      </c>
      <c r="D1591" s="3" t="s">
        <v>5</v>
      </c>
      <c r="E1591" s="3" t="s">
        <v>10</v>
      </c>
      <c r="F1591" s="3" t="s">
        <v>1625</v>
      </c>
      <c r="G1591" s="3" t="s">
        <v>3849</v>
      </c>
      <c r="H1591" s="4">
        <v>4321.55</v>
      </c>
      <c r="I1591" s="3" t="s">
        <v>11</v>
      </c>
    </row>
    <row r="1592" spans="1:9" x14ac:dyDescent="0.35">
      <c r="A1592" s="3">
        <v>103404467</v>
      </c>
      <c r="B1592" s="3" t="s">
        <v>3850</v>
      </c>
      <c r="C1592" s="3" t="s">
        <v>9</v>
      </c>
      <c r="D1592" s="3" t="s">
        <v>5</v>
      </c>
      <c r="E1592" s="3" t="s">
        <v>10</v>
      </c>
      <c r="F1592" s="3" t="s">
        <v>3851</v>
      </c>
      <c r="G1592" s="3" t="s">
        <v>3852</v>
      </c>
      <c r="H1592" s="3">
        <v>838.42</v>
      </c>
      <c r="I1592" s="3" t="s">
        <v>11</v>
      </c>
    </row>
    <row r="1593" spans="1:9" x14ac:dyDescent="0.35">
      <c r="A1593" s="3">
        <v>103404362</v>
      </c>
      <c r="B1593" s="3" t="s">
        <v>3853</v>
      </c>
      <c r="C1593" s="3" t="s">
        <v>9</v>
      </c>
      <c r="D1593" s="3" t="s">
        <v>5</v>
      </c>
      <c r="E1593" s="3" t="s">
        <v>10</v>
      </c>
      <c r="F1593" s="3" t="s">
        <v>3854</v>
      </c>
      <c r="G1593" s="3" t="s">
        <v>3855</v>
      </c>
      <c r="H1593" s="5">
        <v>1988</v>
      </c>
      <c r="I1593" s="3" t="s">
        <v>11</v>
      </c>
    </row>
    <row r="1594" spans="1:9" x14ac:dyDescent="0.35">
      <c r="A1594" s="3">
        <v>103404361</v>
      </c>
      <c r="B1594" s="3" t="s">
        <v>3856</v>
      </c>
      <c r="C1594" s="3" t="s">
        <v>9</v>
      </c>
      <c r="D1594" s="3" t="s">
        <v>5</v>
      </c>
      <c r="E1594" s="3" t="s">
        <v>10</v>
      </c>
      <c r="F1594" s="3" t="s">
        <v>3857</v>
      </c>
      <c r="G1594" s="3" t="s">
        <v>3858</v>
      </c>
      <c r="H1594" s="5">
        <v>2469</v>
      </c>
      <c r="I1594" s="3" t="s">
        <v>11</v>
      </c>
    </row>
    <row r="1595" spans="1:9" x14ac:dyDescent="0.35">
      <c r="A1595" s="3">
        <v>103404459</v>
      </c>
      <c r="B1595" s="3" t="s">
        <v>3859</v>
      </c>
      <c r="C1595" s="3" t="s">
        <v>9</v>
      </c>
      <c r="D1595" s="3" t="s">
        <v>5</v>
      </c>
      <c r="E1595" s="3" t="s">
        <v>10</v>
      </c>
      <c r="F1595" s="3" t="s">
        <v>3860</v>
      </c>
      <c r="G1595" s="3" t="s">
        <v>3861</v>
      </c>
      <c r="H1595" s="5">
        <v>1099</v>
      </c>
      <c r="I1595" s="3" t="s">
        <v>11</v>
      </c>
    </row>
    <row r="1596" spans="1:9" x14ac:dyDescent="0.35">
      <c r="A1596" s="3">
        <v>103404343</v>
      </c>
      <c r="B1596" s="3" t="s">
        <v>3862</v>
      </c>
      <c r="C1596" s="3" t="s">
        <v>9</v>
      </c>
      <c r="D1596" s="3" t="s">
        <v>5</v>
      </c>
      <c r="E1596" s="3" t="s">
        <v>10</v>
      </c>
      <c r="F1596" s="3" t="s">
        <v>3863</v>
      </c>
      <c r="G1596" s="3" t="s">
        <v>3864</v>
      </c>
      <c r="H1596" s="4">
        <v>3419.05</v>
      </c>
      <c r="I1596" s="3" t="s">
        <v>11</v>
      </c>
    </row>
    <row r="1597" spans="1:9" x14ac:dyDescent="0.35">
      <c r="A1597" s="3">
        <v>103404340</v>
      </c>
      <c r="B1597" s="3" t="s">
        <v>3865</v>
      </c>
      <c r="C1597" s="3" t="s">
        <v>9</v>
      </c>
      <c r="D1597" s="3" t="s">
        <v>5</v>
      </c>
      <c r="E1597" s="3" t="s">
        <v>10</v>
      </c>
      <c r="F1597" s="3" t="s">
        <v>3866</v>
      </c>
      <c r="G1597" s="3" t="s">
        <v>3867</v>
      </c>
      <c r="H1597" s="4">
        <v>1129.55</v>
      </c>
      <c r="I1597" s="3" t="s">
        <v>11</v>
      </c>
    </row>
    <row r="1598" spans="1:9" x14ac:dyDescent="0.35">
      <c r="A1598" s="3">
        <v>103404341</v>
      </c>
      <c r="B1598" s="3" t="s">
        <v>3865</v>
      </c>
      <c r="C1598" s="3" t="s">
        <v>9</v>
      </c>
      <c r="D1598" s="3" t="s">
        <v>5</v>
      </c>
      <c r="E1598" s="3" t="s">
        <v>10</v>
      </c>
      <c r="F1598" s="3" t="s">
        <v>3868</v>
      </c>
      <c r="G1598" s="3" t="s">
        <v>3869</v>
      </c>
      <c r="H1598" s="5">
        <v>4499</v>
      </c>
      <c r="I1598" s="3" t="s">
        <v>11</v>
      </c>
    </row>
    <row r="1599" spans="1:9" x14ac:dyDescent="0.35">
      <c r="A1599" s="3">
        <v>103404334</v>
      </c>
      <c r="B1599" s="3" t="s">
        <v>3870</v>
      </c>
      <c r="C1599" s="3" t="s">
        <v>9</v>
      </c>
      <c r="D1599" s="3" t="s">
        <v>5</v>
      </c>
      <c r="E1599" s="3" t="s">
        <v>10</v>
      </c>
      <c r="F1599" s="3" t="s">
        <v>3871</v>
      </c>
      <c r="G1599" s="3" t="s">
        <v>3872</v>
      </c>
      <c r="H1599" s="4">
        <v>3333.64</v>
      </c>
      <c r="I1599" s="3" t="s">
        <v>11</v>
      </c>
    </row>
    <row r="1600" spans="1:9" x14ac:dyDescent="0.35">
      <c r="A1600" s="3">
        <v>103404333</v>
      </c>
      <c r="B1600" s="3" t="s">
        <v>3873</v>
      </c>
      <c r="C1600" s="3" t="s">
        <v>9</v>
      </c>
      <c r="D1600" s="3" t="s">
        <v>5</v>
      </c>
      <c r="E1600" s="3" t="s">
        <v>10</v>
      </c>
      <c r="F1600" s="3" t="s">
        <v>3874</v>
      </c>
      <c r="G1600" s="3" t="s">
        <v>3875</v>
      </c>
      <c r="H1600" s="5">
        <v>2999</v>
      </c>
      <c r="I1600" s="3" t="s">
        <v>13</v>
      </c>
    </row>
    <row r="1601" spans="1:9" x14ac:dyDescent="0.35">
      <c r="A1601" s="3">
        <v>103404449</v>
      </c>
      <c r="B1601" s="3" t="s">
        <v>3876</v>
      </c>
      <c r="C1601" s="3" t="s">
        <v>9</v>
      </c>
      <c r="D1601" s="3" t="s">
        <v>5</v>
      </c>
      <c r="E1601" s="3" t="s">
        <v>12</v>
      </c>
      <c r="F1601" s="3" t="s">
        <v>3877</v>
      </c>
      <c r="G1601" s="3" t="s">
        <v>3878</v>
      </c>
      <c r="H1601" s="5">
        <v>4799</v>
      </c>
      <c r="I1601" s="3" t="s">
        <v>11</v>
      </c>
    </row>
    <row r="1602" spans="1:9" x14ac:dyDescent="0.35">
      <c r="A1602" s="3">
        <v>103404330</v>
      </c>
      <c r="B1602" s="3" t="s">
        <v>3879</v>
      </c>
      <c r="C1602" s="3" t="s">
        <v>9</v>
      </c>
      <c r="D1602" s="3" t="s">
        <v>5</v>
      </c>
      <c r="E1602" s="3" t="s">
        <v>12</v>
      </c>
      <c r="F1602" s="3" t="s">
        <v>3880</v>
      </c>
      <c r="G1602" s="3" t="s">
        <v>3881</v>
      </c>
      <c r="H1602" s="3">
        <v>899</v>
      </c>
      <c r="I1602" s="3" t="s">
        <v>11</v>
      </c>
    </row>
    <row r="1603" spans="1:9" x14ac:dyDescent="0.35">
      <c r="A1603" s="3">
        <v>103404444</v>
      </c>
      <c r="B1603" s="3" t="s">
        <v>3882</v>
      </c>
      <c r="C1603" s="3" t="s">
        <v>9</v>
      </c>
      <c r="D1603" s="3" t="s">
        <v>5</v>
      </c>
      <c r="E1603" s="3" t="s">
        <v>10</v>
      </c>
      <c r="F1603" s="3" t="s">
        <v>3883</v>
      </c>
      <c r="G1603" s="3" t="s">
        <v>3884</v>
      </c>
      <c r="H1603" s="4">
        <v>2326.5500000000002</v>
      </c>
      <c r="I1603" s="3" t="s">
        <v>11</v>
      </c>
    </row>
    <row r="1604" spans="1:9" x14ac:dyDescent="0.35">
      <c r="A1604" s="3">
        <v>103404327</v>
      </c>
      <c r="B1604" s="3" t="s">
        <v>3885</v>
      </c>
      <c r="C1604" s="3" t="s">
        <v>9</v>
      </c>
      <c r="D1604" s="3" t="s">
        <v>5</v>
      </c>
      <c r="E1604" s="3" t="s">
        <v>10</v>
      </c>
      <c r="F1604" s="3" t="s">
        <v>3886</v>
      </c>
      <c r="G1604" s="3" t="s">
        <v>3887</v>
      </c>
      <c r="H1604" s="3">
        <v>389</v>
      </c>
      <c r="I1604" s="3" t="s">
        <v>11</v>
      </c>
    </row>
    <row r="1605" spans="1:9" x14ac:dyDescent="0.35">
      <c r="A1605" s="3">
        <v>103404440</v>
      </c>
      <c r="B1605" s="3" t="s">
        <v>3888</v>
      </c>
      <c r="C1605" s="3" t="s">
        <v>9</v>
      </c>
      <c r="D1605" s="3" t="s">
        <v>5</v>
      </c>
      <c r="E1605" s="3" t="s">
        <v>10</v>
      </c>
      <c r="F1605" s="3" t="s">
        <v>3889</v>
      </c>
      <c r="G1605" s="3" t="s">
        <v>3890</v>
      </c>
      <c r="H1605" s="5">
        <v>1489</v>
      </c>
      <c r="I1605" s="3" t="s">
        <v>11</v>
      </c>
    </row>
    <row r="1606" spans="1:9" x14ac:dyDescent="0.35">
      <c r="A1606" s="3">
        <v>103404438</v>
      </c>
      <c r="B1606" s="3" t="s">
        <v>3891</v>
      </c>
      <c r="C1606" s="3" t="s">
        <v>9</v>
      </c>
      <c r="D1606" s="3" t="s">
        <v>5</v>
      </c>
      <c r="E1606" s="3" t="s">
        <v>10</v>
      </c>
      <c r="F1606" s="3" t="s">
        <v>3892</v>
      </c>
      <c r="G1606" s="3" t="s">
        <v>3893</v>
      </c>
      <c r="H1606" s="4">
        <v>1424.05</v>
      </c>
      <c r="I1606" s="3" t="s">
        <v>11</v>
      </c>
    </row>
    <row r="1607" spans="1:9" x14ac:dyDescent="0.35">
      <c r="A1607" s="3">
        <v>103404439</v>
      </c>
      <c r="B1607" s="3" t="s">
        <v>3891</v>
      </c>
      <c r="C1607" s="3" t="s">
        <v>9</v>
      </c>
      <c r="D1607" s="3" t="s">
        <v>5</v>
      </c>
      <c r="E1607" s="3" t="s">
        <v>10</v>
      </c>
      <c r="F1607" s="3" t="s">
        <v>3894</v>
      </c>
      <c r="G1607" s="3" t="s">
        <v>3895</v>
      </c>
      <c r="H1607" s="5">
        <v>2359</v>
      </c>
      <c r="I1607" s="3" t="s">
        <v>11</v>
      </c>
    </row>
    <row r="1608" spans="1:9" x14ac:dyDescent="0.35">
      <c r="A1608" s="3">
        <v>103404322</v>
      </c>
      <c r="B1608" s="3" t="s">
        <v>3896</v>
      </c>
      <c r="C1608" s="3" t="s">
        <v>9</v>
      </c>
      <c r="D1608" s="3" t="s">
        <v>5</v>
      </c>
      <c r="E1608" s="3" t="s">
        <v>10</v>
      </c>
      <c r="F1608" s="3" t="s">
        <v>3897</v>
      </c>
      <c r="G1608" s="3" t="s">
        <v>3898</v>
      </c>
      <c r="H1608" s="3">
        <v>585.72</v>
      </c>
      <c r="I1608" s="3" t="s">
        <v>11</v>
      </c>
    </row>
    <row r="1609" spans="1:9" x14ac:dyDescent="0.35">
      <c r="A1609" s="3">
        <v>103404432</v>
      </c>
      <c r="B1609" s="3" t="s">
        <v>3899</v>
      </c>
      <c r="C1609" s="3" t="s">
        <v>9</v>
      </c>
      <c r="D1609" s="3" t="s">
        <v>5</v>
      </c>
      <c r="E1609" s="3" t="s">
        <v>10</v>
      </c>
      <c r="F1609" s="3" t="s">
        <v>3900</v>
      </c>
      <c r="G1609" s="3" t="s">
        <v>3901</v>
      </c>
      <c r="H1609" s="4">
        <v>3656.55</v>
      </c>
      <c r="I1609" s="3" t="s">
        <v>11</v>
      </c>
    </row>
    <row r="1610" spans="1:9" x14ac:dyDescent="0.35">
      <c r="A1610" s="3">
        <v>103404430</v>
      </c>
      <c r="B1610" s="3" t="s">
        <v>3902</v>
      </c>
      <c r="C1610" s="3" t="s">
        <v>9</v>
      </c>
      <c r="D1610" s="3" t="s">
        <v>5</v>
      </c>
      <c r="E1610" s="3" t="s">
        <v>12</v>
      </c>
      <c r="F1610" s="3" t="s">
        <v>3903</v>
      </c>
      <c r="G1610" s="3" t="s">
        <v>3904</v>
      </c>
      <c r="H1610" s="5">
        <v>1259</v>
      </c>
      <c r="I1610" s="3" t="s">
        <v>11</v>
      </c>
    </row>
    <row r="1611" spans="1:9" x14ac:dyDescent="0.35">
      <c r="A1611" s="3">
        <v>103404429</v>
      </c>
      <c r="B1611" s="3" t="s">
        <v>3905</v>
      </c>
      <c r="C1611" s="3" t="s">
        <v>9</v>
      </c>
      <c r="D1611" s="3" t="s">
        <v>5</v>
      </c>
      <c r="E1611" s="3" t="s">
        <v>12</v>
      </c>
      <c r="F1611" s="3" t="s">
        <v>3906</v>
      </c>
      <c r="G1611" s="3" t="s">
        <v>3907</v>
      </c>
      <c r="H1611" s="5">
        <v>1299</v>
      </c>
      <c r="I1611" s="3" t="s">
        <v>11</v>
      </c>
    </row>
    <row r="1612" spans="1:9" x14ac:dyDescent="0.35">
      <c r="A1612" s="3">
        <v>103404319</v>
      </c>
      <c r="B1612" s="3" t="s">
        <v>3908</v>
      </c>
      <c r="C1612" s="3" t="s">
        <v>9</v>
      </c>
      <c r="D1612" s="3" t="s">
        <v>5</v>
      </c>
      <c r="E1612" s="3" t="s">
        <v>10</v>
      </c>
      <c r="F1612" s="3" t="s">
        <v>3909</v>
      </c>
      <c r="G1612" s="3" t="s">
        <v>3910</v>
      </c>
      <c r="H1612" s="5">
        <v>2449</v>
      </c>
      <c r="I1612" s="3" t="s">
        <v>11</v>
      </c>
    </row>
    <row r="1613" spans="1:9" x14ac:dyDescent="0.35">
      <c r="A1613" s="3">
        <v>103404318</v>
      </c>
      <c r="B1613" s="3" t="s">
        <v>3911</v>
      </c>
      <c r="C1613" s="3" t="s">
        <v>9</v>
      </c>
      <c r="D1613" s="3" t="s">
        <v>5</v>
      </c>
      <c r="E1613" s="3" t="s">
        <v>10</v>
      </c>
      <c r="F1613" s="3" t="s">
        <v>3912</v>
      </c>
      <c r="G1613" s="3" t="s">
        <v>3913</v>
      </c>
      <c r="H1613" s="5">
        <v>2129</v>
      </c>
      <c r="I1613" s="3" t="s">
        <v>11</v>
      </c>
    </row>
    <row r="1614" spans="1:9" x14ac:dyDescent="0.35">
      <c r="A1614" s="3">
        <v>103404312</v>
      </c>
      <c r="B1614" s="3" t="s">
        <v>3914</v>
      </c>
      <c r="C1614" s="3" t="s">
        <v>9</v>
      </c>
      <c r="D1614" s="3" t="s">
        <v>5</v>
      </c>
      <c r="E1614" s="3" t="s">
        <v>10</v>
      </c>
      <c r="F1614" s="3" t="s">
        <v>3915</v>
      </c>
      <c r="G1614" s="3" t="s">
        <v>3916</v>
      </c>
      <c r="H1614" s="5">
        <v>1269</v>
      </c>
      <c r="I1614" s="3" t="s">
        <v>11</v>
      </c>
    </row>
    <row r="1615" spans="1:9" x14ac:dyDescent="0.35">
      <c r="A1615" s="3">
        <v>103404426</v>
      </c>
      <c r="B1615" s="3" t="s">
        <v>3917</v>
      </c>
      <c r="C1615" s="3" t="s">
        <v>9</v>
      </c>
      <c r="D1615" s="3" t="s">
        <v>5</v>
      </c>
      <c r="E1615" s="3" t="s">
        <v>12</v>
      </c>
      <c r="F1615" s="3" t="s">
        <v>3918</v>
      </c>
      <c r="G1615" s="3" t="s">
        <v>3919</v>
      </c>
      <c r="H1615" s="5">
        <v>1819</v>
      </c>
      <c r="I1615" s="3" t="s">
        <v>11</v>
      </c>
    </row>
    <row r="1616" spans="1:9" x14ac:dyDescent="0.35">
      <c r="A1616" s="3">
        <v>103404311</v>
      </c>
      <c r="B1616" s="3" t="s">
        <v>3920</v>
      </c>
      <c r="C1616" s="3" t="s">
        <v>9</v>
      </c>
      <c r="D1616" s="3" t="s">
        <v>5</v>
      </c>
      <c r="E1616" s="3" t="s">
        <v>10</v>
      </c>
      <c r="F1616" s="3" t="s">
        <v>3921</v>
      </c>
      <c r="G1616" s="3" t="s">
        <v>3922</v>
      </c>
      <c r="H1616" s="3">
        <v>779</v>
      </c>
      <c r="I1616" s="3" t="s">
        <v>11</v>
      </c>
    </row>
    <row r="1617" spans="1:9" x14ac:dyDescent="0.35">
      <c r="A1617" s="3">
        <v>103404424</v>
      </c>
      <c r="B1617" s="3" t="s">
        <v>3923</v>
      </c>
      <c r="C1617" s="3" t="s">
        <v>9</v>
      </c>
      <c r="D1617" s="3" t="s">
        <v>5</v>
      </c>
      <c r="E1617" s="3" t="s">
        <v>10</v>
      </c>
      <c r="F1617" s="3" t="s">
        <v>3924</v>
      </c>
      <c r="G1617" s="3" t="s">
        <v>3925</v>
      </c>
      <c r="H1617" s="5">
        <v>1649</v>
      </c>
      <c r="I1617" s="3" t="s">
        <v>11</v>
      </c>
    </row>
    <row r="1618" spans="1:9" x14ac:dyDescent="0.35">
      <c r="A1618" s="3">
        <v>103404423</v>
      </c>
      <c r="B1618" s="3" t="s">
        <v>3926</v>
      </c>
      <c r="C1618" s="3" t="s">
        <v>9</v>
      </c>
      <c r="D1618" s="3" t="s">
        <v>5</v>
      </c>
      <c r="E1618" s="3" t="s">
        <v>10</v>
      </c>
      <c r="F1618" s="3" t="s">
        <v>3927</v>
      </c>
      <c r="G1618" s="3" t="s">
        <v>3928</v>
      </c>
      <c r="H1618" s="4">
        <v>2222.14</v>
      </c>
      <c r="I1618" s="3" t="s">
        <v>11</v>
      </c>
    </row>
    <row r="1619" spans="1:9" x14ac:dyDescent="0.35">
      <c r="A1619" s="3">
        <v>103404421</v>
      </c>
      <c r="B1619" s="3" t="s">
        <v>3929</v>
      </c>
      <c r="C1619" s="3" t="s">
        <v>9</v>
      </c>
      <c r="D1619" s="3" t="s">
        <v>5</v>
      </c>
      <c r="E1619" s="3" t="s">
        <v>10</v>
      </c>
      <c r="F1619" s="3" t="s">
        <v>3930</v>
      </c>
      <c r="G1619" s="3" t="s">
        <v>3931</v>
      </c>
      <c r="H1619" s="4">
        <v>4559.05</v>
      </c>
      <c r="I1619" s="3" t="s">
        <v>11</v>
      </c>
    </row>
    <row r="1620" spans="1:9" x14ac:dyDescent="0.35">
      <c r="A1620" s="3">
        <v>103404308</v>
      </c>
      <c r="B1620" s="3" t="s">
        <v>3932</v>
      </c>
      <c r="C1620" s="3" t="s">
        <v>9</v>
      </c>
      <c r="D1620" s="3" t="s">
        <v>5</v>
      </c>
      <c r="E1620" s="3" t="s">
        <v>10</v>
      </c>
      <c r="F1620" s="3" t="s">
        <v>3933</v>
      </c>
      <c r="G1620" s="3" t="s">
        <v>3934</v>
      </c>
      <c r="H1620" s="3">
        <v>768.55</v>
      </c>
      <c r="I1620" s="3" t="s">
        <v>11</v>
      </c>
    </row>
    <row r="1621" spans="1:9" x14ac:dyDescent="0.35">
      <c r="A1621" s="3">
        <v>103404307</v>
      </c>
      <c r="B1621" s="3" t="s">
        <v>3935</v>
      </c>
      <c r="C1621" s="3" t="s">
        <v>9</v>
      </c>
      <c r="D1621" s="3" t="s">
        <v>5</v>
      </c>
      <c r="E1621" s="3" t="s">
        <v>12</v>
      </c>
      <c r="F1621" s="3" t="s">
        <v>3936</v>
      </c>
      <c r="G1621" s="3" t="s">
        <v>3937</v>
      </c>
      <c r="H1621" s="5">
        <v>1169</v>
      </c>
      <c r="I1621" s="3" t="s">
        <v>11</v>
      </c>
    </row>
    <row r="1622" spans="1:9" x14ac:dyDescent="0.35">
      <c r="A1622" s="3">
        <v>103404417</v>
      </c>
      <c r="B1622" s="3" t="s">
        <v>3938</v>
      </c>
      <c r="C1622" s="3" t="s">
        <v>9</v>
      </c>
      <c r="D1622" s="3" t="s">
        <v>5</v>
      </c>
      <c r="E1622" s="3" t="s">
        <v>10</v>
      </c>
      <c r="F1622" s="3" t="s">
        <v>3939</v>
      </c>
      <c r="G1622" s="3" t="s">
        <v>3940</v>
      </c>
      <c r="H1622" s="5">
        <v>1979</v>
      </c>
      <c r="I1622" s="3" t="s">
        <v>11</v>
      </c>
    </row>
    <row r="1623" spans="1:9" x14ac:dyDescent="0.35">
      <c r="A1623" s="3">
        <v>103404305</v>
      </c>
      <c r="B1623" s="3" t="s">
        <v>3941</v>
      </c>
      <c r="C1623" s="3" t="s">
        <v>9</v>
      </c>
      <c r="D1623" s="3" t="s">
        <v>5</v>
      </c>
      <c r="E1623" s="3" t="s">
        <v>12</v>
      </c>
      <c r="F1623" s="3" t="s">
        <v>3942</v>
      </c>
      <c r="G1623" s="3" t="s">
        <v>3904</v>
      </c>
      <c r="H1623" s="5">
        <v>1259</v>
      </c>
      <c r="I1623" s="3" t="s">
        <v>11</v>
      </c>
    </row>
    <row r="1624" spans="1:9" x14ac:dyDescent="0.35">
      <c r="A1624" s="3">
        <v>103404413</v>
      </c>
      <c r="B1624" s="3" t="s">
        <v>3943</v>
      </c>
      <c r="C1624" s="3" t="s">
        <v>9</v>
      </c>
      <c r="D1624" s="3" t="s">
        <v>5</v>
      </c>
      <c r="E1624" s="3" t="s">
        <v>12</v>
      </c>
      <c r="F1624" s="3" t="s">
        <v>3944</v>
      </c>
      <c r="G1624" s="3" t="s">
        <v>3945</v>
      </c>
      <c r="H1624" s="4">
        <v>2136.64</v>
      </c>
      <c r="I1624" s="3" t="s">
        <v>11</v>
      </c>
    </row>
    <row r="1625" spans="1:9" x14ac:dyDescent="0.35">
      <c r="A1625" s="3">
        <v>103404411</v>
      </c>
      <c r="B1625" s="3" t="s">
        <v>3946</v>
      </c>
      <c r="C1625" s="3" t="s">
        <v>9</v>
      </c>
      <c r="D1625" s="3" t="s">
        <v>5</v>
      </c>
      <c r="E1625" s="3" t="s">
        <v>10</v>
      </c>
      <c r="F1625" s="3" t="s">
        <v>3947</v>
      </c>
      <c r="G1625" s="3" t="s">
        <v>3948</v>
      </c>
      <c r="H1625" s="3">
        <v>255.55</v>
      </c>
      <c r="I1625" s="3" t="s">
        <v>11</v>
      </c>
    </row>
    <row r="1626" spans="1:9" x14ac:dyDescent="0.35">
      <c r="A1626" s="3">
        <v>103404409</v>
      </c>
      <c r="B1626" s="3" t="s">
        <v>3949</v>
      </c>
      <c r="C1626" s="3" t="s">
        <v>9</v>
      </c>
      <c r="D1626" s="3" t="s">
        <v>5</v>
      </c>
      <c r="E1626" s="3" t="s">
        <v>10</v>
      </c>
      <c r="F1626" s="3" t="s">
        <v>3950</v>
      </c>
      <c r="G1626" s="3" t="s">
        <v>3951</v>
      </c>
      <c r="H1626" s="5">
        <v>2749</v>
      </c>
      <c r="I1626" s="3" t="s">
        <v>11</v>
      </c>
    </row>
    <row r="1627" spans="1:9" x14ac:dyDescent="0.35">
      <c r="A1627" s="3">
        <v>103404407</v>
      </c>
      <c r="B1627" s="3" t="s">
        <v>3952</v>
      </c>
      <c r="C1627" s="3" t="s">
        <v>9</v>
      </c>
      <c r="D1627" s="3" t="s">
        <v>5</v>
      </c>
      <c r="E1627" s="3" t="s">
        <v>12</v>
      </c>
      <c r="F1627" s="3" t="s">
        <v>3953</v>
      </c>
      <c r="G1627" s="3" t="s">
        <v>3954</v>
      </c>
      <c r="H1627" s="4">
        <v>3419.05</v>
      </c>
      <c r="I1627" s="3" t="s">
        <v>11</v>
      </c>
    </row>
    <row r="1628" spans="1:9" x14ac:dyDescent="0.35">
      <c r="A1628" s="3">
        <v>103404298</v>
      </c>
      <c r="B1628" s="3" t="s">
        <v>3955</v>
      </c>
      <c r="C1628" s="3" t="s">
        <v>9</v>
      </c>
      <c r="D1628" s="3" t="s">
        <v>5</v>
      </c>
      <c r="E1628" s="3" t="s">
        <v>10</v>
      </c>
      <c r="F1628" s="3" t="s">
        <v>3956</v>
      </c>
      <c r="G1628" s="3" t="s">
        <v>3957</v>
      </c>
      <c r="H1628" s="3">
        <v>236.55</v>
      </c>
      <c r="I1628" s="3" t="s">
        <v>11</v>
      </c>
    </row>
    <row r="1629" spans="1:9" x14ac:dyDescent="0.35">
      <c r="A1629" s="3">
        <v>103404297</v>
      </c>
      <c r="B1629" s="3" t="s">
        <v>3958</v>
      </c>
      <c r="C1629" s="3" t="s">
        <v>9</v>
      </c>
      <c r="D1629" s="3" t="s">
        <v>5</v>
      </c>
      <c r="E1629" s="3" t="s">
        <v>12</v>
      </c>
      <c r="F1629" s="3" t="s">
        <v>3959</v>
      </c>
      <c r="G1629" s="3" t="s">
        <v>3960</v>
      </c>
      <c r="H1629" s="3">
        <v>819</v>
      </c>
      <c r="I1629" s="3" t="s">
        <v>11</v>
      </c>
    </row>
    <row r="1630" spans="1:9" x14ac:dyDescent="0.35">
      <c r="A1630" s="3">
        <v>103404403</v>
      </c>
      <c r="B1630" s="3" t="s">
        <v>3961</v>
      </c>
      <c r="C1630" s="3" t="s">
        <v>9</v>
      </c>
      <c r="D1630" s="3" t="s">
        <v>5</v>
      </c>
      <c r="E1630" s="3" t="s">
        <v>10</v>
      </c>
      <c r="F1630" s="3" t="s">
        <v>3962</v>
      </c>
      <c r="G1630" s="3" t="s">
        <v>3963</v>
      </c>
      <c r="H1630" s="4">
        <v>1281.55</v>
      </c>
      <c r="I1630" s="3" t="s">
        <v>11</v>
      </c>
    </row>
    <row r="1631" spans="1:9" x14ac:dyDescent="0.35">
      <c r="A1631" s="3">
        <v>103404293</v>
      </c>
      <c r="B1631" s="3" t="s">
        <v>3964</v>
      </c>
      <c r="C1631" s="3" t="s">
        <v>9</v>
      </c>
      <c r="D1631" s="3" t="s">
        <v>5</v>
      </c>
      <c r="E1631" s="3" t="s">
        <v>10</v>
      </c>
      <c r="F1631" s="3" t="s">
        <v>3965</v>
      </c>
      <c r="G1631" s="3" t="s">
        <v>3966</v>
      </c>
      <c r="H1631" s="5">
        <v>2799</v>
      </c>
      <c r="I1631" s="3" t="s">
        <v>11</v>
      </c>
    </row>
    <row r="1632" spans="1:9" x14ac:dyDescent="0.35">
      <c r="A1632" s="3">
        <v>103404399</v>
      </c>
      <c r="B1632" s="3" t="s">
        <v>3967</v>
      </c>
      <c r="C1632" s="3" t="s">
        <v>9</v>
      </c>
      <c r="D1632" s="3" t="s">
        <v>5</v>
      </c>
      <c r="E1632" s="3" t="s">
        <v>10</v>
      </c>
      <c r="F1632" s="3" t="s">
        <v>3968</v>
      </c>
      <c r="G1632" s="3" t="s">
        <v>3969</v>
      </c>
      <c r="H1632" s="5">
        <v>1649</v>
      </c>
      <c r="I1632" s="3" t="s">
        <v>11</v>
      </c>
    </row>
    <row r="1633" spans="1:9" x14ac:dyDescent="0.35">
      <c r="A1633" s="3">
        <v>103404291</v>
      </c>
      <c r="B1633" s="3" t="s">
        <v>3967</v>
      </c>
      <c r="C1633" s="3" t="s">
        <v>9</v>
      </c>
      <c r="D1633" s="3" t="s">
        <v>5</v>
      </c>
      <c r="E1633" s="3" t="s">
        <v>10</v>
      </c>
      <c r="F1633" s="3" t="s">
        <v>3970</v>
      </c>
      <c r="G1633" s="3" t="s">
        <v>3971</v>
      </c>
      <c r="H1633" s="5">
        <v>1499</v>
      </c>
      <c r="I1633" s="3" t="s">
        <v>11</v>
      </c>
    </row>
    <row r="1634" spans="1:9" x14ac:dyDescent="0.35">
      <c r="A1634" s="3">
        <v>103404398</v>
      </c>
      <c r="B1634" s="3" t="s">
        <v>3967</v>
      </c>
      <c r="C1634" s="3" t="s">
        <v>9</v>
      </c>
      <c r="D1634" s="3" t="s">
        <v>5</v>
      </c>
      <c r="E1634" s="3" t="s">
        <v>10</v>
      </c>
      <c r="F1634" s="3" t="s">
        <v>3972</v>
      </c>
      <c r="G1634" s="3" t="s">
        <v>3973</v>
      </c>
      <c r="H1634" s="4">
        <v>1880.14</v>
      </c>
      <c r="I1634" s="3" t="s">
        <v>11</v>
      </c>
    </row>
    <row r="1635" spans="1:9" x14ac:dyDescent="0.35">
      <c r="A1635" s="3">
        <v>103404290</v>
      </c>
      <c r="B1635" s="3" t="s">
        <v>3974</v>
      </c>
      <c r="C1635" s="3" t="s">
        <v>9</v>
      </c>
      <c r="D1635" s="3" t="s">
        <v>5</v>
      </c>
      <c r="E1635" s="3" t="s">
        <v>12</v>
      </c>
      <c r="F1635" s="3" t="s">
        <v>3975</v>
      </c>
      <c r="G1635" s="3" t="s">
        <v>3976</v>
      </c>
      <c r="H1635" s="5">
        <v>1169</v>
      </c>
      <c r="I1635" s="3" t="s">
        <v>11</v>
      </c>
    </row>
    <row r="1636" spans="1:9" x14ac:dyDescent="0.35">
      <c r="A1636" s="3">
        <v>103404396</v>
      </c>
      <c r="B1636" s="3" t="s">
        <v>3977</v>
      </c>
      <c r="C1636" s="3" t="s">
        <v>9</v>
      </c>
      <c r="D1636" s="3" t="s">
        <v>5</v>
      </c>
      <c r="E1636" s="3" t="s">
        <v>10</v>
      </c>
      <c r="F1636" s="3" t="s">
        <v>3978</v>
      </c>
      <c r="G1636" s="3" t="s">
        <v>3979</v>
      </c>
      <c r="H1636" s="4">
        <v>2991.55</v>
      </c>
      <c r="I1636" s="3" t="s">
        <v>11</v>
      </c>
    </row>
    <row r="1637" spans="1:9" x14ac:dyDescent="0.35">
      <c r="A1637" s="3">
        <v>103404288</v>
      </c>
      <c r="B1637" s="3" t="s">
        <v>3980</v>
      </c>
      <c r="C1637" s="3" t="s">
        <v>9</v>
      </c>
      <c r="D1637" s="3" t="s">
        <v>5</v>
      </c>
      <c r="E1637" s="3" t="s">
        <v>10</v>
      </c>
      <c r="F1637" s="3" t="s">
        <v>3208</v>
      </c>
      <c r="G1637" s="3" t="s">
        <v>3209</v>
      </c>
      <c r="H1637" s="4">
        <v>1709.05</v>
      </c>
      <c r="I1637" s="3" t="s">
        <v>11</v>
      </c>
    </row>
    <row r="1638" spans="1:9" x14ac:dyDescent="0.35">
      <c r="A1638" s="3">
        <v>103404286</v>
      </c>
      <c r="B1638" s="3" t="s">
        <v>3981</v>
      </c>
      <c r="C1638" s="3" t="s">
        <v>9</v>
      </c>
      <c r="D1638" s="3" t="s">
        <v>5</v>
      </c>
      <c r="E1638" s="3" t="s">
        <v>10</v>
      </c>
      <c r="F1638" s="3" t="s">
        <v>3982</v>
      </c>
      <c r="G1638" s="3" t="s">
        <v>3983</v>
      </c>
      <c r="H1638" s="5">
        <v>1099</v>
      </c>
      <c r="I1638" s="3" t="s">
        <v>11</v>
      </c>
    </row>
    <row r="1639" spans="1:9" x14ac:dyDescent="0.35">
      <c r="A1639" s="3">
        <v>103404393</v>
      </c>
      <c r="B1639" s="3" t="s">
        <v>3984</v>
      </c>
      <c r="C1639" s="3" t="s">
        <v>9</v>
      </c>
      <c r="D1639" s="3" t="s">
        <v>5</v>
      </c>
      <c r="E1639" s="3" t="s">
        <v>10</v>
      </c>
      <c r="F1639" s="3" t="s">
        <v>3985</v>
      </c>
      <c r="G1639" s="3" t="s">
        <v>3986</v>
      </c>
      <c r="H1639" s="4">
        <v>3491.25</v>
      </c>
      <c r="I1639" s="3" t="s">
        <v>11</v>
      </c>
    </row>
    <row r="1640" spans="1:9" x14ac:dyDescent="0.35">
      <c r="A1640" s="3">
        <v>103404388</v>
      </c>
      <c r="B1640" s="3" t="s">
        <v>3987</v>
      </c>
      <c r="C1640" s="3" t="s">
        <v>9</v>
      </c>
      <c r="D1640" s="3" t="s">
        <v>5</v>
      </c>
      <c r="E1640" s="3" t="s">
        <v>12</v>
      </c>
      <c r="F1640" s="3" t="s">
        <v>3988</v>
      </c>
      <c r="G1640" s="3" t="s">
        <v>3989</v>
      </c>
      <c r="H1640" s="4">
        <v>10349.299999999999</v>
      </c>
      <c r="I1640" s="3" t="s">
        <v>11</v>
      </c>
    </row>
    <row r="1641" spans="1:9" x14ac:dyDescent="0.35">
      <c r="A1641" s="3">
        <v>103404386</v>
      </c>
      <c r="B1641" s="3" t="s">
        <v>3990</v>
      </c>
      <c r="C1641" s="3" t="s">
        <v>9</v>
      </c>
      <c r="D1641" s="3" t="s">
        <v>5</v>
      </c>
      <c r="E1641" s="3" t="s">
        <v>10</v>
      </c>
      <c r="F1641" s="3" t="s">
        <v>3991</v>
      </c>
      <c r="G1641" s="3" t="s">
        <v>3992</v>
      </c>
      <c r="H1641" s="5">
        <v>3747</v>
      </c>
      <c r="I1641" s="3" t="s">
        <v>11</v>
      </c>
    </row>
    <row r="1642" spans="1:9" x14ac:dyDescent="0.35">
      <c r="A1642" s="3">
        <v>103404384</v>
      </c>
      <c r="B1642" s="3" t="s">
        <v>3993</v>
      </c>
      <c r="C1642" s="3" t="s">
        <v>9</v>
      </c>
      <c r="D1642" s="3" t="s">
        <v>5</v>
      </c>
      <c r="E1642" s="3" t="s">
        <v>10</v>
      </c>
      <c r="F1642" s="3" t="s">
        <v>3994</v>
      </c>
      <c r="G1642" s="3" t="s">
        <v>3995</v>
      </c>
      <c r="H1642" s="5">
        <v>1399</v>
      </c>
      <c r="I1642" s="3" t="s">
        <v>11</v>
      </c>
    </row>
    <row r="1643" spans="1:9" x14ac:dyDescent="0.35">
      <c r="A1643" s="3">
        <v>103404383</v>
      </c>
      <c r="B1643" s="3" t="s">
        <v>3996</v>
      </c>
      <c r="C1643" s="3" t="s">
        <v>9</v>
      </c>
      <c r="D1643" s="3" t="s">
        <v>5</v>
      </c>
      <c r="E1643" s="3" t="s">
        <v>10</v>
      </c>
      <c r="F1643" s="3" t="s">
        <v>3997</v>
      </c>
      <c r="G1643" s="3" t="s">
        <v>3998</v>
      </c>
      <c r="H1643" s="4">
        <v>1281.55</v>
      </c>
      <c r="I1643" s="3" t="s">
        <v>11</v>
      </c>
    </row>
    <row r="1644" spans="1:9" x14ac:dyDescent="0.35">
      <c r="A1644" s="3">
        <v>103404376</v>
      </c>
      <c r="B1644" s="3" t="s">
        <v>3999</v>
      </c>
      <c r="C1644" s="3" t="s">
        <v>9</v>
      </c>
      <c r="D1644" s="3" t="s">
        <v>5</v>
      </c>
      <c r="E1644" s="3" t="s">
        <v>10</v>
      </c>
      <c r="F1644" s="3" t="s">
        <v>4000</v>
      </c>
      <c r="G1644" s="3" t="s">
        <v>4001</v>
      </c>
      <c r="H1644" s="4">
        <v>6410.6</v>
      </c>
      <c r="I1644" s="3" t="s">
        <v>11</v>
      </c>
    </row>
    <row r="1645" spans="1:9" x14ac:dyDescent="0.35">
      <c r="A1645" s="3">
        <v>103404277</v>
      </c>
      <c r="B1645" s="3" t="s">
        <v>4002</v>
      </c>
      <c r="C1645" s="3" t="s">
        <v>9</v>
      </c>
      <c r="D1645" s="3" t="s">
        <v>5</v>
      </c>
      <c r="E1645" s="3" t="s">
        <v>10</v>
      </c>
      <c r="F1645" s="3" t="s">
        <v>4003</v>
      </c>
      <c r="G1645" s="3" t="s">
        <v>4004</v>
      </c>
      <c r="H1645" s="4">
        <v>4321.55</v>
      </c>
      <c r="I1645" s="3" t="s">
        <v>11</v>
      </c>
    </row>
    <row r="1646" spans="1:9" x14ac:dyDescent="0.35">
      <c r="A1646" s="3">
        <v>103404275</v>
      </c>
      <c r="B1646" s="3" t="s">
        <v>4005</v>
      </c>
      <c r="C1646" s="3" t="s">
        <v>9</v>
      </c>
      <c r="D1646" s="3" t="s">
        <v>5</v>
      </c>
      <c r="E1646" s="3" t="s">
        <v>10</v>
      </c>
      <c r="F1646" s="3" t="s">
        <v>4006</v>
      </c>
      <c r="G1646" s="3" t="s">
        <v>4007</v>
      </c>
      <c r="H1646" s="5">
        <v>2799</v>
      </c>
      <c r="I1646" s="3" t="s">
        <v>11</v>
      </c>
    </row>
    <row r="1647" spans="1:9" x14ac:dyDescent="0.35">
      <c r="A1647" s="3">
        <v>103404273</v>
      </c>
      <c r="B1647" s="3" t="s">
        <v>4008</v>
      </c>
      <c r="C1647" s="3" t="s">
        <v>9</v>
      </c>
      <c r="D1647" s="3" t="s">
        <v>5</v>
      </c>
      <c r="E1647" s="3" t="s">
        <v>10</v>
      </c>
      <c r="F1647" s="3" t="s">
        <v>4009</v>
      </c>
      <c r="G1647" s="3" t="s">
        <v>4010</v>
      </c>
      <c r="H1647" s="5">
        <v>2499</v>
      </c>
      <c r="I1647" s="3" t="s">
        <v>11</v>
      </c>
    </row>
    <row r="1648" spans="1:9" x14ac:dyDescent="0.35">
      <c r="A1648" s="3">
        <v>103404271</v>
      </c>
      <c r="B1648" s="3" t="s">
        <v>4011</v>
      </c>
      <c r="C1648" s="3" t="s">
        <v>9</v>
      </c>
      <c r="D1648" s="3" t="s">
        <v>5</v>
      </c>
      <c r="E1648" s="3" t="s">
        <v>10</v>
      </c>
      <c r="F1648" s="3" t="s">
        <v>4012</v>
      </c>
      <c r="G1648" s="3" t="s">
        <v>4013</v>
      </c>
      <c r="H1648" s="5">
        <v>4999</v>
      </c>
      <c r="I1648" s="3" t="s">
        <v>11</v>
      </c>
    </row>
    <row r="1649" spans="1:9" x14ac:dyDescent="0.35">
      <c r="A1649" s="3">
        <v>103404163</v>
      </c>
      <c r="B1649" s="3" t="s">
        <v>4014</v>
      </c>
      <c r="C1649" s="3" t="s">
        <v>9</v>
      </c>
      <c r="D1649" s="3" t="s">
        <v>5</v>
      </c>
      <c r="E1649" s="3" t="s">
        <v>10</v>
      </c>
      <c r="F1649" s="3" t="s">
        <v>4015</v>
      </c>
      <c r="G1649" s="3" t="s">
        <v>4016</v>
      </c>
      <c r="H1649" s="4">
        <v>2849.05</v>
      </c>
      <c r="I1649" s="3" t="s">
        <v>11</v>
      </c>
    </row>
    <row r="1650" spans="1:9" x14ac:dyDescent="0.35">
      <c r="A1650" s="3">
        <v>103404161</v>
      </c>
      <c r="B1650" s="3" t="s">
        <v>4017</v>
      </c>
      <c r="C1650" s="3" t="s">
        <v>9</v>
      </c>
      <c r="D1650" s="3" t="s">
        <v>5</v>
      </c>
      <c r="E1650" s="3" t="s">
        <v>10</v>
      </c>
      <c r="F1650" s="3" t="s">
        <v>2741</v>
      </c>
      <c r="G1650" s="3" t="s">
        <v>2742</v>
      </c>
      <c r="H1650" s="5">
        <v>1649</v>
      </c>
      <c r="I1650" s="3" t="s">
        <v>11</v>
      </c>
    </row>
    <row r="1651" spans="1:9" x14ac:dyDescent="0.35">
      <c r="A1651" s="3">
        <v>103404158</v>
      </c>
      <c r="B1651" s="3" t="s">
        <v>4018</v>
      </c>
      <c r="C1651" s="3" t="s">
        <v>9</v>
      </c>
      <c r="D1651" s="3" t="s">
        <v>5</v>
      </c>
      <c r="E1651" s="3" t="s">
        <v>10</v>
      </c>
      <c r="F1651" s="3" t="s">
        <v>4019</v>
      </c>
      <c r="G1651" s="3" t="s">
        <v>4020</v>
      </c>
      <c r="H1651" s="4">
        <v>2648.79</v>
      </c>
      <c r="I1651" s="3" t="s">
        <v>11</v>
      </c>
    </row>
    <row r="1652" spans="1:9" x14ac:dyDescent="0.35">
      <c r="A1652" s="3">
        <v>103404154</v>
      </c>
      <c r="B1652" s="3" t="s">
        <v>4021</v>
      </c>
      <c r="C1652" s="3" t="s">
        <v>9</v>
      </c>
      <c r="D1652" s="3" t="s">
        <v>5</v>
      </c>
      <c r="E1652" s="3" t="s">
        <v>10</v>
      </c>
      <c r="F1652" s="3" t="s">
        <v>4022</v>
      </c>
      <c r="G1652" s="3" t="s">
        <v>4023</v>
      </c>
      <c r="H1652" s="4">
        <v>2042.1</v>
      </c>
      <c r="I1652" s="3" t="s">
        <v>11</v>
      </c>
    </row>
    <row r="1653" spans="1:9" x14ac:dyDescent="0.35">
      <c r="A1653" s="3">
        <v>103404153</v>
      </c>
      <c r="B1653" s="3" t="s">
        <v>4024</v>
      </c>
      <c r="C1653" s="3" t="s">
        <v>9</v>
      </c>
      <c r="D1653" s="3" t="s">
        <v>5</v>
      </c>
      <c r="E1653" s="3" t="s">
        <v>10</v>
      </c>
      <c r="F1653" s="3" t="s">
        <v>4025</v>
      </c>
      <c r="G1653" s="3" t="s">
        <v>4026</v>
      </c>
      <c r="H1653" s="4">
        <v>4274.05</v>
      </c>
      <c r="I1653" s="3" t="s">
        <v>11</v>
      </c>
    </row>
    <row r="1654" spans="1:9" x14ac:dyDescent="0.35">
      <c r="A1654" s="3">
        <v>103404152</v>
      </c>
      <c r="B1654" s="3" t="s">
        <v>4027</v>
      </c>
      <c r="C1654" s="3" t="s">
        <v>9</v>
      </c>
      <c r="D1654" s="3" t="s">
        <v>5</v>
      </c>
      <c r="E1654" s="3" t="s">
        <v>10</v>
      </c>
      <c r="F1654" s="3" t="s">
        <v>4028</v>
      </c>
      <c r="G1654" s="3" t="s">
        <v>4029</v>
      </c>
      <c r="H1654" s="5">
        <v>9398</v>
      </c>
      <c r="I1654" s="3" t="s">
        <v>11</v>
      </c>
    </row>
    <row r="1655" spans="1:9" x14ac:dyDescent="0.35">
      <c r="A1655" s="3">
        <v>103404260</v>
      </c>
      <c r="B1655" s="3" t="s">
        <v>4030</v>
      </c>
      <c r="C1655" s="3" t="s">
        <v>9</v>
      </c>
      <c r="D1655" s="3" t="s">
        <v>5</v>
      </c>
      <c r="E1655" s="3" t="s">
        <v>10</v>
      </c>
      <c r="F1655" s="3" t="s">
        <v>4031</v>
      </c>
      <c r="G1655" s="3" t="s">
        <v>4032</v>
      </c>
      <c r="H1655" s="4">
        <v>3704.05</v>
      </c>
      <c r="I1655" s="3" t="s">
        <v>11</v>
      </c>
    </row>
    <row r="1656" spans="1:9" x14ac:dyDescent="0.35">
      <c r="A1656" s="3">
        <v>103404259</v>
      </c>
      <c r="B1656" s="3" t="s">
        <v>4033</v>
      </c>
      <c r="C1656" s="3" t="s">
        <v>9</v>
      </c>
      <c r="D1656" s="3" t="s">
        <v>5</v>
      </c>
      <c r="E1656" s="3" t="s">
        <v>10</v>
      </c>
      <c r="F1656" s="3" t="s">
        <v>4034</v>
      </c>
      <c r="G1656" s="3" t="s">
        <v>4035</v>
      </c>
      <c r="H1656" s="4">
        <v>1262.55</v>
      </c>
      <c r="I1656" s="3" t="s">
        <v>11</v>
      </c>
    </row>
    <row r="1657" spans="1:9" x14ac:dyDescent="0.35">
      <c r="A1657" s="3">
        <v>103404148</v>
      </c>
      <c r="B1657" s="3" t="s">
        <v>4036</v>
      </c>
      <c r="C1657" s="3" t="s">
        <v>9</v>
      </c>
      <c r="D1657" s="3" t="s">
        <v>5</v>
      </c>
      <c r="E1657" s="3" t="s">
        <v>10</v>
      </c>
      <c r="F1657" s="3" t="s">
        <v>4037</v>
      </c>
      <c r="G1657" s="3" t="s">
        <v>4038</v>
      </c>
      <c r="H1657" s="5">
        <v>4799</v>
      </c>
      <c r="I1657" s="3" t="s">
        <v>11</v>
      </c>
    </row>
    <row r="1658" spans="1:9" x14ac:dyDescent="0.35">
      <c r="A1658" s="3">
        <v>103404147</v>
      </c>
      <c r="B1658" s="3" t="s">
        <v>4039</v>
      </c>
      <c r="C1658" s="3" t="s">
        <v>9</v>
      </c>
      <c r="D1658" s="3" t="s">
        <v>5</v>
      </c>
      <c r="E1658" s="3" t="s">
        <v>10</v>
      </c>
      <c r="F1658" s="3" t="s">
        <v>4040</v>
      </c>
      <c r="G1658" s="3" t="s">
        <v>4041</v>
      </c>
      <c r="H1658" s="4">
        <v>3704.05</v>
      </c>
      <c r="I1658" s="3" t="s">
        <v>11</v>
      </c>
    </row>
    <row r="1659" spans="1:9" x14ac:dyDescent="0.35">
      <c r="A1659" s="3">
        <v>103404254</v>
      </c>
      <c r="B1659" s="3" t="s">
        <v>4042</v>
      </c>
      <c r="C1659" s="3" t="s">
        <v>9</v>
      </c>
      <c r="D1659" s="3" t="s">
        <v>5</v>
      </c>
      <c r="E1659" s="3" t="s">
        <v>10</v>
      </c>
      <c r="F1659" s="3" t="s">
        <v>4043</v>
      </c>
      <c r="G1659" s="3" t="s">
        <v>4044</v>
      </c>
      <c r="H1659" s="4">
        <v>1055.02</v>
      </c>
      <c r="I1659" s="3" t="s">
        <v>11</v>
      </c>
    </row>
    <row r="1660" spans="1:9" x14ac:dyDescent="0.35">
      <c r="A1660" s="3">
        <v>103404145</v>
      </c>
      <c r="B1660" s="3" t="s">
        <v>4045</v>
      </c>
      <c r="C1660" s="3" t="s">
        <v>9</v>
      </c>
      <c r="D1660" s="3" t="s">
        <v>5</v>
      </c>
      <c r="E1660" s="3" t="s">
        <v>10</v>
      </c>
      <c r="F1660" s="3" t="s">
        <v>4046</v>
      </c>
      <c r="G1660" s="3" t="s">
        <v>4047</v>
      </c>
      <c r="H1660" s="4">
        <v>1259.0999999999999</v>
      </c>
      <c r="I1660" s="3" t="s">
        <v>11</v>
      </c>
    </row>
    <row r="1661" spans="1:9" x14ac:dyDescent="0.35">
      <c r="A1661" s="3">
        <v>103404249</v>
      </c>
      <c r="B1661" s="3" t="s">
        <v>4048</v>
      </c>
      <c r="C1661" s="3" t="s">
        <v>9</v>
      </c>
      <c r="D1661" s="3" t="s">
        <v>5</v>
      </c>
      <c r="E1661" s="3" t="s">
        <v>10</v>
      </c>
      <c r="F1661" s="3" t="s">
        <v>4049</v>
      </c>
      <c r="G1661" s="3" t="s">
        <v>4050</v>
      </c>
      <c r="H1661" s="3">
        <v>737.1</v>
      </c>
      <c r="I1661" s="3" t="s">
        <v>11</v>
      </c>
    </row>
    <row r="1662" spans="1:9" x14ac:dyDescent="0.35">
      <c r="A1662" s="3">
        <v>103404243</v>
      </c>
      <c r="B1662" s="3" t="s">
        <v>4051</v>
      </c>
      <c r="C1662" s="3" t="s">
        <v>9</v>
      </c>
      <c r="D1662" s="3" t="s">
        <v>5</v>
      </c>
      <c r="E1662" s="3" t="s">
        <v>10</v>
      </c>
      <c r="F1662" s="3" t="s">
        <v>4052</v>
      </c>
      <c r="G1662" s="3" t="s">
        <v>4053</v>
      </c>
      <c r="H1662" s="4">
        <v>3842.75</v>
      </c>
      <c r="I1662" s="3" t="s">
        <v>11</v>
      </c>
    </row>
    <row r="1663" spans="1:9" x14ac:dyDescent="0.35">
      <c r="A1663" s="3">
        <v>103404138</v>
      </c>
      <c r="B1663" s="3" t="s">
        <v>4054</v>
      </c>
      <c r="C1663" s="3" t="s">
        <v>9</v>
      </c>
      <c r="D1663" s="3" t="s">
        <v>5</v>
      </c>
      <c r="E1663" s="3" t="s">
        <v>10</v>
      </c>
      <c r="F1663" s="3" t="s">
        <v>4055</v>
      </c>
      <c r="G1663" s="3" t="s">
        <v>4056</v>
      </c>
      <c r="H1663" s="4">
        <v>2374.0500000000002</v>
      </c>
      <c r="I1663" s="3" t="s">
        <v>11</v>
      </c>
    </row>
    <row r="1664" spans="1:9" x14ac:dyDescent="0.35">
      <c r="A1664" s="3">
        <v>103404239</v>
      </c>
      <c r="B1664" s="3" t="s">
        <v>4057</v>
      </c>
      <c r="C1664" s="3" t="s">
        <v>9</v>
      </c>
      <c r="D1664" s="3" t="s">
        <v>5</v>
      </c>
      <c r="E1664" s="3" t="s">
        <v>12</v>
      </c>
      <c r="F1664" s="3" t="s">
        <v>4058</v>
      </c>
      <c r="G1664" s="3" t="s">
        <v>4059</v>
      </c>
      <c r="H1664" s="3">
        <v>854.05</v>
      </c>
      <c r="I1664" s="3" t="s">
        <v>11</v>
      </c>
    </row>
    <row r="1665" spans="1:9" x14ac:dyDescent="0.35">
      <c r="A1665" s="3">
        <v>103404133</v>
      </c>
      <c r="B1665" s="3" t="s">
        <v>4060</v>
      </c>
      <c r="C1665" s="3" t="s">
        <v>9</v>
      </c>
      <c r="D1665" s="3" t="s">
        <v>5</v>
      </c>
      <c r="E1665" s="3" t="s">
        <v>10</v>
      </c>
      <c r="F1665" s="3" t="s">
        <v>4061</v>
      </c>
      <c r="G1665" s="3" t="s">
        <v>4062</v>
      </c>
      <c r="H1665" s="4">
        <v>1994.05</v>
      </c>
      <c r="I1665" s="3" t="s">
        <v>11</v>
      </c>
    </row>
    <row r="1666" spans="1:9" x14ac:dyDescent="0.35">
      <c r="H1666" s="1"/>
    </row>
    <row r="1667" spans="1:9" x14ac:dyDescent="0.35">
      <c r="H1667" s="1"/>
    </row>
    <row r="1668" spans="1:9" x14ac:dyDescent="0.35">
      <c r="H1668" s="1"/>
    </row>
    <row r="1669" spans="1:9" x14ac:dyDescent="0.35">
      <c r="H1669" s="1"/>
    </row>
    <row r="1670" spans="1:9" x14ac:dyDescent="0.35">
      <c r="H1670" s="1"/>
    </row>
    <row r="1671" spans="1:9" x14ac:dyDescent="0.35">
      <c r="H1671" s="1"/>
    </row>
    <row r="1672" spans="1:9" x14ac:dyDescent="0.35">
      <c r="H1672" s="1"/>
    </row>
    <row r="1673" spans="1:9" x14ac:dyDescent="0.35">
      <c r="H1673" s="1"/>
    </row>
    <row r="1674" spans="1:9" x14ac:dyDescent="0.35">
      <c r="H1674" s="1"/>
    </row>
    <row r="1675" spans="1:9" x14ac:dyDescent="0.35">
      <c r="H1675" s="1"/>
    </row>
    <row r="1676" spans="1:9" x14ac:dyDescent="0.35">
      <c r="H1676" s="1"/>
    </row>
    <row r="1677" spans="1:9" x14ac:dyDescent="0.35">
      <c r="H1677" s="1"/>
    </row>
    <row r="1678" spans="1:9" x14ac:dyDescent="0.35">
      <c r="H1678" s="1"/>
    </row>
    <row r="1679" spans="1:9" x14ac:dyDescent="0.35">
      <c r="H1679" s="1"/>
    </row>
    <row r="1680" spans="1:9" x14ac:dyDescent="0.35">
      <c r="H1680" s="1"/>
    </row>
  </sheetData>
  <autoFilter ref="A1:I1665" xr:uid="{00000000-0001-0000-00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ing_Data_trimmed">
                <anchor moveWithCells="1" sizeWithCells="1">
                  <from>
                    <xdr:col>11</xdr:col>
                    <xdr:colOff>38100</xdr:colOff>
                    <xdr:row>0</xdr:row>
                    <xdr:rowOff>19050</xdr:rowOff>
                  </from>
                  <to>
                    <xdr:col>13</xdr:col>
                    <xdr:colOff>25400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Data_From_File">
                <anchor moveWithCells="1" sizeWithCells="1">
                  <from>
                    <xdr:col>9</xdr:col>
                    <xdr:colOff>38100</xdr:colOff>
                    <xdr:row>0</xdr:row>
                    <xdr:rowOff>0</xdr:rowOff>
                  </from>
                  <to>
                    <xdr:col>10</xdr:col>
                    <xdr:colOff>558800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7AD1E-C479-446F-8438-7768007FE9DA}">
  <sheetPr codeName="Sheet5"/>
  <dimension ref="A1:O1665"/>
  <sheetViews>
    <sheetView workbookViewId="0">
      <selection activeCell="L1" sqref="L1"/>
    </sheetView>
  </sheetViews>
  <sheetFormatPr defaultRowHeight="14.5" x14ac:dyDescent="0.35"/>
  <cols>
    <col min="3" max="3" width="10.08984375" bestFit="1" customWidth="1"/>
    <col min="13" max="13" width="10.08984375" bestFit="1" customWidth="1"/>
  </cols>
  <sheetData>
    <row r="1" spans="1:15" x14ac:dyDescent="0.35">
      <c r="A1" s="3" t="s">
        <v>0</v>
      </c>
      <c r="B1" s="3" t="s">
        <v>1</v>
      </c>
      <c r="C1" s="3" t="s">
        <v>4063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M1" t="s">
        <v>4063</v>
      </c>
      <c r="N1" t="s">
        <v>4067</v>
      </c>
      <c r="O1" t="s">
        <v>4068</v>
      </c>
    </row>
    <row r="2" spans="1:15" x14ac:dyDescent="0.35">
      <c r="A2" s="3">
        <v>103411292</v>
      </c>
      <c r="B2" s="3" t="s">
        <v>4082</v>
      </c>
      <c r="C2" s="3" t="str">
        <f>LEFT(B2,FIND("T",B2)-1)</f>
        <v>2022-07-07</v>
      </c>
      <c r="D2" s="3" t="s">
        <v>9</v>
      </c>
      <c r="E2" s="3" t="s">
        <v>5</v>
      </c>
      <c r="F2" s="3" t="s">
        <v>10</v>
      </c>
      <c r="G2" s="3" t="s">
        <v>4083</v>
      </c>
      <c r="H2" s="3" t="s">
        <v>4084</v>
      </c>
      <c r="I2" s="4">
        <v>6839.14</v>
      </c>
      <c r="J2" s="3" t="s">
        <v>11</v>
      </c>
      <c r="M2" t="s">
        <v>4064</v>
      </c>
      <c r="N2">
        <f>COUNTIF($C$2:$C$1665,M2)</f>
        <v>376</v>
      </c>
      <c r="O2">
        <f>SUMIF($C$2:$C$1665,M2,$I$2:$I$1665)</f>
        <v>903130.11000000092</v>
      </c>
    </row>
    <row r="3" spans="1:15" x14ac:dyDescent="0.35">
      <c r="A3" s="3">
        <v>103411281</v>
      </c>
      <c r="B3" s="3" t="s">
        <v>4085</v>
      </c>
      <c r="C3" s="3" t="str">
        <f t="shared" ref="C3:C66" si="0">LEFT(B3,FIND("T",B3)-1)</f>
        <v>2022-07-07</v>
      </c>
      <c r="D3" s="3" t="s">
        <v>9</v>
      </c>
      <c r="E3" s="3" t="s">
        <v>5</v>
      </c>
      <c r="F3" s="3" t="s">
        <v>10</v>
      </c>
      <c r="G3" s="3" t="s">
        <v>4086</v>
      </c>
      <c r="H3" s="3" t="s">
        <v>4087</v>
      </c>
      <c r="I3" s="4">
        <v>2468.1</v>
      </c>
      <c r="J3" s="3" t="s">
        <v>11</v>
      </c>
      <c r="M3" t="s">
        <v>4065</v>
      </c>
      <c r="N3">
        <f t="shared" ref="N3:N4" si="1">COUNTIF($C$2:$C$1665,M3)</f>
        <v>1143</v>
      </c>
      <c r="O3">
        <f t="shared" ref="O3:O4" si="2">SUMIF($C$2:$C$1665,M3,$I$2:$I$1665)</f>
        <v>2773099.7799999956</v>
      </c>
    </row>
    <row r="4" spans="1:15" x14ac:dyDescent="0.35">
      <c r="A4" s="3">
        <v>103411274</v>
      </c>
      <c r="B4" s="3" t="s">
        <v>4088</v>
      </c>
      <c r="C4" s="3" t="str">
        <f t="shared" si="0"/>
        <v>2022-07-07</v>
      </c>
      <c r="D4" s="3" t="s">
        <v>9</v>
      </c>
      <c r="E4" s="3" t="s">
        <v>5</v>
      </c>
      <c r="F4" s="3" t="s">
        <v>10</v>
      </c>
      <c r="G4" s="3" t="s">
        <v>4089</v>
      </c>
      <c r="H4" s="3" t="s">
        <v>4090</v>
      </c>
      <c r="I4" s="5">
        <v>5849</v>
      </c>
      <c r="J4" s="3" t="s">
        <v>11</v>
      </c>
      <c r="M4" t="s">
        <v>4066</v>
      </c>
      <c r="N4">
        <f t="shared" si="1"/>
        <v>145</v>
      </c>
      <c r="O4">
        <f t="shared" si="2"/>
        <v>356219.00999999978</v>
      </c>
    </row>
    <row r="5" spans="1:15" x14ac:dyDescent="0.35">
      <c r="A5" s="3">
        <v>103411272</v>
      </c>
      <c r="B5" s="3" t="s">
        <v>4091</v>
      </c>
      <c r="C5" s="3" t="str">
        <f t="shared" si="0"/>
        <v>2022-07-07</v>
      </c>
      <c r="D5" s="3" t="s">
        <v>9</v>
      </c>
      <c r="E5" s="3" t="s">
        <v>5</v>
      </c>
      <c r="F5" s="3" t="s">
        <v>12</v>
      </c>
      <c r="G5" s="3" t="s">
        <v>4092</v>
      </c>
      <c r="H5" s="3" t="s">
        <v>4093</v>
      </c>
      <c r="I5" s="5">
        <v>1249</v>
      </c>
      <c r="J5" s="3" t="s">
        <v>14</v>
      </c>
    </row>
    <row r="6" spans="1:15" x14ac:dyDescent="0.35">
      <c r="A6" s="3">
        <v>103411192</v>
      </c>
      <c r="B6" s="3" t="s">
        <v>4094</v>
      </c>
      <c r="C6" s="3" t="str">
        <f t="shared" si="0"/>
        <v>2022-07-07</v>
      </c>
      <c r="D6" s="3" t="s">
        <v>9</v>
      </c>
      <c r="E6" s="3" t="s">
        <v>5</v>
      </c>
      <c r="F6" s="3" t="s">
        <v>10</v>
      </c>
      <c r="G6" s="3" t="s">
        <v>4095</v>
      </c>
      <c r="H6" s="3" t="s">
        <v>4096</v>
      </c>
      <c r="I6" s="5">
        <v>9598</v>
      </c>
      <c r="J6" s="3" t="s">
        <v>14</v>
      </c>
    </row>
    <row r="7" spans="1:15" x14ac:dyDescent="0.35">
      <c r="A7" s="3">
        <v>103411270</v>
      </c>
      <c r="B7" s="3" t="s">
        <v>4097</v>
      </c>
      <c r="C7" s="3" t="str">
        <f t="shared" si="0"/>
        <v>2022-07-07</v>
      </c>
      <c r="D7" s="3" t="s">
        <v>9</v>
      </c>
      <c r="E7" s="3" t="s">
        <v>5</v>
      </c>
      <c r="F7" s="3" t="s">
        <v>10</v>
      </c>
      <c r="G7" s="3" t="s">
        <v>4098</v>
      </c>
      <c r="H7" s="3" t="s">
        <v>4099</v>
      </c>
      <c r="I7" s="3">
        <v>616.54999999999995</v>
      </c>
      <c r="J7" s="3" t="s">
        <v>14</v>
      </c>
      <c r="M7" t="s">
        <v>7</v>
      </c>
      <c r="N7">
        <f t="shared" ref="N7:O7" si="3">SUM(N2:N6)</f>
        <v>1664</v>
      </c>
      <c r="O7">
        <f t="shared" si="3"/>
        <v>4032448.8999999962</v>
      </c>
    </row>
    <row r="8" spans="1:15" x14ac:dyDescent="0.35">
      <c r="A8" s="3">
        <v>103411266</v>
      </c>
      <c r="B8" s="3" t="s">
        <v>4100</v>
      </c>
      <c r="C8" s="3" t="str">
        <f t="shared" si="0"/>
        <v>2022-07-07</v>
      </c>
      <c r="D8" s="3" t="s">
        <v>9</v>
      </c>
      <c r="E8" s="3" t="s">
        <v>5</v>
      </c>
      <c r="F8" s="3" t="s">
        <v>10</v>
      </c>
      <c r="G8" s="3" t="s">
        <v>4101</v>
      </c>
      <c r="H8" s="3" t="s">
        <v>4102</v>
      </c>
      <c r="I8" s="4">
        <v>3051.49</v>
      </c>
      <c r="J8" s="3" t="s">
        <v>14</v>
      </c>
    </row>
    <row r="9" spans="1:15" x14ac:dyDescent="0.35">
      <c r="A9" s="3">
        <v>103411265</v>
      </c>
      <c r="B9" s="3" t="s">
        <v>4103</v>
      </c>
      <c r="C9" s="3" t="str">
        <f t="shared" si="0"/>
        <v>2022-07-07</v>
      </c>
      <c r="D9" s="3" t="s">
        <v>9</v>
      </c>
      <c r="E9" s="3" t="s">
        <v>5</v>
      </c>
      <c r="F9" s="3" t="s">
        <v>10</v>
      </c>
      <c r="G9" s="3" t="s">
        <v>4104</v>
      </c>
      <c r="H9" s="3" t="s">
        <v>4105</v>
      </c>
      <c r="I9" s="3">
        <v>489</v>
      </c>
      <c r="J9" s="3" t="s">
        <v>14</v>
      </c>
    </row>
    <row r="10" spans="1:15" x14ac:dyDescent="0.35">
      <c r="A10" s="3">
        <v>103411188</v>
      </c>
      <c r="B10" s="3" t="s">
        <v>4106</v>
      </c>
      <c r="C10" s="3" t="str">
        <f t="shared" si="0"/>
        <v>2022-07-07</v>
      </c>
      <c r="D10" s="3" t="s">
        <v>9</v>
      </c>
      <c r="E10" s="3" t="s">
        <v>5</v>
      </c>
      <c r="F10" s="3" t="s">
        <v>10</v>
      </c>
      <c r="G10" s="3" t="s">
        <v>4107</v>
      </c>
      <c r="H10" s="3" t="s">
        <v>4108</v>
      </c>
      <c r="I10" s="3">
        <v>350.55</v>
      </c>
      <c r="J10" s="3" t="s">
        <v>14</v>
      </c>
    </row>
    <row r="11" spans="1:15" x14ac:dyDescent="0.35">
      <c r="A11" s="3">
        <v>103411187</v>
      </c>
      <c r="B11" s="3" t="s">
        <v>4109</v>
      </c>
      <c r="C11" s="3" t="str">
        <f t="shared" si="0"/>
        <v>2022-07-07</v>
      </c>
      <c r="D11" s="3" t="s">
        <v>9</v>
      </c>
      <c r="E11" s="3" t="s">
        <v>5</v>
      </c>
      <c r="F11" s="3" t="s">
        <v>10</v>
      </c>
      <c r="G11" s="3" t="s">
        <v>4110</v>
      </c>
      <c r="H11" s="3" t="s">
        <v>4111</v>
      </c>
      <c r="I11" s="5">
        <v>1999</v>
      </c>
      <c r="J11" s="3" t="s">
        <v>14</v>
      </c>
    </row>
    <row r="12" spans="1:15" x14ac:dyDescent="0.35">
      <c r="A12" s="3">
        <v>103411186</v>
      </c>
      <c r="B12" s="3" t="s">
        <v>4112</v>
      </c>
      <c r="C12" s="3" t="str">
        <f t="shared" si="0"/>
        <v>2022-07-07</v>
      </c>
      <c r="D12" s="3" t="s">
        <v>9</v>
      </c>
      <c r="E12" s="3" t="s">
        <v>5</v>
      </c>
      <c r="F12" s="3" t="s">
        <v>10</v>
      </c>
      <c r="G12" s="3" t="s">
        <v>3650</v>
      </c>
      <c r="H12" s="3" t="s">
        <v>3651</v>
      </c>
      <c r="I12" s="4">
        <v>1851.55</v>
      </c>
      <c r="J12" s="3" t="s">
        <v>14</v>
      </c>
    </row>
    <row r="13" spans="1:15" x14ac:dyDescent="0.35">
      <c r="A13" s="3">
        <v>103411161</v>
      </c>
      <c r="B13" s="3" t="s">
        <v>4113</v>
      </c>
      <c r="C13" s="3" t="str">
        <f t="shared" si="0"/>
        <v>2022-07-07</v>
      </c>
      <c r="D13" s="3" t="s">
        <v>9</v>
      </c>
      <c r="E13" s="3" t="s">
        <v>5</v>
      </c>
      <c r="F13" s="3" t="s">
        <v>10</v>
      </c>
      <c r="G13" s="3" t="s">
        <v>4114</v>
      </c>
      <c r="H13" s="3" t="s">
        <v>4115</v>
      </c>
      <c r="I13" s="4">
        <v>6839.05</v>
      </c>
      <c r="J13" s="3" t="s">
        <v>14</v>
      </c>
    </row>
    <row r="14" spans="1:15" x14ac:dyDescent="0.35">
      <c r="A14" s="3">
        <v>103411156</v>
      </c>
      <c r="B14" s="3" t="s">
        <v>4116</v>
      </c>
      <c r="C14" s="3" t="str">
        <f t="shared" si="0"/>
        <v>2022-07-07</v>
      </c>
      <c r="D14" s="3" t="s">
        <v>9</v>
      </c>
      <c r="E14" s="3" t="s">
        <v>5</v>
      </c>
      <c r="F14" s="3" t="s">
        <v>10</v>
      </c>
      <c r="G14" s="3" t="s">
        <v>4117</v>
      </c>
      <c r="H14" s="3" t="s">
        <v>4118</v>
      </c>
      <c r="I14" s="5">
        <v>5199</v>
      </c>
      <c r="J14" s="3" t="s">
        <v>14</v>
      </c>
    </row>
    <row r="15" spans="1:15" x14ac:dyDescent="0.35">
      <c r="A15" s="3">
        <v>103411155</v>
      </c>
      <c r="B15" s="3" t="s">
        <v>4119</v>
      </c>
      <c r="C15" s="3" t="str">
        <f t="shared" si="0"/>
        <v>2022-07-07</v>
      </c>
      <c r="D15" s="3" t="s">
        <v>9</v>
      </c>
      <c r="E15" s="3" t="s">
        <v>5</v>
      </c>
      <c r="F15" s="3" t="s">
        <v>10</v>
      </c>
      <c r="G15" s="3" t="s">
        <v>4120</v>
      </c>
      <c r="H15" s="3" t="s">
        <v>4121</v>
      </c>
      <c r="I15" s="3">
        <v>389</v>
      </c>
      <c r="J15" s="3" t="s">
        <v>14</v>
      </c>
    </row>
    <row r="16" spans="1:15" x14ac:dyDescent="0.35">
      <c r="A16" s="3">
        <v>103411150</v>
      </c>
      <c r="B16" s="3" t="s">
        <v>4122</v>
      </c>
      <c r="C16" s="3" t="str">
        <f t="shared" si="0"/>
        <v>2022-07-07</v>
      </c>
      <c r="D16" s="3" t="s">
        <v>9</v>
      </c>
      <c r="E16" s="3" t="s">
        <v>5</v>
      </c>
      <c r="F16" s="3" t="s">
        <v>12</v>
      </c>
      <c r="G16" s="3" t="s">
        <v>4123</v>
      </c>
      <c r="H16" s="3" t="s">
        <v>4124</v>
      </c>
      <c r="I16" s="3">
        <v>806.55</v>
      </c>
      <c r="J16" s="3" t="s">
        <v>14</v>
      </c>
    </row>
    <row r="17" spans="1:10" x14ac:dyDescent="0.35">
      <c r="A17" s="3">
        <v>103411146</v>
      </c>
      <c r="B17" s="3" t="s">
        <v>4125</v>
      </c>
      <c r="C17" s="3" t="str">
        <f t="shared" si="0"/>
        <v>2022-07-07</v>
      </c>
      <c r="D17" s="3" t="s">
        <v>9</v>
      </c>
      <c r="E17" s="3" t="s">
        <v>5</v>
      </c>
      <c r="F17" s="3" t="s">
        <v>10</v>
      </c>
      <c r="G17" s="3" t="s">
        <v>4126</v>
      </c>
      <c r="H17" s="3" t="s">
        <v>4127</v>
      </c>
      <c r="I17" s="4">
        <v>2374.0500000000002</v>
      </c>
      <c r="J17" s="3" t="s">
        <v>14</v>
      </c>
    </row>
    <row r="18" spans="1:10" x14ac:dyDescent="0.35">
      <c r="A18" s="3">
        <v>103411179</v>
      </c>
      <c r="B18" s="3" t="s">
        <v>4128</v>
      </c>
      <c r="C18" s="3" t="str">
        <f t="shared" si="0"/>
        <v>2022-07-07</v>
      </c>
      <c r="D18" s="3" t="s">
        <v>9</v>
      </c>
      <c r="E18" s="3" t="s">
        <v>5</v>
      </c>
      <c r="F18" s="3" t="s">
        <v>10</v>
      </c>
      <c r="G18" s="3" t="s">
        <v>4129</v>
      </c>
      <c r="H18" s="3" t="s">
        <v>4130</v>
      </c>
      <c r="I18" s="4">
        <v>4143.33</v>
      </c>
      <c r="J18" s="3" t="s">
        <v>14</v>
      </c>
    </row>
    <row r="19" spans="1:10" x14ac:dyDescent="0.35">
      <c r="A19" s="3">
        <v>103411177</v>
      </c>
      <c r="B19" s="3" t="s">
        <v>4131</v>
      </c>
      <c r="C19" s="3" t="str">
        <f t="shared" si="0"/>
        <v>2022-07-07</v>
      </c>
      <c r="D19" s="3" t="s">
        <v>9</v>
      </c>
      <c r="E19" s="3" t="s">
        <v>5</v>
      </c>
      <c r="F19" s="3" t="s">
        <v>12</v>
      </c>
      <c r="G19" s="3" t="s">
        <v>4132</v>
      </c>
      <c r="H19" s="3" t="s">
        <v>4133</v>
      </c>
      <c r="I19" s="5">
        <v>3599</v>
      </c>
      <c r="J19" s="3" t="s">
        <v>14</v>
      </c>
    </row>
    <row r="20" spans="1:10" x14ac:dyDescent="0.35">
      <c r="A20" s="3">
        <v>103411144</v>
      </c>
      <c r="B20" s="3" t="s">
        <v>4134</v>
      </c>
      <c r="C20" s="3" t="str">
        <f t="shared" si="0"/>
        <v>2022-07-07</v>
      </c>
      <c r="D20" s="3" t="s">
        <v>9</v>
      </c>
      <c r="E20" s="3" t="s">
        <v>5</v>
      </c>
      <c r="F20" s="3" t="s">
        <v>12</v>
      </c>
      <c r="G20" s="3" t="s">
        <v>4135</v>
      </c>
      <c r="H20" s="3" t="s">
        <v>4136</v>
      </c>
      <c r="I20" s="5">
        <v>6345</v>
      </c>
      <c r="J20" s="3" t="s">
        <v>14</v>
      </c>
    </row>
    <row r="21" spans="1:10" x14ac:dyDescent="0.35">
      <c r="A21" s="3">
        <v>103411143</v>
      </c>
      <c r="B21" s="3" t="s">
        <v>4137</v>
      </c>
      <c r="C21" s="3" t="str">
        <f t="shared" si="0"/>
        <v>2022-07-07</v>
      </c>
      <c r="D21" s="3" t="s">
        <v>9</v>
      </c>
      <c r="E21" s="3" t="s">
        <v>5</v>
      </c>
      <c r="F21" s="3" t="s">
        <v>10</v>
      </c>
      <c r="G21" s="3" t="s">
        <v>4138</v>
      </c>
      <c r="H21" s="3" t="s">
        <v>4139</v>
      </c>
      <c r="I21" s="4">
        <v>1076.44</v>
      </c>
      <c r="J21" s="3" t="s">
        <v>14</v>
      </c>
    </row>
    <row r="22" spans="1:10" x14ac:dyDescent="0.35">
      <c r="A22" s="3">
        <v>103411142</v>
      </c>
      <c r="B22" s="3" t="s">
        <v>4140</v>
      </c>
      <c r="C22" s="3" t="str">
        <f t="shared" si="0"/>
        <v>2022-07-07</v>
      </c>
      <c r="D22" s="3" t="s">
        <v>9</v>
      </c>
      <c r="E22" s="3" t="s">
        <v>5</v>
      </c>
      <c r="F22" s="3" t="s">
        <v>10</v>
      </c>
      <c r="G22" s="3" t="s">
        <v>4141</v>
      </c>
      <c r="H22" s="3" t="s">
        <v>4142</v>
      </c>
      <c r="I22" s="4">
        <v>3656.55</v>
      </c>
      <c r="J22" s="3" t="s">
        <v>14</v>
      </c>
    </row>
    <row r="23" spans="1:10" x14ac:dyDescent="0.35">
      <c r="A23" s="3">
        <v>103411174</v>
      </c>
      <c r="B23" s="3" t="s">
        <v>4143</v>
      </c>
      <c r="C23" s="3" t="str">
        <f t="shared" si="0"/>
        <v>2022-07-07</v>
      </c>
      <c r="D23" s="3" t="s">
        <v>9</v>
      </c>
      <c r="E23" s="3" t="s">
        <v>5</v>
      </c>
      <c r="F23" s="3" t="s">
        <v>10</v>
      </c>
      <c r="G23" s="3" t="s">
        <v>4144</v>
      </c>
      <c r="H23" s="3" t="s">
        <v>4145</v>
      </c>
      <c r="I23" s="4">
        <v>1063.05</v>
      </c>
      <c r="J23" s="3" t="s">
        <v>14</v>
      </c>
    </row>
    <row r="24" spans="1:10" x14ac:dyDescent="0.35">
      <c r="A24" s="3">
        <v>103411140</v>
      </c>
      <c r="B24" s="3" t="s">
        <v>4146</v>
      </c>
      <c r="C24" s="3" t="str">
        <f t="shared" si="0"/>
        <v>2022-07-07</v>
      </c>
      <c r="D24" s="3" t="s">
        <v>9</v>
      </c>
      <c r="E24" s="3" t="s">
        <v>5</v>
      </c>
      <c r="F24" s="3" t="s">
        <v>10</v>
      </c>
      <c r="G24" s="3" t="s">
        <v>4147</v>
      </c>
      <c r="H24" s="3" t="s">
        <v>4148</v>
      </c>
      <c r="I24" s="4">
        <v>4321.55</v>
      </c>
      <c r="J24" s="3" t="s">
        <v>14</v>
      </c>
    </row>
    <row r="25" spans="1:10" x14ac:dyDescent="0.35">
      <c r="A25" s="3">
        <v>103411138</v>
      </c>
      <c r="B25" s="3" t="s">
        <v>4149</v>
      </c>
      <c r="C25" s="3" t="str">
        <f t="shared" si="0"/>
        <v>2022-07-07</v>
      </c>
      <c r="D25" s="3" t="s">
        <v>9</v>
      </c>
      <c r="E25" s="3" t="s">
        <v>5</v>
      </c>
      <c r="F25" s="3" t="s">
        <v>10</v>
      </c>
      <c r="G25" s="3" t="s">
        <v>4150</v>
      </c>
      <c r="H25" s="3" t="s">
        <v>4151</v>
      </c>
      <c r="I25" s="4">
        <v>1899.05</v>
      </c>
      <c r="J25" s="3" t="s">
        <v>14</v>
      </c>
    </row>
    <row r="26" spans="1:10" x14ac:dyDescent="0.35">
      <c r="A26" s="3">
        <v>103411137</v>
      </c>
      <c r="B26" s="3" t="s">
        <v>4152</v>
      </c>
      <c r="C26" s="3" t="str">
        <f t="shared" si="0"/>
        <v>2022-07-07</v>
      </c>
      <c r="D26" s="3" t="s">
        <v>9</v>
      </c>
      <c r="E26" s="3" t="s">
        <v>5</v>
      </c>
      <c r="F26" s="3" t="s">
        <v>12</v>
      </c>
      <c r="G26" s="3" t="s">
        <v>4153</v>
      </c>
      <c r="H26" s="3" t="s">
        <v>4154</v>
      </c>
      <c r="I26" s="4">
        <v>4439.49</v>
      </c>
      <c r="J26" s="3" t="s">
        <v>14</v>
      </c>
    </row>
    <row r="27" spans="1:10" x14ac:dyDescent="0.35">
      <c r="A27" s="3">
        <v>103411169</v>
      </c>
      <c r="B27" s="3" t="s">
        <v>4152</v>
      </c>
      <c r="C27" s="3" t="str">
        <f t="shared" si="0"/>
        <v>2022-07-07</v>
      </c>
      <c r="D27" s="3" t="s">
        <v>9</v>
      </c>
      <c r="E27" s="3" t="s">
        <v>5</v>
      </c>
      <c r="F27" s="3" t="s">
        <v>10</v>
      </c>
      <c r="G27" s="3" t="s">
        <v>4155</v>
      </c>
      <c r="H27" s="3" t="s">
        <v>4156</v>
      </c>
      <c r="I27" s="3">
        <v>806.55</v>
      </c>
      <c r="J27" s="3" t="s">
        <v>14</v>
      </c>
    </row>
    <row r="28" spans="1:10" x14ac:dyDescent="0.35">
      <c r="A28" s="3">
        <v>103411132</v>
      </c>
      <c r="B28" s="3" t="s">
        <v>4157</v>
      </c>
      <c r="C28" s="3" t="str">
        <f t="shared" si="0"/>
        <v>2022-07-07</v>
      </c>
      <c r="D28" s="3" t="s">
        <v>9</v>
      </c>
      <c r="E28" s="3" t="s">
        <v>5</v>
      </c>
      <c r="F28" s="3" t="s">
        <v>10</v>
      </c>
      <c r="G28" s="3" t="s">
        <v>4158</v>
      </c>
      <c r="H28" s="3" t="s">
        <v>4159</v>
      </c>
      <c r="I28" s="4">
        <v>1025.1400000000001</v>
      </c>
      <c r="J28" s="3" t="s">
        <v>14</v>
      </c>
    </row>
    <row r="29" spans="1:10" x14ac:dyDescent="0.35">
      <c r="A29" s="3">
        <v>103411061</v>
      </c>
      <c r="B29" s="3" t="s">
        <v>4160</v>
      </c>
      <c r="C29" s="3" t="str">
        <f t="shared" si="0"/>
        <v>2022-07-07</v>
      </c>
      <c r="D29" s="3" t="s">
        <v>9</v>
      </c>
      <c r="E29" s="3" t="s">
        <v>5</v>
      </c>
      <c r="F29" s="3" t="s">
        <v>10</v>
      </c>
      <c r="G29" s="3" t="s">
        <v>4161</v>
      </c>
      <c r="H29" s="3" t="s">
        <v>4162</v>
      </c>
      <c r="I29" s="5">
        <v>5849</v>
      </c>
      <c r="J29" s="3" t="s">
        <v>14</v>
      </c>
    </row>
    <row r="30" spans="1:10" x14ac:dyDescent="0.35">
      <c r="A30" s="3">
        <v>103411059</v>
      </c>
      <c r="B30" s="3" t="s">
        <v>4163</v>
      </c>
      <c r="C30" s="3" t="str">
        <f t="shared" si="0"/>
        <v>2022-07-07</v>
      </c>
      <c r="D30" s="3" t="s">
        <v>9</v>
      </c>
      <c r="E30" s="3" t="s">
        <v>5</v>
      </c>
      <c r="F30" s="3" t="s">
        <v>10</v>
      </c>
      <c r="G30" s="3" t="s">
        <v>48</v>
      </c>
      <c r="H30" s="3" t="s">
        <v>49</v>
      </c>
      <c r="I30" s="5">
        <v>3599</v>
      </c>
      <c r="J30" s="3" t="s">
        <v>14</v>
      </c>
    </row>
    <row r="31" spans="1:10" x14ac:dyDescent="0.35">
      <c r="A31" s="3">
        <v>103411126</v>
      </c>
      <c r="B31" s="3" t="s">
        <v>4164</v>
      </c>
      <c r="C31" s="3" t="str">
        <f t="shared" si="0"/>
        <v>2022-07-07</v>
      </c>
      <c r="D31" s="3" t="s">
        <v>9</v>
      </c>
      <c r="E31" s="3" t="s">
        <v>5</v>
      </c>
      <c r="F31" s="3" t="s">
        <v>12</v>
      </c>
      <c r="G31" s="3" t="s">
        <v>4165</v>
      </c>
      <c r="H31" s="3" t="s">
        <v>4166</v>
      </c>
      <c r="I31" s="5">
        <v>1679</v>
      </c>
      <c r="J31" s="3" t="s">
        <v>14</v>
      </c>
    </row>
    <row r="32" spans="1:10" x14ac:dyDescent="0.35">
      <c r="A32" s="3">
        <v>103411124</v>
      </c>
      <c r="B32" s="3" t="s">
        <v>4167</v>
      </c>
      <c r="C32" s="3" t="str">
        <f t="shared" si="0"/>
        <v>2022-07-07</v>
      </c>
      <c r="D32" s="3" t="s">
        <v>9</v>
      </c>
      <c r="E32" s="3" t="s">
        <v>5</v>
      </c>
      <c r="F32" s="3" t="s">
        <v>10</v>
      </c>
      <c r="G32" s="3" t="s">
        <v>4168</v>
      </c>
      <c r="H32" s="3" t="s">
        <v>4169</v>
      </c>
      <c r="I32" s="3">
        <v>635.54999999999995</v>
      </c>
      <c r="J32" s="3" t="s">
        <v>14</v>
      </c>
    </row>
    <row r="33" spans="1:10" x14ac:dyDescent="0.35">
      <c r="A33" s="3">
        <v>103411118</v>
      </c>
      <c r="B33" s="3" t="s">
        <v>4170</v>
      </c>
      <c r="C33" s="3" t="str">
        <f t="shared" si="0"/>
        <v>2022-07-07</v>
      </c>
      <c r="D33" s="3" t="s">
        <v>9</v>
      </c>
      <c r="E33" s="3" t="s">
        <v>5</v>
      </c>
      <c r="F33" s="3" t="s">
        <v>12</v>
      </c>
      <c r="G33" s="3" t="s">
        <v>4171</v>
      </c>
      <c r="H33" s="3" t="s">
        <v>4172</v>
      </c>
      <c r="I33" s="5">
        <v>1869</v>
      </c>
      <c r="J33" s="3" t="s">
        <v>14</v>
      </c>
    </row>
    <row r="34" spans="1:10" x14ac:dyDescent="0.35">
      <c r="A34" s="3">
        <v>103411117</v>
      </c>
      <c r="B34" s="3" t="s">
        <v>4173</v>
      </c>
      <c r="C34" s="3" t="str">
        <f t="shared" si="0"/>
        <v>2022-07-07</v>
      </c>
      <c r="D34" s="3" t="s">
        <v>9</v>
      </c>
      <c r="E34" s="3" t="s">
        <v>5</v>
      </c>
      <c r="F34" s="3" t="s">
        <v>10</v>
      </c>
      <c r="G34" s="3" t="s">
        <v>2855</v>
      </c>
      <c r="H34" s="3" t="s">
        <v>2856</v>
      </c>
      <c r="I34" s="4">
        <v>1682.1</v>
      </c>
      <c r="J34" s="3" t="s">
        <v>14</v>
      </c>
    </row>
    <row r="35" spans="1:10" x14ac:dyDescent="0.35">
      <c r="A35" s="3">
        <v>103411114</v>
      </c>
      <c r="B35" s="3" t="s">
        <v>4174</v>
      </c>
      <c r="C35" s="3" t="str">
        <f t="shared" si="0"/>
        <v>2022-07-07</v>
      </c>
      <c r="D35" s="3" t="s">
        <v>9</v>
      </c>
      <c r="E35" s="3" t="s">
        <v>5</v>
      </c>
      <c r="F35" s="3" t="s">
        <v>10</v>
      </c>
      <c r="G35" s="3" t="s">
        <v>4175</v>
      </c>
      <c r="H35" s="3" t="s">
        <v>4176</v>
      </c>
      <c r="I35" s="4">
        <v>2887.05</v>
      </c>
      <c r="J35" s="3" t="s">
        <v>14</v>
      </c>
    </row>
    <row r="36" spans="1:10" x14ac:dyDescent="0.35">
      <c r="A36" s="3">
        <v>103411112</v>
      </c>
      <c r="B36" s="3" t="s">
        <v>4177</v>
      </c>
      <c r="C36" s="3" t="str">
        <f t="shared" si="0"/>
        <v>2022-07-07</v>
      </c>
      <c r="D36" s="3" t="s">
        <v>9</v>
      </c>
      <c r="E36" s="3" t="s">
        <v>5</v>
      </c>
      <c r="F36" s="3" t="s">
        <v>10</v>
      </c>
      <c r="G36" s="3" t="s">
        <v>1702</v>
      </c>
      <c r="H36" s="3" t="s">
        <v>1703</v>
      </c>
      <c r="I36" s="4">
        <v>2228.27</v>
      </c>
      <c r="J36" s="3" t="s">
        <v>14</v>
      </c>
    </row>
    <row r="37" spans="1:10" x14ac:dyDescent="0.35">
      <c r="A37" s="3">
        <v>103411038</v>
      </c>
      <c r="B37" s="3" t="s">
        <v>4178</v>
      </c>
      <c r="C37" s="3" t="str">
        <f t="shared" si="0"/>
        <v>2022-07-07</v>
      </c>
      <c r="D37" s="3" t="s">
        <v>9</v>
      </c>
      <c r="E37" s="3" t="s">
        <v>5</v>
      </c>
      <c r="F37" s="3" t="s">
        <v>10</v>
      </c>
      <c r="G37" s="3" t="s">
        <v>4179</v>
      </c>
      <c r="H37" s="3" t="s">
        <v>4180</v>
      </c>
      <c r="I37" s="3">
        <v>359</v>
      </c>
      <c r="J37" s="3" t="s">
        <v>14</v>
      </c>
    </row>
    <row r="38" spans="1:10" x14ac:dyDescent="0.35">
      <c r="A38" s="3">
        <v>103411035</v>
      </c>
      <c r="B38" s="3" t="s">
        <v>4181</v>
      </c>
      <c r="C38" s="3" t="str">
        <f t="shared" si="0"/>
        <v>2022-07-07</v>
      </c>
      <c r="D38" s="3" t="s">
        <v>9</v>
      </c>
      <c r="E38" s="3" t="s">
        <v>5</v>
      </c>
      <c r="F38" s="3" t="s">
        <v>10</v>
      </c>
      <c r="G38" s="3" t="s">
        <v>4182</v>
      </c>
      <c r="H38" s="3" t="s">
        <v>4183</v>
      </c>
      <c r="I38" s="4">
        <v>2849.05</v>
      </c>
      <c r="J38" s="3" t="s">
        <v>14</v>
      </c>
    </row>
    <row r="39" spans="1:10" x14ac:dyDescent="0.35">
      <c r="A39" s="3">
        <v>103411034</v>
      </c>
      <c r="B39" s="3" t="s">
        <v>4184</v>
      </c>
      <c r="C39" s="3" t="str">
        <f t="shared" si="0"/>
        <v>2022-07-07</v>
      </c>
      <c r="D39" s="3" t="s">
        <v>9</v>
      </c>
      <c r="E39" s="3" t="s">
        <v>5</v>
      </c>
      <c r="F39" s="3" t="s">
        <v>10</v>
      </c>
      <c r="G39" s="3" t="s">
        <v>4185</v>
      </c>
      <c r="H39" s="3" t="s">
        <v>4186</v>
      </c>
      <c r="I39" s="5">
        <v>2099</v>
      </c>
      <c r="J39" s="3" t="s">
        <v>14</v>
      </c>
    </row>
    <row r="40" spans="1:10" x14ac:dyDescent="0.35">
      <c r="A40" s="3">
        <v>103411033</v>
      </c>
      <c r="B40" s="3" t="s">
        <v>4187</v>
      </c>
      <c r="C40" s="3" t="str">
        <f t="shared" si="0"/>
        <v>2022-07-07</v>
      </c>
      <c r="D40" s="3" t="s">
        <v>9</v>
      </c>
      <c r="E40" s="3" t="s">
        <v>5</v>
      </c>
      <c r="F40" s="3" t="s">
        <v>10</v>
      </c>
      <c r="G40" s="3" t="s">
        <v>4188</v>
      </c>
      <c r="H40" s="3" t="s">
        <v>4189</v>
      </c>
      <c r="I40" s="3">
        <v>350.55</v>
      </c>
      <c r="J40" s="3" t="s">
        <v>14</v>
      </c>
    </row>
    <row r="41" spans="1:10" x14ac:dyDescent="0.35">
      <c r="A41" s="3">
        <v>103411105</v>
      </c>
      <c r="B41" s="3" t="s">
        <v>4190</v>
      </c>
      <c r="C41" s="3" t="str">
        <f t="shared" si="0"/>
        <v>2022-07-07</v>
      </c>
      <c r="D41" s="3" t="s">
        <v>9</v>
      </c>
      <c r="E41" s="3" t="s">
        <v>5</v>
      </c>
      <c r="F41" s="3" t="s">
        <v>10</v>
      </c>
      <c r="G41" s="3" t="s">
        <v>4191</v>
      </c>
      <c r="H41" s="3" t="s">
        <v>4192</v>
      </c>
      <c r="I41" s="5">
        <v>1749</v>
      </c>
      <c r="J41" s="3" t="s">
        <v>14</v>
      </c>
    </row>
    <row r="42" spans="1:10" x14ac:dyDescent="0.35">
      <c r="A42" s="3">
        <v>103411103</v>
      </c>
      <c r="B42" s="3" t="s">
        <v>4193</v>
      </c>
      <c r="C42" s="3" t="str">
        <f t="shared" si="0"/>
        <v>2022-07-07</v>
      </c>
      <c r="D42" s="3" t="s">
        <v>9</v>
      </c>
      <c r="E42" s="3" t="s">
        <v>5</v>
      </c>
      <c r="F42" s="3" t="s">
        <v>10</v>
      </c>
      <c r="G42" s="3" t="s">
        <v>4194</v>
      </c>
      <c r="H42" s="3" t="s">
        <v>4195</v>
      </c>
      <c r="I42" s="4">
        <v>1196.05</v>
      </c>
      <c r="J42" s="3" t="s">
        <v>14</v>
      </c>
    </row>
    <row r="43" spans="1:10" x14ac:dyDescent="0.35">
      <c r="A43" s="3">
        <v>103411101</v>
      </c>
      <c r="B43" s="3" t="s">
        <v>4196</v>
      </c>
      <c r="C43" s="3" t="str">
        <f t="shared" si="0"/>
        <v>2022-07-07</v>
      </c>
      <c r="D43" s="3" t="s">
        <v>9</v>
      </c>
      <c r="E43" s="3" t="s">
        <v>5</v>
      </c>
      <c r="F43" s="3" t="s">
        <v>10</v>
      </c>
      <c r="G43" s="3" t="s">
        <v>4197</v>
      </c>
      <c r="H43" s="3" t="s">
        <v>4198</v>
      </c>
      <c r="I43" s="5">
        <v>2749</v>
      </c>
      <c r="J43" s="3" t="s">
        <v>14</v>
      </c>
    </row>
    <row r="44" spans="1:10" x14ac:dyDescent="0.35">
      <c r="A44" s="3">
        <v>103411099</v>
      </c>
      <c r="B44" s="3" t="s">
        <v>4199</v>
      </c>
      <c r="C44" s="3" t="str">
        <f t="shared" si="0"/>
        <v>2022-07-07</v>
      </c>
      <c r="D44" s="3" t="s">
        <v>9</v>
      </c>
      <c r="E44" s="3" t="s">
        <v>5</v>
      </c>
      <c r="F44" s="3" t="s">
        <v>10</v>
      </c>
      <c r="G44" s="3" t="s">
        <v>4200</v>
      </c>
      <c r="H44" s="3" t="s">
        <v>4201</v>
      </c>
      <c r="I44" s="4">
        <v>1271.0999999999999</v>
      </c>
      <c r="J44" s="3" t="s">
        <v>14</v>
      </c>
    </row>
    <row r="45" spans="1:10" x14ac:dyDescent="0.35">
      <c r="A45" s="3">
        <v>103411098</v>
      </c>
      <c r="B45" s="3" t="s">
        <v>4202</v>
      </c>
      <c r="C45" s="3" t="str">
        <f t="shared" si="0"/>
        <v>2022-07-07</v>
      </c>
      <c r="D45" s="3" t="s">
        <v>9</v>
      </c>
      <c r="E45" s="3" t="s">
        <v>5</v>
      </c>
      <c r="F45" s="3" t="s">
        <v>10</v>
      </c>
      <c r="G45" s="3" t="s">
        <v>4203</v>
      </c>
      <c r="H45" s="3" t="s">
        <v>4204</v>
      </c>
      <c r="I45" s="4">
        <v>3419.05</v>
      </c>
      <c r="J45" s="3" t="s">
        <v>14</v>
      </c>
    </row>
    <row r="46" spans="1:10" x14ac:dyDescent="0.35">
      <c r="A46" s="3">
        <v>103411032</v>
      </c>
      <c r="B46" s="3" t="s">
        <v>4205</v>
      </c>
      <c r="C46" s="3" t="str">
        <f t="shared" si="0"/>
        <v>2022-07-07</v>
      </c>
      <c r="D46" s="3" t="s">
        <v>9</v>
      </c>
      <c r="E46" s="3" t="s">
        <v>5</v>
      </c>
      <c r="F46" s="3" t="s">
        <v>10</v>
      </c>
      <c r="G46" s="3" t="s">
        <v>4206</v>
      </c>
      <c r="H46" s="3" t="s">
        <v>4207</v>
      </c>
      <c r="I46" s="5">
        <v>3848</v>
      </c>
      <c r="J46" s="3" t="s">
        <v>14</v>
      </c>
    </row>
    <row r="47" spans="1:10" x14ac:dyDescent="0.35">
      <c r="A47" s="3">
        <v>103411030</v>
      </c>
      <c r="B47" s="3" t="s">
        <v>4208</v>
      </c>
      <c r="C47" s="3" t="str">
        <f t="shared" si="0"/>
        <v>2022-07-07</v>
      </c>
      <c r="D47" s="3" t="s">
        <v>9</v>
      </c>
      <c r="E47" s="3" t="s">
        <v>5</v>
      </c>
      <c r="F47" s="3" t="s">
        <v>10</v>
      </c>
      <c r="G47" s="3" t="s">
        <v>4209</v>
      </c>
      <c r="H47" s="3" t="s">
        <v>4210</v>
      </c>
      <c r="I47" s="3">
        <v>969</v>
      </c>
      <c r="J47" s="3" t="s">
        <v>14</v>
      </c>
    </row>
    <row r="48" spans="1:10" x14ac:dyDescent="0.35">
      <c r="A48" s="3">
        <v>103411091</v>
      </c>
      <c r="B48" s="3" t="s">
        <v>4211</v>
      </c>
      <c r="C48" s="3" t="str">
        <f t="shared" si="0"/>
        <v>2022-07-07</v>
      </c>
      <c r="D48" s="3" t="s">
        <v>9</v>
      </c>
      <c r="E48" s="3" t="s">
        <v>5</v>
      </c>
      <c r="F48" s="3" t="s">
        <v>12</v>
      </c>
      <c r="G48" s="3" t="s">
        <v>4212</v>
      </c>
      <c r="H48" s="3" t="s">
        <v>4213</v>
      </c>
      <c r="I48" s="5">
        <v>2399</v>
      </c>
      <c r="J48" s="3" t="s">
        <v>14</v>
      </c>
    </row>
    <row r="49" spans="1:10" x14ac:dyDescent="0.35">
      <c r="A49" s="3">
        <v>103411028</v>
      </c>
      <c r="B49" s="3" t="s">
        <v>4214</v>
      </c>
      <c r="C49" s="3" t="str">
        <f t="shared" si="0"/>
        <v>2022-07-07</v>
      </c>
      <c r="D49" s="3" t="s">
        <v>9</v>
      </c>
      <c r="E49" s="3" t="s">
        <v>5</v>
      </c>
      <c r="F49" s="3" t="s">
        <v>10</v>
      </c>
      <c r="G49" s="3" t="s">
        <v>4215</v>
      </c>
      <c r="H49" s="3" t="s">
        <v>4216</v>
      </c>
      <c r="I49" s="5">
        <v>4798</v>
      </c>
      <c r="J49" s="3" t="s">
        <v>14</v>
      </c>
    </row>
    <row r="50" spans="1:10" x14ac:dyDescent="0.35">
      <c r="A50" s="3">
        <v>103411085</v>
      </c>
      <c r="B50" s="3" t="s">
        <v>4217</v>
      </c>
      <c r="C50" s="3" t="str">
        <f t="shared" si="0"/>
        <v>2022-07-07</v>
      </c>
      <c r="D50" s="3" t="s">
        <v>9</v>
      </c>
      <c r="E50" s="3" t="s">
        <v>5</v>
      </c>
      <c r="F50" s="3" t="s">
        <v>10</v>
      </c>
      <c r="G50" s="3" t="s">
        <v>4218</v>
      </c>
      <c r="H50" s="3" t="s">
        <v>4219</v>
      </c>
      <c r="I50" s="4">
        <v>2091.33</v>
      </c>
      <c r="J50" s="3" t="s">
        <v>14</v>
      </c>
    </row>
    <row r="51" spans="1:10" x14ac:dyDescent="0.35">
      <c r="A51" s="3">
        <v>103411024</v>
      </c>
      <c r="B51" s="3" t="s">
        <v>4220</v>
      </c>
      <c r="C51" s="3" t="str">
        <f t="shared" si="0"/>
        <v>2022-07-07</v>
      </c>
      <c r="D51" s="3" t="s">
        <v>9</v>
      </c>
      <c r="E51" s="3" t="s">
        <v>5</v>
      </c>
      <c r="F51" s="3" t="s">
        <v>12</v>
      </c>
      <c r="G51" s="3" t="s">
        <v>4221</v>
      </c>
      <c r="H51" s="3" t="s">
        <v>4222</v>
      </c>
      <c r="I51" s="5">
        <v>1079</v>
      </c>
      <c r="J51" s="3" t="s">
        <v>14</v>
      </c>
    </row>
    <row r="52" spans="1:10" x14ac:dyDescent="0.35">
      <c r="A52" s="3">
        <v>103411023</v>
      </c>
      <c r="B52" s="3" t="s">
        <v>4223</v>
      </c>
      <c r="C52" s="3" t="str">
        <f t="shared" si="0"/>
        <v>2022-07-07</v>
      </c>
      <c r="D52" s="3" t="s">
        <v>9</v>
      </c>
      <c r="E52" s="3" t="s">
        <v>5</v>
      </c>
      <c r="F52" s="3" t="s">
        <v>10</v>
      </c>
      <c r="G52" s="3" t="s">
        <v>4224</v>
      </c>
      <c r="H52" s="3" t="s">
        <v>4225</v>
      </c>
      <c r="I52" s="5">
        <v>1999</v>
      </c>
      <c r="J52" s="3" t="s">
        <v>14</v>
      </c>
    </row>
    <row r="53" spans="1:10" x14ac:dyDescent="0.35">
      <c r="A53" s="3">
        <v>103411078</v>
      </c>
      <c r="B53" s="3" t="s">
        <v>4226</v>
      </c>
      <c r="C53" s="3" t="str">
        <f t="shared" si="0"/>
        <v>2022-07-07</v>
      </c>
      <c r="D53" s="3" t="s">
        <v>9</v>
      </c>
      <c r="E53" s="3" t="s">
        <v>5</v>
      </c>
      <c r="F53" s="3" t="s">
        <v>10</v>
      </c>
      <c r="G53" s="3" t="s">
        <v>4227</v>
      </c>
      <c r="H53" s="3" t="s">
        <v>4228</v>
      </c>
      <c r="I53" s="5">
        <v>1499</v>
      </c>
      <c r="J53" s="3" t="s">
        <v>14</v>
      </c>
    </row>
    <row r="54" spans="1:10" x14ac:dyDescent="0.35">
      <c r="A54" s="3">
        <v>103411076</v>
      </c>
      <c r="B54" s="3" t="s">
        <v>4229</v>
      </c>
      <c r="C54" s="3" t="str">
        <f t="shared" si="0"/>
        <v>2022-07-07</v>
      </c>
      <c r="D54" s="3" t="s">
        <v>9</v>
      </c>
      <c r="E54" s="3" t="s">
        <v>5</v>
      </c>
      <c r="F54" s="3" t="s">
        <v>12</v>
      </c>
      <c r="G54" s="3" t="s">
        <v>4230</v>
      </c>
      <c r="H54" s="3" t="s">
        <v>4213</v>
      </c>
      <c r="I54" s="5">
        <v>1999</v>
      </c>
      <c r="J54" s="3" t="s">
        <v>14</v>
      </c>
    </row>
    <row r="55" spans="1:10" x14ac:dyDescent="0.35">
      <c r="A55" s="3">
        <v>103410962</v>
      </c>
      <c r="B55" s="3" t="s">
        <v>4231</v>
      </c>
      <c r="C55" s="3" t="str">
        <f t="shared" si="0"/>
        <v>2022-07-07</v>
      </c>
      <c r="D55" s="3" t="s">
        <v>9</v>
      </c>
      <c r="E55" s="3" t="s">
        <v>5</v>
      </c>
      <c r="F55" s="3" t="s">
        <v>10</v>
      </c>
      <c r="G55" s="3" t="s">
        <v>4232</v>
      </c>
      <c r="H55" s="3" t="s">
        <v>4233</v>
      </c>
      <c r="I55" s="5">
        <v>1799</v>
      </c>
      <c r="J55" s="3" t="s">
        <v>14</v>
      </c>
    </row>
    <row r="56" spans="1:10" x14ac:dyDescent="0.35">
      <c r="A56" s="3">
        <v>103410958</v>
      </c>
      <c r="B56" s="3" t="s">
        <v>4234</v>
      </c>
      <c r="C56" s="3" t="str">
        <f t="shared" si="0"/>
        <v>2022-07-07</v>
      </c>
      <c r="D56" s="3" t="s">
        <v>9</v>
      </c>
      <c r="E56" s="3" t="s">
        <v>5</v>
      </c>
      <c r="F56" s="3" t="s">
        <v>10</v>
      </c>
      <c r="G56" s="3" t="s">
        <v>4235</v>
      </c>
      <c r="H56" s="3" t="s">
        <v>4236</v>
      </c>
      <c r="I56" s="4">
        <v>2469.0500000000002</v>
      </c>
      <c r="J56" s="3" t="s">
        <v>14</v>
      </c>
    </row>
    <row r="57" spans="1:10" x14ac:dyDescent="0.35">
      <c r="A57" s="3">
        <v>103410953</v>
      </c>
      <c r="B57" s="3" t="s">
        <v>4237</v>
      </c>
      <c r="C57" s="3" t="str">
        <f t="shared" si="0"/>
        <v>2022-07-07</v>
      </c>
      <c r="D57" s="3" t="s">
        <v>9</v>
      </c>
      <c r="E57" s="3" t="s">
        <v>5</v>
      </c>
      <c r="F57" s="3" t="s">
        <v>10</v>
      </c>
      <c r="G57" s="3" t="s">
        <v>4238</v>
      </c>
      <c r="H57" s="3" t="s">
        <v>4239</v>
      </c>
      <c r="I57" s="4">
        <v>3077.14</v>
      </c>
      <c r="J57" s="3" t="s">
        <v>14</v>
      </c>
    </row>
    <row r="58" spans="1:10" x14ac:dyDescent="0.35">
      <c r="A58" s="3">
        <v>103410952</v>
      </c>
      <c r="B58" s="3" t="s">
        <v>4240</v>
      </c>
      <c r="C58" s="3" t="str">
        <f t="shared" si="0"/>
        <v>2022-07-07</v>
      </c>
      <c r="D58" s="3" t="s">
        <v>9</v>
      </c>
      <c r="E58" s="3" t="s">
        <v>5</v>
      </c>
      <c r="F58" s="3" t="s">
        <v>10</v>
      </c>
      <c r="G58" s="3" t="s">
        <v>4241</v>
      </c>
      <c r="H58" s="3" t="s">
        <v>4242</v>
      </c>
      <c r="I58" s="3">
        <v>709</v>
      </c>
      <c r="J58" s="3" t="s">
        <v>14</v>
      </c>
    </row>
    <row r="59" spans="1:10" x14ac:dyDescent="0.35">
      <c r="A59" s="3">
        <v>103411012</v>
      </c>
      <c r="B59" s="3" t="s">
        <v>4243</v>
      </c>
      <c r="C59" s="3" t="str">
        <f t="shared" si="0"/>
        <v>2022-07-07</v>
      </c>
      <c r="D59" s="3" t="s">
        <v>9</v>
      </c>
      <c r="E59" s="3" t="s">
        <v>5</v>
      </c>
      <c r="F59" s="3" t="s">
        <v>10</v>
      </c>
      <c r="G59" s="3" t="s">
        <v>4244</v>
      </c>
      <c r="H59" s="3" t="s">
        <v>4245</v>
      </c>
      <c r="I59" s="4">
        <v>4510.6000000000004</v>
      </c>
      <c r="J59" s="3" t="s">
        <v>14</v>
      </c>
    </row>
    <row r="60" spans="1:10" x14ac:dyDescent="0.35">
      <c r="A60" s="3">
        <v>103410949</v>
      </c>
      <c r="B60" s="3" t="s">
        <v>4246</v>
      </c>
      <c r="C60" s="3" t="str">
        <f t="shared" si="0"/>
        <v>2022-07-07</v>
      </c>
      <c r="D60" s="3" t="s">
        <v>9</v>
      </c>
      <c r="E60" s="3" t="s">
        <v>5</v>
      </c>
      <c r="F60" s="3" t="s">
        <v>10</v>
      </c>
      <c r="G60" s="3" t="s">
        <v>4247</v>
      </c>
      <c r="H60" s="3" t="s">
        <v>4248</v>
      </c>
      <c r="I60" s="4">
        <v>4435.55</v>
      </c>
      <c r="J60" s="3" t="s">
        <v>14</v>
      </c>
    </row>
    <row r="61" spans="1:10" x14ac:dyDescent="0.35">
      <c r="A61" s="3">
        <v>103411011</v>
      </c>
      <c r="B61" s="3" t="s">
        <v>4249</v>
      </c>
      <c r="C61" s="3" t="str">
        <f t="shared" si="0"/>
        <v>2022-07-07</v>
      </c>
      <c r="D61" s="3" t="s">
        <v>9</v>
      </c>
      <c r="E61" s="3" t="s">
        <v>5</v>
      </c>
      <c r="F61" s="3" t="s">
        <v>10</v>
      </c>
      <c r="G61" s="3" t="s">
        <v>4250</v>
      </c>
      <c r="H61" s="3" t="s">
        <v>4251</v>
      </c>
      <c r="I61" s="4">
        <v>1649.29</v>
      </c>
      <c r="J61" s="3" t="s">
        <v>14</v>
      </c>
    </row>
    <row r="62" spans="1:10" x14ac:dyDescent="0.35">
      <c r="A62" s="3">
        <v>103411006</v>
      </c>
      <c r="B62" s="3" t="s">
        <v>4252</v>
      </c>
      <c r="C62" s="3" t="str">
        <f t="shared" si="0"/>
        <v>2022-07-07</v>
      </c>
      <c r="D62" s="3" t="s">
        <v>9</v>
      </c>
      <c r="E62" s="3" t="s">
        <v>5</v>
      </c>
      <c r="F62" s="3" t="s">
        <v>10</v>
      </c>
      <c r="G62" s="3" t="s">
        <v>4253</v>
      </c>
      <c r="H62" s="3" t="s">
        <v>4254</v>
      </c>
      <c r="I62" s="4">
        <v>2222.14</v>
      </c>
      <c r="J62" s="3" t="s">
        <v>14</v>
      </c>
    </row>
    <row r="63" spans="1:10" x14ac:dyDescent="0.35">
      <c r="A63" s="3">
        <v>103411003</v>
      </c>
      <c r="B63" s="3" t="s">
        <v>4255</v>
      </c>
      <c r="C63" s="3" t="str">
        <f t="shared" si="0"/>
        <v>2022-07-07</v>
      </c>
      <c r="D63" s="3" t="s">
        <v>9</v>
      </c>
      <c r="E63" s="3" t="s">
        <v>5</v>
      </c>
      <c r="F63" s="3" t="s">
        <v>10</v>
      </c>
      <c r="G63" s="3" t="s">
        <v>4256</v>
      </c>
      <c r="H63" s="3" t="s">
        <v>4257</v>
      </c>
      <c r="I63" s="5">
        <v>3118</v>
      </c>
      <c r="J63" s="3" t="s">
        <v>14</v>
      </c>
    </row>
    <row r="64" spans="1:10" x14ac:dyDescent="0.35">
      <c r="A64" s="3">
        <v>103411000</v>
      </c>
      <c r="B64" s="3" t="s">
        <v>4258</v>
      </c>
      <c r="C64" s="3" t="str">
        <f t="shared" si="0"/>
        <v>2022-07-07</v>
      </c>
      <c r="D64" s="3" t="s">
        <v>9</v>
      </c>
      <c r="E64" s="3" t="s">
        <v>5</v>
      </c>
      <c r="F64" s="3" t="s">
        <v>10</v>
      </c>
      <c r="G64" s="3" t="s">
        <v>4259</v>
      </c>
      <c r="H64" s="3" t="s">
        <v>4260</v>
      </c>
      <c r="I64" s="3">
        <v>976.6</v>
      </c>
      <c r="J64" s="3" t="s">
        <v>14</v>
      </c>
    </row>
    <row r="65" spans="1:10" x14ac:dyDescent="0.35">
      <c r="A65" s="3">
        <v>103410999</v>
      </c>
      <c r="B65" s="3" t="s">
        <v>4261</v>
      </c>
      <c r="C65" s="3" t="str">
        <f t="shared" si="0"/>
        <v>2022-07-07</v>
      </c>
      <c r="D65" s="3" t="s">
        <v>9</v>
      </c>
      <c r="E65" s="3" t="s">
        <v>5</v>
      </c>
      <c r="F65" s="3" t="s">
        <v>10</v>
      </c>
      <c r="G65" s="3" t="s">
        <v>4262</v>
      </c>
      <c r="H65" s="3" t="s">
        <v>4263</v>
      </c>
      <c r="I65" s="4">
        <v>1661.55</v>
      </c>
      <c r="J65" s="3" t="s">
        <v>14</v>
      </c>
    </row>
    <row r="66" spans="1:10" x14ac:dyDescent="0.35">
      <c r="A66" s="3">
        <v>103410998</v>
      </c>
      <c r="B66" s="3" t="s">
        <v>4264</v>
      </c>
      <c r="C66" s="3" t="str">
        <f t="shared" si="0"/>
        <v>2022-07-07</v>
      </c>
      <c r="D66" s="3" t="s">
        <v>9</v>
      </c>
      <c r="E66" s="3" t="s">
        <v>5</v>
      </c>
      <c r="F66" s="3" t="s">
        <v>10</v>
      </c>
      <c r="G66" s="3" t="s">
        <v>4265</v>
      </c>
      <c r="H66" s="3" t="s">
        <v>4266</v>
      </c>
      <c r="I66" s="4">
        <v>4103.1400000000003</v>
      </c>
      <c r="J66" s="3" t="s">
        <v>14</v>
      </c>
    </row>
    <row r="67" spans="1:10" x14ac:dyDescent="0.35">
      <c r="A67" s="3">
        <v>103410935</v>
      </c>
      <c r="B67" s="3" t="s">
        <v>4267</v>
      </c>
      <c r="C67" s="3" t="str">
        <f t="shared" ref="C67:C130" si="4">LEFT(B67,FIND("T",B67)-1)</f>
        <v>2022-07-07</v>
      </c>
      <c r="D67" s="3" t="s">
        <v>9</v>
      </c>
      <c r="E67" s="3" t="s">
        <v>5</v>
      </c>
      <c r="F67" s="3" t="s">
        <v>12</v>
      </c>
      <c r="G67" s="3" t="s">
        <v>4268</v>
      </c>
      <c r="H67" s="3" t="s">
        <v>4269</v>
      </c>
      <c r="I67" s="5">
        <v>2499</v>
      </c>
      <c r="J67" s="3" t="s">
        <v>14</v>
      </c>
    </row>
    <row r="68" spans="1:10" x14ac:dyDescent="0.35">
      <c r="A68" s="3">
        <v>103410933</v>
      </c>
      <c r="B68" s="3" t="s">
        <v>4270</v>
      </c>
      <c r="C68" s="3" t="str">
        <f t="shared" si="4"/>
        <v>2022-07-07</v>
      </c>
      <c r="D68" s="3" t="s">
        <v>9</v>
      </c>
      <c r="E68" s="3" t="s">
        <v>5</v>
      </c>
      <c r="F68" s="3" t="s">
        <v>12</v>
      </c>
      <c r="G68" s="3" t="s">
        <v>4271</v>
      </c>
      <c r="H68" s="3" t="s">
        <v>4272</v>
      </c>
      <c r="I68" s="3">
        <v>549</v>
      </c>
      <c r="J68" s="3" t="s">
        <v>14</v>
      </c>
    </row>
    <row r="69" spans="1:10" x14ac:dyDescent="0.35">
      <c r="A69" s="3">
        <v>103410930</v>
      </c>
      <c r="B69" s="3" t="s">
        <v>4273</v>
      </c>
      <c r="C69" s="3" t="str">
        <f t="shared" si="4"/>
        <v>2022-07-07</v>
      </c>
      <c r="D69" s="3" t="s">
        <v>9</v>
      </c>
      <c r="E69" s="3" t="s">
        <v>5</v>
      </c>
      <c r="F69" s="3" t="s">
        <v>10</v>
      </c>
      <c r="G69" s="3" t="s">
        <v>4274</v>
      </c>
      <c r="H69" s="3" t="s">
        <v>4275</v>
      </c>
      <c r="I69" s="4">
        <v>2659.05</v>
      </c>
      <c r="J69" s="3" t="s">
        <v>14</v>
      </c>
    </row>
    <row r="70" spans="1:10" x14ac:dyDescent="0.35">
      <c r="A70" s="3">
        <v>103410928</v>
      </c>
      <c r="B70" s="3" t="s">
        <v>4276</v>
      </c>
      <c r="C70" s="3" t="str">
        <f t="shared" si="4"/>
        <v>2022-07-07</v>
      </c>
      <c r="D70" s="3" t="s">
        <v>9</v>
      </c>
      <c r="E70" s="3" t="s">
        <v>5</v>
      </c>
      <c r="F70" s="3" t="s">
        <v>10</v>
      </c>
      <c r="G70" s="3" t="s">
        <v>4277</v>
      </c>
      <c r="H70" s="3" t="s">
        <v>4278</v>
      </c>
      <c r="I70" s="4">
        <v>3473.72</v>
      </c>
      <c r="J70" s="3" t="s">
        <v>14</v>
      </c>
    </row>
    <row r="71" spans="1:10" x14ac:dyDescent="0.35">
      <c r="A71" s="3">
        <v>103410994</v>
      </c>
      <c r="B71" s="3" t="s">
        <v>4279</v>
      </c>
      <c r="C71" s="3" t="str">
        <f t="shared" si="4"/>
        <v>2022-07-07</v>
      </c>
      <c r="D71" s="3" t="s">
        <v>9</v>
      </c>
      <c r="E71" s="3" t="s">
        <v>5</v>
      </c>
      <c r="F71" s="3" t="s">
        <v>10</v>
      </c>
      <c r="G71" s="3" t="s">
        <v>4280</v>
      </c>
      <c r="H71" s="3" t="s">
        <v>4281</v>
      </c>
      <c r="I71" s="4">
        <v>2841.97</v>
      </c>
      <c r="J71" s="3" t="s">
        <v>14</v>
      </c>
    </row>
    <row r="72" spans="1:10" x14ac:dyDescent="0.35">
      <c r="A72" s="3">
        <v>103410919</v>
      </c>
      <c r="B72" s="3" t="s">
        <v>4282</v>
      </c>
      <c r="C72" s="3" t="str">
        <f t="shared" si="4"/>
        <v>2022-07-07</v>
      </c>
      <c r="D72" s="3" t="s">
        <v>9</v>
      </c>
      <c r="E72" s="3" t="s">
        <v>5</v>
      </c>
      <c r="F72" s="3" t="s">
        <v>10</v>
      </c>
      <c r="G72" s="3" t="s">
        <v>4283</v>
      </c>
      <c r="H72" s="3" t="s">
        <v>4284</v>
      </c>
      <c r="I72" s="3">
        <v>868</v>
      </c>
      <c r="J72" s="3" t="s">
        <v>14</v>
      </c>
    </row>
    <row r="73" spans="1:10" x14ac:dyDescent="0.35">
      <c r="A73" s="3">
        <v>103410986</v>
      </c>
      <c r="B73" s="3" t="s">
        <v>4285</v>
      </c>
      <c r="C73" s="3" t="str">
        <f t="shared" si="4"/>
        <v>2022-07-07</v>
      </c>
      <c r="D73" s="3" t="s">
        <v>9</v>
      </c>
      <c r="E73" s="3" t="s">
        <v>5</v>
      </c>
      <c r="F73" s="3" t="s">
        <v>12</v>
      </c>
      <c r="G73" s="3" t="s">
        <v>4286</v>
      </c>
      <c r="H73" s="3" t="s">
        <v>4287</v>
      </c>
      <c r="I73" s="3">
        <v>869</v>
      </c>
      <c r="J73" s="3" t="s">
        <v>14</v>
      </c>
    </row>
    <row r="74" spans="1:10" x14ac:dyDescent="0.35">
      <c r="A74" s="3">
        <v>103410984</v>
      </c>
      <c r="B74" s="3" t="s">
        <v>4288</v>
      </c>
      <c r="C74" s="3" t="str">
        <f t="shared" si="4"/>
        <v>2022-07-07</v>
      </c>
      <c r="D74" s="3" t="s">
        <v>9</v>
      </c>
      <c r="E74" s="3" t="s">
        <v>5</v>
      </c>
      <c r="F74" s="3" t="s">
        <v>10</v>
      </c>
      <c r="G74" s="3" t="s">
        <v>4289</v>
      </c>
      <c r="H74" s="3" t="s">
        <v>4290</v>
      </c>
      <c r="I74" s="3">
        <v>699</v>
      </c>
      <c r="J74" s="3" t="s">
        <v>14</v>
      </c>
    </row>
    <row r="75" spans="1:10" x14ac:dyDescent="0.35">
      <c r="A75" s="3">
        <v>103410913</v>
      </c>
      <c r="B75" s="3" t="s">
        <v>4291</v>
      </c>
      <c r="C75" s="3" t="str">
        <f t="shared" si="4"/>
        <v>2022-07-07</v>
      </c>
      <c r="D75" s="3" t="s">
        <v>9</v>
      </c>
      <c r="E75" s="3" t="s">
        <v>5</v>
      </c>
      <c r="F75" s="3" t="s">
        <v>12</v>
      </c>
      <c r="G75" s="3" t="s">
        <v>4292</v>
      </c>
      <c r="H75" s="3" t="s">
        <v>4293</v>
      </c>
      <c r="I75" s="4">
        <v>1545.84</v>
      </c>
      <c r="J75" s="3" t="s">
        <v>14</v>
      </c>
    </row>
    <row r="76" spans="1:10" x14ac:dyDescent="0.35">
      <c r="A76" s="3">
        <v>103410912</v>
      </c>
      <c r="B76" s="3" t="s">
        <v>4294</v>
      </c>
      <c r="C76" s="3" t="str">
        <f t="shared" si="4"/>
        <v>2022-07-07</v>
      </c>
      <c r="D76" s="3" t="s">
        <v>9</v>
      </c>
      <c r="E76" s="3" t="s">
        <v>5</v>
      </c>
      <c r="F76" s="3" t="s">
        <v>12</v>
      </c>
      <c r="G76" s="3" t="s">
        <v>4295</v>
      </c>
      <c r="H76" s="3" t="s">
        <v>4296</v>
      </c>
      <c r="I76" s="4">
        <v>2800.6</v>
      </c>
      <c r="J76" s="3" t="s">
        <v>14</v>
      </c>
    </row>
    <row r="77" spans="1:10" x14ac:dyDescent="0.35">
      <c r="A77" s="3">
        <v>103410911</v>
      </c>
      <c r="B77" s="3" t="s">
        <v>4297</v>
      </c>
      <c r="C77" s="3" t="str">
        <f t="shared" si="4"/>
        <v>2022-07-07</v>
      </c>
      <c r="D77" s="3" t="s">
        <v>9</v>
      </c>
      <c r="E77" s="3" t="s">
        <v>5</v>
      </c>
      <c r="F77" s="3" t="s">
        <v>12</v>
      </c>
      <c r="G77" s="3" t="s">
        <v>4298</v>
      </c>
      <c r="H77" s="3" t="s">
        <v>4299</v>
      </c>
      <c r="I77" s="5">
        <v>1999</v>
      </c>
      <c r="J77" s="3" t="s">
        <v>14</v>
      </c>
    </row>
    <row r="78" spans="1:10" x14ac:dyDescent="0.35">
      <c r="A78" s="3">
        <v>103410978</v>
      </c>
      <c r="B78" s="3" t="s">
        <v>4300</v>
      </c>
      <c r="C78" s="3" t="str">
        <f t="shared" si="4"/>
        <v>2022-07-07</v>
      </c>
      <c r="D78" s="3" t="s">
        <v>9</v>
      </c>
      <c r="E78" s="3" t="s">
        <v>5</v>
      </c>
      <c r="F78" s="3" t="s">
        <v>10</v>
      </c>
      <c r="G78" s="3" t="s">
        <v>4301</v>
      </c>
      <c r="H78" s="3" t="s">
        <v>4302</v>
      </c>
      <c r="I78" s="4">
        <v>3419.05</v>
      </c>
      <c r="J78" s="3" t="s">
        <v>14</v>
      </c>
    </row>
    <row r="79" spans="1:10" x14ac:dyDescent="0.35">
      <c r="A79" s="3">
        <v>103410977</v>
      </c>
      <c r="B79" s="3" t="s">
        <v>4303</v>
      </c>
      <c r="C79" s="3" t="str">
        <f t="shared" si="4"/>
        <v>2022-07-07</v>
      </c>
      <c r="D79" s="3" t="s">
        <v>9</v>
      </c>
      <c r="E79" s="3" t="s">
        <v>5</v>
      </c>
      <c r="F79" s="3" t="s">
        <v>10</v>
      </c>
      <c r="G79" s="3" t="s">
        <v>4304</v>
      </c>
      <c r="H79" s="3" t="s">
        <v>4305</v>
      </c>
      <c r="I79" s="5">
        <v>2309</v>
      </c>
      <c r="J79" s="3" t="s">
        <v>14</v>
      </c>
    </row>
    <row r="80" spans="1:10" x14ac:dyDescent="0.35">
      <c r="A80" s="3">
        <v>103410905</v>
      </c>
      <c r="B80" s="3" t="s">
        <v>4306</v>
      </c>
      <c r="C80" s="3" t="str">
        <f t="shared" si="4"/>
        <v>2022-07-07</v>
      </c>
      <c r="D80" s="3" t="s">
        <v>9</v>
      </c>
      <c r="E80" s="3" t="s">
        <v>5</v>
      </c>
      <c r="F80" s="3" t="s">
        <v>10</v>
      </c>
      <c r="G80" s="3" t="s">
        <v>4307</v>
      </c>
      <c r="H80" s="3" t="s">
        <v>4308</v>
      </c>
      <c r="I80" s="5">
        <v>1999</v>
      </c>
      <c r="J80" s="3" t="s">
        <v>14</v>
      </c>
    </row>
    <row r="81" spans="1:10" x14ac:dyDescent="0.35">
      <c r="A81" s="3">
        <v>103410975</v>
      </c>
      <c r="B81" s="3" t="s">
        <v>4309</v>
      </c>
      <c r="C81" s="3" t="str">
        <f t="shared" si="4"/>
        <v>2022-07-07</v>
      </c>
      <c r="D81" s="3" t="s">
        <v>9</v>
      </c>
      <c r="E81" s="3" t="s">
        <v>5</v>
      </c>
      <c r="F81" s="3" t="s">
        <v>10</v>
      </c>
      <c r="G81" s="3" t="s">
        <v>4310</v>
      </c>
      <c r="H81" s="3" t="s">
        <v>4311</v>
      </c>
      <c r="I81" s="5">
        <v>1499</v>
      </c>
      <c r="J81" s="3" t="s">
        <v>11</v>
      </c>
    </row>
    <row r="82" spans="1:10" x14ac:dyDescent="0.35">
      <c r="A82" s="3">
        <v>103410900</v>
      </c>
      <c r="B82" s="3" t="s">
        <v>4312</v>
      </c>
      <c r="C82" s="3" t="str">
        <f t="shared" si="4"/>
        <v>2022-07-07</v>
      </c>
      <c r="D82" s="3" t="s">
        <v>9</v>
      </c>
      <c r="E82" s="3" t="s">
        <v>5</v>
      </c>
      <c r="F82" s="3" t="s">
        <v>12</v>
      </c>
      <c r="G82" s="3" t="s">
        <v>4313</v>
      </c>
      <c r="H82" s="3" t="s">
        <v>4314</v>
      </c>
      <c r="I82" s="5">
        <v>2799</v>
      </c>
      <c r="J82" s="3" t="s">
        <v>11</v>
      </c>
    </row>
    <row r="83" spans="1:10" x14ac:dyDescent="0.35">
      <c r="A83" s="3">
        <v>103410968</v>
      </c>
      <c r="B83" s="3" t="s">
        <v>4315</v>
      </c>
      <c r="C83" s="3" t="str">
        <f t="shared" si="4"/>
        <v>2022-07-07</v>
      </c>
      <c r="D83" s="3" t="s">
        <v>9</v>
      </c>
      <c r="E83" s="3" t="s">
        <v>5</v>
      </c>
      <c r="F83" s="3" t="s">
        <v>10</v>
      </c>
      <c r="G83" s="3" t="s">
        <v>4316</v>
      </c>
      <c r="H83" s="3" t="s">
        <v>4317</v>
      </c>
      <c r="I83" s="3">
        <v>493.05</v>
      </c>
      <c r="J83" s="3" t="s">
        <v>11</v>
      </c>
    </row>
    <row r="84" spans="1:10" x14ac:dyDescent="0.35">
      <c r="A84" s="3">
        <v>103410896</v>
      </c>
      <c r="B84" s="3" t="s">
        <v>4318</v>
      </c>
      <c r="C84" s="3" t="str">
        <f t="shared" si="4"/>
        <v>2022-07-07</v>
      </c>
      <c r="D84" s="3" t="s">
        <v>9</v>
      </c>
      <c r="E84" s="3" t="s">
        <v>5</v>
      </c>
      <c r="F84" s="3" t="s">
        <v>12</v>
      </c>
      <c r="G84" s="3" t="s">
        <v>4319</v>
      </c>
      <c r="H84" s="3" t="s">
        <v>4320</v>
      </c>
      <c r="I84" s="5">
        <v>1049</v>
      </c>
      <c r="J84" s="3" t="s">
        <v>11</v>
      </c>
    </row>
    <row r="85" spans="1:10" x14ac:dyDescent="0.35">
      <c r="A85" s="3">
        <v>103410762</v>
      </c>
      <c r="B85" s="3" t="s">
        <v>4321</v>
      </c>
      <c r="C85" s="3" t="str">
        <f t="shared" si="4"/>
        <v>2022-07-07</v>
      </c>
      <c r="D85" s="3" t="s">
        <v>9</v>
      </c>
      <c r="E85" s="3" t="s">
        <v>5</v>
      </c>
      <c r="F85" s="3" t="s">
        <v>10</v>
      </c>
      <c r="G85" s="3" t="s">
        <v>4322</v>
      </c>
      <c r="H85" s="3" t="s">
        <v>4323</v>
      </c>
      <c r="I85" s="5">
        <v>3149</v>
      </c>
      <c r="J85" s="3" t="s">
        <v>11</v>
      </c>
    </row>
    <row r="86" spans="1:10" x14ac:dyDescent="0.35">
      <c r="A86" s="3">
        <v>103410757</v>
      </c>
      <c r="B86" s="3" t="s">
        <v>4324</v>
      </c>
      <c r="C86" s="3" t="str">
        <f t="shared" si="4"/>
        <v>2022-07-07</v>
      </c>
      <c r="D86" s="3" t="s">
        <v>9</v>
      </c>
      <c r="E86" s="3" t="s">
        <v>5</v>
      </c>
      <c r="F86" s="3" t="s">
        <v>10</v>
      </c>
      <c r="G86" s="3" t="s">
        <v>4325</v>
      </c>
      <c r="H86" s="3" t="s">
        <v>4326</v>
      </c>
      <c r="I86" s="3">
        <v>489</v>
      </c>
      <c r="J86" s="3" t="s">
        <v>11</v>
      </c>
    </row>
    <row r="87" spans="1:10" x14ac:dyDescent="0.35">
      <c r="A87" s="3">
        <v>103410894</v>
      </c>
      <c r="B87" s="3" t="s">
        <v>4324</v>
      </c>
      <c r="C87" s="3" t="str">
        <f t="shared" si="4"/>
        <v>2022-07-07</v>
      </c>
      <c r="D87" s="3" t="s">
        <v>9</v>
      </c>
      <c r="E87" s="3" t="s">
        <v>5</v>
      </c>
      <c r="F87" s="3" t="s">
        <v>10</v>
      </c>
      <c r="G87" s="3" t="s">
        <v>4327</v>
      </c>
      <c r="H87" s="3" t="s">
        <v>4328</v>
      </c>
      <c r="I87" s="4">
        <v>1329.05</v>
      </c>
      <c r="J87" s="3" t="s">
        <v>11</v>
      </c>
    </row>
    <row r="88" spans="1:10" x14ac:dyDescent="0.35">
      <c r="A88" s="3">
        <v>103410755</v>
      </c>
      <c r="B88" s="3" t="s">
        <v>4329</v>
      </c>
      <c r="C88" s="3" t="str">
        <f t="shared" si="4"/>
        <v>2022-07-07</v>
      </c>
      <c r="D88" s="3" t="s">
        <v>9</v>
      </c>
      <c r="E88" s="3" t="s">
        <v>5</v>
      </c>
      <c r="F88" s="3" t="s">
        <v>10</v>
      </c>
      <c r="G88" s="3" t="s">
        <v>4330</v>
      </c>
      <c r="H88" s="3" t="s">
        <v>4331</v>
      </c>
      <c r="I88" s="4">
        <v>4872.6000000000004</v>
      </c>
      <c r="J88" s="3" t="s">
        <v>11</v>
      </c>
    </row>
    <row r="89" spans="1:10" x14ac:dyDescent="0.35">
      <c r="A89" s="3">
        <v>103410891</v>
      </c>
      <c r="B89" s="3" t="s">
        <v>4332</v>
      </c>
      <c r="C89" s="3" t="str">
        <f t="shared" si="4"/>
        <v>2022-07-07</v>
      </c>
      <c r="D89" s="3" t="s">
        <v>9</v>
      </c>
      <c r="E89" s="3" t="s">
        <v>5</v>
      </c>
      <c r="F89" s="3" t="s">
        <v>10</v>
      </c>
      <c r="G89" s="3" t="s">
        <v>4333</v>
      </c>
      <c r="H89" s="3" t="s">
        <v>4334</v>
      </c>
      <c r="I89" s="3">
        <v>468.4</v>
      </c>
      <c r="J89" s="3" t="s">
        <v>11</v>
      </c>
    </row>
    <row r="90" spans="1:10" x14ac:dyDescent="0.35">
      <c r="A90" s="3">
        <v>103410883</v>
      </c>
      <c r="B90" s="3" t="s">
        <v>4335</v>
      </c>
      <c r="C90" s="3" t="str">
        <f t="shared" si="4"/>
        <v>2022-07-07</v>
      </c>
      <c r="D90" s="3" t="s">
        <v>9</v>
      </c>
      <c r="E90" s="3" t="s">
        <v>5</v>
      </c>
      <c r="F90" s="3" t="s">
        <v>10</v>
      </c>
      <c r="G90" s="3" t="s">
        <v>4336</v>
      </c>
      <c r="H90" s="3" t="s">
        <v>4337</v>
      </c>
      <c r="I90" s="3">
        <v>819</v>
      </c>
      <c r="J90" s="3" t="s">
        <v>11</v>
      </c>
    </row>
    <row r="91" spans="1:10" x14ac:dyDescent="0.35">
      <c r="A91" s="3">
        <v>103410746</v>
      </c>
      <c r="B91" s="3" t="s">
        <v>4338</v>
      </c>
      <c r="C91" s="3" t="str">
        <f t="shared" si="4"/>
        <v>2022-07-07</v>
      </c>
      <c r="D91" s="3" t="s">
        <v>9</v>
      </c>
      <c r="E91" s="3" t="s">
        <v>5</v>
      </c>
      <c r="F91" s="3" t="s">
        <v>10</v>
      </c>
      <c r="G91" s="3" t="s">
        <v>3900</v>
      </c>
      <c r="H91" s="3" t="s">
        <v>3901</v>
      </c>
      <c r="I91" s="4">
        <v>4244.6000000000004</v>
      </c>
      <c r="J91" s="3" t="s">
        <v>11</v>
      </c>
    </row>
    <row r="92" spans="1:10" x14ac:dyDescent="0.35">
      <c r="A92" s="3">
        <v>103410875</v>
      </c>
      <c r="B92" s="3" t="s">
        <v>4339</v>
      </c>
      <c r="C92" s="3" t="str">
        <f t="shared" si="4"/>
        <v>2022-07-07</v>
      </c>
      <c r="D92" s="3" t="s">
        <v>9</v>
      </c>
      <c r="E92" s="3" t="s">
        <v>5</v>
      </c>
      <c r="F92" s="3" t="s">
        <v>10</v>
      </c>
      <c r="G92" s="3" t="s">
        <v>4340</v>
      </c>
      <c r="H92" s="3" t="s">
        <v>4341</v>
      </c>
      <c r="I92" s="4">
        <v>2222.14</v>
      </c>
      <c r="J92" s="3" t="s">
        <v>11</v>
      </c>
    </row>
    <row r="93" spans="1:10" x14ac:dyDescent="0.35">
      <c r="A93" s="3">
        <v>103410745</v>
      </c>
      <c r="B93" s="3" t="s">
        <v>4342</v>
      </c>
      <c r="C93" s="3" t="str">
        <f t="shared" si="4"/>
        <v>2022-07-07</v>
      </c>
      <c r="D93" s="3" t="s">
        <v>9</v>
      </c>
      <c r="E93" s="3" t="s">
        <v>5</v>
      </c>
      <c r="F93" s="3" t="s">
        <v>10</v>
      </c>
      <c r="G93" s="3" t="s">
        <v>4343</v>
      </c>
      <c r="H93" s="3" t="s">
        <v>4344</v>
      </c>
      <c r="I93" s="4">
        <v>3418.1</v>
      </c>
      <c r="J93" s="3" t="s">
        <v>11</v>
      </c>
    </row>
    <row r="94" spans="1:10" x14ac:dyDescent="0.35">
      <c r="A94" s="3">
        <v>103410742</v>
      </c>
      <c r="B94" s="3" t="s">
        <v>4345</v>
      </c>
      <c r="C94" s="3" t="str">
        <f t="shared" si="4"/>
        <v>2022-07-07</v>
      </c>
      <c r="D94" s="3" t="s">
        <v>9</v>
      </c>
      <c r="E94" s="3" t="s">
        <v>5</v>
      </c>
      <c r="F94" s="3" t="s">
        <v>10</v>
      </c>
      <c r="G94" s="3" t="s">
        <v>4346</v>
      </c>
      <c r="H94" s="3" t="s">
        <v>4347</v>
      </c>
      <c r="I94" s="4">
        <v>3704.05</v>
      </c>
      <c r="J94" s="3" t="s">
        <v>11</v>
      </c>
    </row>
    <row r="95" spans="1:10" x14ac:dyDescent="0.35">
      <c r="A95" s="3">
        <v>103410874</v>
      </c>
      <c r="B95" s="3" t="s">
        <v>4348</v>
      </c>
      <c r="C95" s="3" t="str">
        <f t="shared" si="4"/>
        <v>2022-07-07</v>
      </c>
      <c r="D95" s="3" t="s">
        <v>9</v>
      </c>
      <c r="E95" s="3" t="s">
        <v>5</v>
      </c>
      <c r="F95" s="3" t="s">
        <v>10</v>
      </c>
      <c r="G95" s="3" t="s">
        <v>4349</v>
      </c>
      <c r="H95" s="3" t="s">
        <v>4350</v>
      </c>
      <c r="I95" s="3">
        <v>799</v>
      </c>
      <c r="J95" s="3" t="s">
        <v>11</v>
      </c>
    </row>
    <row r="96" spans="1:10" x14ac:dyDescent="0.35">
      <c r="A96" s="3">
        <v>103410733</v>
      </c>
      <c r="B96" s="3" t="s">
        <v>4351</v>
      </c>
      <c r="C96" s="3" t="str">
        <f t="shared" si="4"/>
        <v>2022-07-07</v>
      </c>
      <c r="D96" s="3" t="s">
        <v>9</v>
      </c>
      <c r="E96" s="3" t="s">
        <v>5</v>
      </c>
      <c r="F96" s="3" t="s">
        <v>10</v>
      </c>
      <c r="G96" s="3" t="s">
        <v>640</v>
      </c>
      <c r="H96" s="3" t="s">
        <v>4352</v>
      </c>
      <c r="I96" s="4">
        <v>2699.25</v>
      </c>
      <c r="J96" s="3" t="s">
        <v>11</v>
      </c>
    </row>
    <row r="97" spans="1:10" x14ac:dyDescent="0.35">
      <c r="A97" s="3">
        <v>103410861</v>
      </c>
      <c r="B97" s="3" t="s">
        <v>4353</v>
      </c>
      <c r="C97" s="3" t="str">
        <f t="shared" si="4"/>
        <v>2022-07-07</v>
      </c>
      <c r="D97" s="3" t="s">
        <v>9</v>
      </c>
      <c r="E97" s="3" t="s">
        <v>5</v>
      </c>
      <c r="F97" s="3" t="s">
        <v>12</v>
      </c>
      <c r="G97" s="3" t="s">
        <v>4354</v>
      </c>
      <c r="H97" s="3" t="s">
        <v>4355</v>
      </c>
      <c r="I97" s="3">
        <v>849</v>
      </c>
      <c r="J97" s="3" t="s">
        <v>11</v>
      </c>
    </row>
    <row r="98" spans="1:10" x14ac:dyDescent="0.35">
      <c r="A98" s="3">
        <v>103410732</v>
      </c>
      <c r="B98" s="3" t="s">
        <v>4356</v>
      </c>
      <c r="C98" s="3" t="str">
        <f t="shared" si="4"/>
        <v>2022-07-07</v>
      </c>
      <c r="D98" s="3" t="s">
        <v>9</v>
      </c>
      <c r="E98" s="3" t="s">
        <v>5</v>
      </c>
      <c r="F98" s="3" t="s">
        <v>10</v>
      </c>
      <c r="G98" s="3" t="s">
        <v>4357</v>
      </c>
      <c r="H98" s="3" t="s">
        <v>4358</v>
      </c>
      <c r="I98" s="3">
        <v>549</v>
      </c>
      <c r="J98" s="3" t="s">
        <v>11</v>
      </c>
    </row>
    <row r="99" spans="1:10" x14ac:dyDescent="0.35">
      <c r="A99" s="3">
        <v>103410858</v>
      </c>
      <c r="B99" s="3" t="s">
        <v>4359</v>
      </c>
      <c r="C99" s="3" t="str">
        <f t="shared" si="4"/>
        <v>2022-07-07</v>
      </c>
      <c r="D99" s="3" t="s">
        <v>9</v>
      </c>
      <c r="E99" s="3" t="s">
        <v>5</v>
      </c>
      <c r="F99" s="3" t="s">
        <v>10</v>
      </c>
      <c r="G99" s="3" t="s">
        <v>337</v>
      </c>
      <c r="H99" s="3" t="s">
        <v>4360</v>
      </c>
      <c r="I99" s="4">
        <v>4654.05</v>
      </c>
      <c r="J99" s="3" t="s">
        <v>11</v>
      </c>
    </row>
    <row r="100" spans="1:10" x14ac:dyDescent="0.35">
      <c r="A100" s="3">
        <v>103410728</v>
      </c>
      <c r="B100" s="3" t="s">
        <v>4361</v>
      </c>
      <c r="C100" s="3" t="str">
        <f t="shared" si="4"/>
        <v>2022-07-07</v>
      </c>
      <c r="D100" s="3" t="s">
        <v>9</v>
      </c>
      <c r="E100" s="3" t="s">
        <v>5</v>
      </c>
      <c r="F100" s="3" t="s">
        <v>12</v>
      </c>
      <c r="G100" s="3" t="s">
        <v>4362</v>
      </c>
      <c r="H100" s="3" t="s">
        <v>4363</v>
      </c>
      <c r="I100" s="4">
        <v>2249.6</v>
      </c>
      <c r="J100" s="3" t="s">
        <v>11</v>
      </c>
    </row>
    <row r="101" spans="1:10" x14ac:dyDescent="0.35">
      <c r="A101" s="3">
        <v>103410854</v>
      </c>
      <c r="B101" s="3" t="s">
        <v>4364</v>
      </c>
      <c r="C101" s="3" t="str">
        <f t="shared" si="4"/>
        <v>2022-07-07</v>
      </c>
      <c r="D101" s="3" t="s">
        <v>9</v>
      </c>
      <c r="E101" s="3" t="s">
        <v>5</v>
      </c>
      <c r="F101" s="3" t="s">
        <v>10</v>
      </c>
      <c r="G101" s="3" t="s">
        <v>4365</v>
      </c>
      <c r="H101" s="3" t="s">
        <v>4366</v>
      </c>
      <c r="I101" s="5">
        <v>3499</v>
      </c>
      <c r="J101" s="3" t="s">
        <v>11</v>
      </c>
    </row>
    <row r="102" spans="1:10" x14ac:dyDescent="0.35">
      <c r="A102" s="3">
        <v>103410725</v>
      </c>
      <c r="B102" s="3" t="s">
        <v>4367</v>
      </c>
      <c r="C102" s="3" t="str">
        <f t="shared" si="4"/>
        <v>2022-07-07</v>
      </c>
      <c r="D102" s="3" t="s">
        <v>9</v>
      </c>
      <c r="E102" s="3" t="s">
        <v>5</v>
      </c>
      <c r="F102" s="3" t="s">
        <v>10</v>
      </c>
      <c r="G102" s="3" t="s">
        <v>4368</v>
      </c>
      <c r="H102" s="3" t="s">
        <v>4369</v>
      </c>
      <c r="I102" s="3">
        <v>449</v>
      </c>
      <c r="J102" s="3" t="s">
        <v>11</v>
      </c>
    </row>
    <row r="103" spans="1:10" x14ac:dyDescent="0.35">
      <c r="A103" s="3">
        <v>103410724</v>
      </c>
      <c r="B103" s="3" t="s">
        <v>4370</v>
      </c>
      <c r="C103" s="3" t="str">
        <f t="shared" si="4"/>
        <v>2022-07-07</v>
      </c>
      <c r="D103" s="3" t="s">
        <v>9</v>
      </c>
      <c r="E103" s="3" t="s">
        <v>5</v>
      </c>
      <c r="F103" s="3" t="s">
        <v>12</v>
      </c>
      <c r="G103" s="3" t="s">
        <v>4371</v>
      </c>
      <c r="H103" s="3" t="s">
        <v>4372</v>
      </c>
      <c r="I103" s="4">
        <v>1281.55</v>
      </c>
      <c r="J103" s="3" t="s">
        <v>11</v>
      </c>
    </row>
    <row r="104" spans="1:10" x14ac:dyDescent="0.35">
      <c r="A104" s="3">
        <v>103410720</v>
      </c>
      <c r="B104" s="3" t="s">
        <v>4373</v>
      </c>
      <c r="C104" s="3" t="str">
        <f t="shared" si="4"/>
        <v>2022-07-07</v>
      </c>
      <c r="D104" s="3" t="s">
        <v>9</v>
      </c>
      <c r="E104" s="3" t="s">
        <v>5</v>
      </c>
      <c r="F104" s="3" t="s">
        <v>10</v>
      </c>
      <c r="G104" s="3" t="s">
        <v>4374</v>
      </c>
      <c r="H104" s="3" t="s">
        <v>4375</v>
      </c>
      <c r="I104" s="4">
        <v>1424.05</v>
      </c>
      <c r="J104" s="3" t="s">
        <v>11</v>
      </c>
    </row>
    <row r="105" spans="1:10" x14ac:dyDescent="0.35">
      <c r="A105" s="3">
        <v>103410838</v>
      </c>
      <c r="B105" s="3" t="s">
        <v>4376</v>
      </c>
      <c r="C105" s="3" t="str">
        <f t="shared" si="4"/>
        <v>2022-07-07</v>
      </c>
      <c r="D105" s="3" t="s">
        <v>9</v>
      </c>
      <c r="E105" s="3" t="s">
        <v>5</v>
      </c>
      <c r="F105" s="3" t="s">
        <v>10</v>
      </c>
      <c r="G105" s="3" t="s">
        <v>4377</v>
      </c>
      <c r="H105" s="3" t="s">
        <v>4378</v>
      </c>
      <c r="I105" s="4">
        <v>2991.64</v>
      </c>
      <c r="J105" s="3" t="s">
        <v>11</v>
      </c>
    </row>
    <row r="106" spans="1:10" x14ac:dyDescent="0.35">
      <c r="A106" s="3">
        <v>103410837</v>
      </c>
      <c r="B106" s="3" t="s">
        <v>4379</v>
      </c>
      <c r="C106" s="3" t="str">
        <f t="shared" si="4"/>
        <v>2022-07-07</v>
      </c>
      <c r="D106" s="3" t="s">
        <v>9</v>
      </c>
      <c r="E106" s="3" t="s">
        <v>5</v>
      </c>
      <c r="F106" s="3" t="s">
        <v>10</v>
      </c>
      <c r="G106" s="3" t="s">
        <v>4380</v>
      </c>
      <c r="H106" s="3" t="s">
        <v>4381</v>
      </c>
      <c r="I106" s="5">
        <v>1148</v>
      </c>
      <c r="J106" s="3" t="s">
        <v>11</v>
      </c>
    </row>
    <row r="107" spans="1:10" x14ac:dyDescent="0.35">
      <c r="A107" s="3">
        <v>103410834</v>
      </c>
      <c r="B107" s="3" t="s">
        <v>4382</v>
      </c>
      <c r="C107" s="3" t="str">
        <f t="shared" si="4"/>
        <v>2022-07-07</v>
      </c>
      <c r="D107" s="3" t="s">
        <v>9</v>
      </c>
      <c r="E107" s="3" t="s">
        <v>5</v>
      </c>
      <c r="F107" s="3" t="s">
        <v>10</v>
      </c>
      <c r="G107" s="3" t="s">
        <v>4383</v>
      </c>
      <c r="H107" s="3" t="s">
        <v>4384</v>
      </c>
      <c r="I107" s="5">
        <v>2778</v>
      </c>
      <c r="J107" s="3" t="s">
        <v>11</v>
      </c>
    </row>
    <row r="108" spans="1:10" x14ac:dyDescent="0.35">
      <c r="A108" s="3">
        <v>103410708</v>
      </c>
      <c r="B108" s="3" t="s">
        <v>4385</v>
      </c>
      <c r="C108" s="3" t="str">
        <f t="shared" si="4"/>
        <v>2022-07-07</v>
      </c>
      <c r="D108" s="3" t="s">
        <v>9</v>
      </c>
      <c r="E108" s="3" t="s">
        <v>5</v>
      </c>
      <c r="F108" s="3" t="s">
        <v>10</v>
      </c>
      <c r="G108" s="3" t="s">
        <v>4386</v>
      </c>
      <c r="H108" s="3" t="s">
        <v>4387</v>
      </c>
      <c r="I108" s="4">
        <v>1129.55</v>
      </c>
      <c r="J108" s="3" t="s">
        <v>11</v>
      </c>
    </row>
    <row r="109" spans="1:10" x14ac:dyDescent="0.35">
      <c r="A109" s="3">
        <v>103410706</v>
      </c>
      <c r="B109" s="3" t="s">
        <v>4388</v>
      </c>
      <c r="C109" s="3" t="str">
        <f t="shared" si="4"/>
        <v>2022-07-07</v>
      </c>
      <c r="D109" s="3" t="s">
        <v>9</v>
      </c>
      <c r="E109" s="3" t="s">
        <v>5</v>
      </c>
      <c r="F109" s="3" t="s">
        <v>10</v>
      </c>
      <c r="G109" s="3" t="s">
        <v>4389</v>
      </c>
      <c r="H109" s="3" t="s">
        <v>4390</v>
      </c>
      <c r="I109" s="3">
        <v>701.1</v>
      </c>
      <c r="J109" s="3" t="s">
        <v>11</v>
      </c>
    </row>
    <row r="110" spans="1:10" x14ac:dyDescent="0.35">
      <c r="A110" s="3">
        <v>103410704</v>
      </c>
      <c r="B110" s="3" t="s">
        <v>4391</v>
      </c>
      <c r="C110" s="3" t="str">
        <f t="shared" si="4"/>
        <v>2022-07-07</v>
      </c>
      <c r="D110" s="3" t="s">
        <v>9</v>
      </c>
      <c r="E110" s="3" t="s">
        <v>5</v>
      </c>
      <c r="F110" s="3" t="s">
        <v>10</v>
      </c>
      <c r="G110" s="3" t="s">
        <v>4392</v>
      </c>
      <c r="H110" s="3" t="s">
        <v>4393</v>
      </c>
      <c r="I110" s="5">
        <v>1199</v>
      </c>
      <c r="J110" s="3" t="s">
        <v>11</v>
      </c>
    </row>
    <row r="111" spans="1:10" x14ac:dyDescent="0.35">
      <c r="A111" s="3">
        <v>103410703</v>
      </c>
      <c r="B111" s="3" t="s">
        <v>4394</v>
      </c>
      <c r="C111" s="3" t="str">
        <f t="shared" si="4"/>
        <v>2022-07-07</v>
      </c>
      <c r="D111" s="3" t="s">
        <v>9</v>
      </c>
      <c r="E111" s="3" t="s">
        <v>5</v>
      </c>
      <c r="F111" s="3" t="s">
        <v>10</v>
      </c>
      <c r="G111" s="3" t="s">
        <v>4395</v>
      </c>
      <c r="H111" s="3" t="s">
        <v>4396</v>
      </c>
      <c r="I111" s="5">
        <v>2338</v>
      </c>
      <c r="J111" s="3" t="s">
        <v>11</v>
      </c>
    </row>
    <row r="112" spans="1:10" x14ac:dyDescent="0.35">
      <c r="A112" s="3">
        <v>103410828</v>
      </c>
      <c r="B112" s="3" t="s">
        <v>4397</v>
      </c>
      <c r="C112" s="3" t="str">
        <f t="shared" si="4"/>
        <v>2022-07-07</v>
      </c>
      <c r="D112" s="3" t="s">
        <v>9</v>
      </c>
      <c r="E112" s="3" t="s">
        <v>5</v>
      </c>
      <c r="F112" s="3" t="s">
        <v>10</v>
      </c>
      <c r="G112" s="3" t="s">
        <v>4398</v>
      </c>
      <c r="H112" s="3" t="s">
        <v>4399</v>
      </c>
      <c r="I112" s="3">
        <v>999</v>
      </c>
      <c r="J112" s="3" t="s">
        <v>11</v>
      </c>
    </row>
    <row r="113" spans="1:10" x14ac:dyDescent="0.35">
      <c r="A113" s="3">
        <v>103410827</v>
      </c>
      <c r="B113" s="3" t="s">
        <v>4400</v>
      </c>
      <c r="C113" s="3" t="str">
        <f t="shared" si="4"/>
        <v>2022-07-07</v>
      </c>
      <c r="D113" s="3" t="s">
        <v>9</v>
      </c>
      <c r="E113" s="3" t="s">
        <v>5</v>
      </c>
      <c r="F113" s="3" t="s">
        <v>10</v>
      </c>
      <c r="G113" s="3" t="s">
        <v>4401</v>
      </c>
      <c r="H113" s="3" t="s">
        <v>4402</v>
      </c>
      <c r="I113" s="4">
        <v>1918.05</v>
      </c>
      <c r="J113" s="3" t="s">
        <v>11</v>
      </c>
    </row>
    <row r="114" spans="1:10" x14ac:dyDescent="0.35">
      <c r="A114" s="3">
        <v>103410823</v>
      </c>
      <c r="B114" s="3" t="s">
        <v>4403</v>
      </c>
      <c r="C114" s="3" t="str">
        <f t="shared" si="4"/>
        <v>2022-07-07</v>
      </c>
      <c r="D114" s="3" t="s">
        <v>9</v>
      </c>
      <c r="E114" s="3" t="s">
        <v>5</v>
      </c>
      <c r="F114" s="3" t="s">
        <v>10</v>
      </c>
      <c r="G114" s="3" t="s">
        <v>4404</v>
      </c>
      <c r="H114" s="3" t="s">
        <v>4405</v>
      </c>
      <c r="I114" s="4">
        <v>1851.55</v>
      </c>
      <c r="J114" s="3" t="s">
        <v>11</v>
      </c>
    </row>
    <row r="115" spans="1:10" x14ac:dyDescent="0.35">
      <c r="A115" s="3">
        <v>103410699</v>
      </c>
      <c r="B115" s="3" t="s">
        <v>4406</v>
      </c>
      <c r="C115" s="3" t="str">
        <f t="shared" si="4"/>
        <v>2022-07-07</v>
      </c>
      <c r="D115" s="3" t="s">
        <v>9</v>
      </c>
      <c r="E115" s="3" t="s">
        <v>5</v>
      </c>
      <c r="F115" s="3" t="s">
        <v>10</v>
      </c>
      <c r="G115" s="3" t="s">
        <v>4407</v>
      </c>
      <c r="H115" s="3" t="s">
        <v>4408</v>
      </c>
      <c r="I115" s="4">
        <v>14367.8</v>
      </c>
      <c r="J115" s="3" t="s">
        <v>11</v>
      </c>
    </row>
    <row r="116" spans="1:10" x14ac:dyDescent="0.35">
      <c r="A116" s="3">
        <v>103410819</v>
      </c>
      <c r="B116" s="3" t="s">
        <v>4409</v>
      </c>
      <c r="C116" s="3" t="str">
        <f t="shared" si="4"/>
        <v>2022-07-07</v>
      </c>
      <c r="D116" s="3" t="s">
        <v>9</v>
      </c>
      <c r="E116" s="3" t="s">
        <v>5</v>
      </c>
      <c r="F116" s="3" t="s">
        <v>10</v>
      </c>
      <c r="G116" s="3" t="s">
        <v>4410</v>
      </c>
      <c r="H116" s="3" t="s">
        <v>4411</v>
      </c>
      <c r="I116" s="4">
        <v>2345.5500000000002</v>
      </c>
      <c r="J116" s="3" t="s">
        <v>11</v>
      </c>
    </row>
    <row r="117" spans="1:10" x14ac:dyDescent="0.35">
      <c r="A117" s="3">
        <v>103410818</v>
      </c>
      <c r="B117" s="3" t="s">
        <v>4412</v>
      </c>
      <c r="C117" s="3" t="str">
        <f t="shared" si="4"/>
        <v>2022-07-07</v>
      </c>
      <c r="D117" s="3" t="s">
        <v>9</v>
      </c>
      <c r="E117" s="3" t="s">
        <v>5</v>
      </c>
      <c r="F117" s="3" t="s">
        <v>10</v>
      </c>
      <c r="G117" s="3" t="s">
        <v>2937</v>
      </c>
      <c r="H117" s="3" t="s">
        <v>2938</v>
      </c>
      <c r="I117" s="4">
        <v>4939.05</v>
      </c>
      <c r="J117" s="3" t="s">
        <v>11</v>
      </c>
    </row>
    <row r="118" spans="1:10" x14ac:dyDescent="0.35">
      <c r="A118" s="3">
        <v>103410697</v>
      </c>
      <c r="B118" s="3" t="s">
        <v>4413</v>
      </c>
      <c r="C118" s="3" t="str">
        <f t="shared" si="4"/>
        <v>2022-07-07</v>
      </c>
      <c r="D118" s="3" t="s">
        <v>9</v>
      </c>
      <c r="E118" s="3" t="s">
        <v>5</v>
      </c>
      <c r="F118" s="3" t="s">
        <v>12</v>
      </c>
      <c r="G118" s="3" t="s">
        <v>4414</v>
      </c>
      <c r="H118" s="3" t="s">
        <v>2260</v>
      </c>
      <c r="I118" s="3">
        <v>768.55</v>
      </c>
      <c r="J118" s="3" t="s">
        <v>11</v>
      </c>
    </row>
    <row r="119" spans="1:10" x14ac:dyDescent="0.35">
      <c r="A119" s="3">
        <v>103410809</v>
      </c>
      <c r="B119" s="3" t="s">
        <v>4415</v>
      </c>
      <c r="C119" s="3" t="str">
        <f t="shared" si="4"/>
        <v>2022-07-07</v>
      </c>
      <c r="D119" s="3" t="s">
        <v>9</v>
      </c>
      <c r="E119" s="3" t="s">
        <v>5</v>
      </c>
      <c r="F119" s="3" t="s">
        <v>12</v>
      </c>
      <c r="G119" s="3" t="s">
        <v>4416</v>
      </c>
      <c r="H119" s="3" t="s">
        <v>4417</v>
      </c>
      <c r="I119" s="5">
        <v>1499</v>
      </c>
      <c r="J119" s="3" t="s">
        <v>11</v>
      </c>
    </row>
    <row r="120" spans="1:10" x14ac:dyDescent="0.35">
      <c r="A120" s="3">
        <v>103410691</v>
      </c>
      <c r="B120" s="3" t="s">
        <v>4418</v>
      </c>
      <c r="C120" s="3" t="str">
        <f t="shared" si="4"/>
        <v>2022-07-07</v>
      </c>
      <c r="D120" s="3" t="s">
        <v>9</v>
      </c>
      <c r="E120" s="3" t="s">
        <v>5</v>
      </c>
      <c r="F120" s="3" t="s">
        <v>10</v>
      </c>
      <c r="G120" s="3" t="s">
        <v>4419</v>
      </c>
      <c r="H120" s="3" t="s">
        <v>4420</v>
      </c>
      <c r="I120" s="3">
        <v>799</v>
      </c>
      <c r="J120" s="3" t="s">
        <v>11</v>
      </c>
    </row>
    <row r="121" spans="1:10" x14ac:dyDescent="0.35">
      <c r="A121" s="3">
        <v>103410805</v>
      </c>
      <c r="B121" s="3" t="s">
        <v>4421</v>
      </c>
      <c r="C121" s="3" t="str">
        <f t="shared" si="4"/>
        <v>2022-07-07</v>
      </c>
      <c r="D121" s="3" t="s">
        <v>9</v>
      </c>
      <c r="E121" s="3" t="s">
        <v>5</v>
      </c>
      <c r="F121" s="3" t="s">
        <v>10</v>
      </c>
      <c r="G121" s="3" t="s">
        <v>4422</v>
      </c>
      <c r="H121" s="3" t="s">
        <v>4423</v>
      </c>
      <c r="I121" s="4">
        <v>3324.05</v>
      </c>
      <c r="J121" s="3" t="s">
        <v>11</v>
      </c>
    </row>
    <row r="122" spans="1:10" x14ac:dyDescent="0.35">
      <c r="A122" s="3">
        <v>103410690</v>
      </c>
      <c r="B122" s="3" t="s">
        <v>4424</v>
      </c>
      <c r="C122" s="3" t="str">
        <f t="shared" si="4"/>
        <v>2022-07-07</v>
      </c>
      <c r="D122" s="3" t="s">
        <v>9</v>
      </c>
      <c r="E122" s="3" t="s">
        <v>5</v>
      </c>
      <c r="F122" s="3" t="s">
        <v>10</v>
      </c>
      <c r="G122" s="3" t="s">
        <v>4425</v>
      </c>
      <c r="H122" s="3" t="s">
        <v>4426</v>
      </c>
      <c r="I122" s="4">
        <v>4178.1000000000004</v>
      </c>
      <c r="J122" s="3" t="s">
        <v>11</v>
      </c>
    </row>
    <row r="123" spans="1:10" x14ac:dyDescent="0.35">
      <c r="A123" s="3">
        <v>103410688</v>
      </c>
      <c r="B123" s="3" t="s">
        <v>4427</v>
      </c>
      <c r="C123" s="3" t="str">
        <f t="shared" si="4"/>
        <v>2022-07-07</v>
      </c>
      <c r="D123" s="3" t="s">
        <v>9</v>
      </c>
      <c r="E123" s="3" t="s">
        <v>5</v>
      </c>
      <c r="F123" s="3" t="s">
        <v>10</v>
      </c>
      <c r="G123" s="3" t="s">
        <v>4428</v>
      </c>
      <c r="H123" s="3" t="s">
        <v>4429</v>
      </c>
      <c r="I123" s="5">
        <v>3569</v>
      </c>
      <c r="J123" s="3" t="s">
        <v>11</v>
      </c>
    </row>
    <row r="124" spans="1:10" x14ac:dyDescent="0.35">
      <c r="A124" s="3">
        <v>103410797</v>
      </c>
      <c r="B124" s="3" t="s">
        <v>4430</v>
      </c>
      <c r="C124" s="3" t="str">
        <f t="shared" si="4"/>
        <v>2022-07-07</v>
      </c>
      <c r="D124" s="3" t="s">
        <v>9</v>
      </c>
      <c r="E124" s="3" t="s">
        <v>5</v>
      </c>
      <c r="F124" s="3" t="s">
        <v>10</v>
      </c>
      <c r="G124" s="3" t="s">
        <v>4431</v>
      </c>
      <c r="H124" s="3" t="s">
        <v>4432</v>
      </c>
      <c r="I124" s="4">
        <v>1352.85</v>
      </c>
      <c r="J124" s="3" t="s">
        <v>11</v>
      </c>
    </row>
    <row r="125" spans="1:10" x14ac:dyDescent="0.35">
      <c r="A125" s="3">
        <v>103410684</v>
      </c>
      <c r="B125" s="3" t="s">
        <v>4433</v>
      </c>
      <c r="C125" s="3" t="str">
        <f t="shared" si="4"/>
        <v>2022-07-07</v>
      </c>
      <c r="D125" s="3" t="s">
        <v>9</v>
      </c>
      <c r="E125" s="3" t="s">
        <v>5</v>
      </c>
      <c r="F125" s="3" t="s">
        <v>10</v>
      </c>
      <c r="G125" s="3" t="s">
        <v>4434</v>
      </c>
      <c r="H125" s="3" t="s">
        <v>4435</v>
      </c>
      <c r="I125" s="5">
        <v>3499</v>
      </c>
      <c r="J125" s="3" t="s">
        <v>11</v>
      </c>
    </row>
    <row r="126" spans="1:10" x14ac:dyDescent="0.35">
      <c r="A126" s="3">
        <v>103410792</v>
      </c>
      <c r="B126" s="3" t="s">
        <v>4436</v>
      </c>
      <c r="C126" s="3" t="str">
        <f t="shared" si="4"/>
        <v>2022-07-07</v>
      </c>
      <c r="D126" s="3" t="s">
        <v>9</v>
      </c>
      <c r="E126" s="3" t="s">
        <v>5</v>
      </c>
      <c r="F126" s="3" t="s">
        <v>12</v>
      </c>
      <c r="G126" s="3" t="s">
        <v>4437</v>
      </c>
      <c r="H126" s="3" t="s">
        <v>4438</v>
      </c>
      <c r="I126" s="4">
        <v>1578.47</v>
      </c>
      <c r="J126" s="3" t="s">
        <v>11</v>
      </c>
    </row>
    <row r="127" spans="1:10" x14ac:dyDescent="0.35">
      <c r="A127" s="3">
        <v>103410790</v>
      </c>
      <c r="B127" s="3" t="s">
        <v>4439</v>
      </c>
      <c r="C127" s="3" t="str">
        <f t="shared" si="4"/>
        <v>2022-07-07</v>
      </c>
      <c r="D127" s="3" t="s">
        <v>9</v>
      </c>
      <c r="E127" s="3" t="s">
        <v>5</v>
      </c>
      <c r="F127" s="3" t="s">
        <v>10</v>
      </c>
      <c r="G127" s="3" t="s">
        <v>4440</v>
      </c>
      <c r="H127" s="3" t="s">
        <v>4441</v>
      </c>
      <c r="I127" s="5">
        <v>3599</v>
      </c>
      <c r="J127" s="3" t="s">
        <v>11</v>
      </c>
    </row>
    <row r="128" spans="1:10" x14ac:dyDescent="0.35">
      <c r="A128" s="3">
        <v>103410683</v>
      </c>
      <c r="B128" s="3" t="s">
        <v>4439</v>
      </c>
      <c r="C128" s="3" t="str">
        <f t="shared" si="4"/>
        <v>2022-07-07</v>
      </c>
      <c r="D128" s="3" t="s">
        <v>9</v>
      </c>
      <c r="E128" s="3" t="s">
        <v>5</v>
      </c>
      <c r="F128" s="3" t="s">
        <v>12</v>
      </c>
      <c r="G128" s="3" t="s">
        <v>4442</v>
      </c>
      <c r="H128" s="3" t="s">
        <v>4443</v>
      </c>
      <c r="I128" s="4">
        <v>3474.15</v>
      </c>
      <c r="J128" s="3" t="s">
        <v>11</v>
      </c>
    </row>
    <row r="129" spans="1:10" x14ac:dyDescent="0.35">
      <c r="A129" s="3">
        <v>103410789</v>
      </c>
      <c r="B129" s="3" t="s">
        <v>4444</v>
      </c>
      <c r="C129" s="3" t="str">
        <f t="shared" si="4"/>
        <v>2022-07-07</v>
      </c>
      <c r="D129" s="3" t="s">
        <v>9</v>
      </c>
      <c r="E129" s="3" t="s">
        <v>5</v>
      </c>
      <c r="F129" s="3" t="s">
        <v>10</v>
      </c>
      <c r="G129" s="3" t="s">
        <v>4445</v>
      </c>
      <c r="H129" s="3" t="s">
        <v>4446</v>
      </c>
      <c r="I129" s="3">
        <v>806.55</v>
      </c>
      <c r="J129" s="3" t="s">
        <v>11</v>
      </c>
    </row>
    <row r="130" spans="1:10" x14ac:dyDescent="0.35">
      <c r="A130" s="3">
        <v>103410786</v>
      </c>
      <c r="B130" s="3" t="s">
        <v>4447</v>
      </c>
      <c r="C130" s="3" t="str">
        <f t="shared" si="4"/>
        <v>2022-07-07</v>
      </c>
      <c r="D130" s="3" t="s">
        <v>9</v>
      </c>
      <c r="E130" s="3" t="s">
        <v>5</v>
      </c>
      <c r="F130" s="3" t="s">
        <v>10</v>
      </c>
      <c r="G130" s="3" t="s">
        <v>4448</v>
      </c>
      <c r="H130" s="3" t="s">
        <v>4449</v>
      </c>
      <c r="I130" s="5">
        <v>1499</v>
      </c>
      <c r="J130" s="3" t="s">
        <v>11</v>
      </c>
    </row>
    <row r="131" spans="1:10" x14ac:dyDescent="0.35">
      <c r="A131" s="3">
        <v>103410682</v>
      </c>
      <c r="B131" s="3" t="s">
        <v>4450</v>
      </c>
      <c r="C131" s="3" t="str">
        <f t="shared" ref="C131:C194" si="5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4451</v>
      </c>
      <c r="H131" s="3" t="s">
        <v>4452</v>
      </c>
      <c r="I131" s="4">
        <v>1424.05</v>
      </c>
      <c r="J131" s="3" t="s">
        <v>11</v>
      </c>
    </row>
    <row r="132" spans="1:10" x14ac:dyDescent="0.35">
      <c r="A132" s="3">
        <v>103410779</v>
      </c>
      <c r="B132" s="3" t="s">
        <v>4453</v>
      </c>
      <c r="C132" s="3" t="str">
        <f t="shared" si="5"/>
        <v>2022-07-07</v>
      </c>
      <c r="D132" s="3" t="s">
        <v>9</v>
      </c>
      <c r="E132" s="3" t="s">
        <v>5</v>
      </c>
      <c r="F132" s="3" t="s">
        <v>12</v>
      </c>
      <c r="G132" s="3" t="s">
        <v>4454</v>
      </c>
      <c r="H132" s="3" t="s">
        <v>4455</v>
      </c>
      <c r="I132" s="4">
        <v>2222.1</v>
      </c>
      <c r="J132" s="3" t="s">
        <v>11</v>
      </c>
    </row>
    <row r="133" spans="1:10" x14ac:dyDescent="0.35">
      <c r="A133" s="3">
        <v>103410774</v>
      </c>
      <c r="B133" s="3" t="s">
        <v>4456</v>
      </c>
      <c r="C133" s="3" t="str">
        <f t="shared" si="5"/>
        <v>2022-07-07</v>
      </c>
      <c r="D133" s="3" t="s">
        <v>9</v>
      </c>
      <c r="E133" s="3" t="s">
        <v>5</v>
      </c>
      <c r="F133" s="3" t="s">
        <v>10</v>
      </c>
      <c r="G133" s="3" t="s">
        <v>4457</v>
      </c>
      <c r="H133" s="3" t="s">
        <v>4458</v>
      </c>
      <c r="I133" s="3">
        <v>987.05</v>
      </c>
      <c r="J133" s="3" t="s">
        <v>11</v>
      </c>
    </row>
    <row r="134" spans="1:10" x14ac:dyDescent="0.35">
      <c r="A134" s="3">
        <v>103410674</v>
      </c>
      <c r="B134" s="3" t="s">
        <v>4459</v>
      </c>
      <c r="C134" s="3" t="str">
        <f t="shared" si="5"/>
        <v>2022-07-07</v>
      </c>
      <c r="D134" s="3" t="s">
        <v>9</v>
      </c>
      <c r="E134" s="3" t="s">
        <v>5</v>
      </c>
      <c r="F134" s="3" t="s">
        <v>10</v>
      </c>
      <c r="G134" s="3" t="s">
        <v>4460</v>
      </c>
      <c r="H134" s="3" t="s">
        <v>4461</v>
      </c>
      <c r="I134" s="3">
        <v>969</v>
      </c>
      <c r="J134" s="3" t="s">
        <v>11</v>
      </c>
    </row>
    <row r="135" spans="1:10" x14ac:dyDescent="0.35">
      <c r="A135" s="3">
        <v>103410765</v>
      </c>
      <c r="B135" s="3" t="s">
        <v>4462</v>
      </c>
      <c r="C135" s="3" t="str">
        <f t="shared" si="5"/>
        <v>2022-07-07</v>
      </c>
      <c r="D135" s="3" t="s">
        <v>9</v>
      </c>
      <c r="E135" s="3" t="s">
        <v>5</v>
      </c>
      <c r="F135" s="3" t="s">
        <v>10</v>
      </c>
      <c r="G135" s="3" t="s">
        <v>4463</v>
      </c>
      <c r="H135" s="3" t="s">
        <v>4464</v>
      </c>
      <c r="I135" s="5">
        <v>1439</v>
      </c>
      <c r="J135" s="3" t="s">
        <v>11</v>
      </c>
    </row>
    <row r="136" spans="1:10" x14ac:dyDescent="0.35">
      <c r="A136" s="3">
        <v>103410663</v>
      </c>
      <c r="B136" s="3" t="s">
        <v>4465</v>
      </c>
      <c r="C136" s="3" t="str">
        <f t="shared" si="5"/>
        <v>2022-07-07</v>
      </c>
      <c r="D136" s="3" t="s">
        <v>9</v>
      </c>
      <c r="E136" s="3" t="s">
        <v>5</v>
      </c>
      <c r="F136" s="3" t="s">
        <v>12</v>
      </c>
      <c r="G136" s="3" t="s">
        <v>4466</v>
      </c>
      <c r="H136" s="3" t="s">
        <v>4467</v>
      </c>
      <c r="I136" s="5">
        <v>2749</v>
      </c>
      <c r="J136" s="3" t="s">
        <v>11</v>
      </c>
    </row>
    <row r="137" spans="1:10" x14ac:dyDescent="0.35">
      <c r="A137" s="3">
        <v>103410670</v>
      </c>
      <c r="B137" s="3" t="s">
        <v>4468</v>
      </c>
      <c r="C137" s="3" t="str">
        <f t="shared" si="5"/>
        <v>2022-07-07</v>
      </c>
      <c r="D137" s="3" t="s">
        <v>9</v>
      </c>
      <c r="E137" s="3" t="s">
        <v>5</v>
      </c>
      <c r="F137" s="3" t="s">
        <v>10</v>
      </c>
      <c r="G137" s="3" t="s">
        <v>4469</v>
      </c>
      <c r="H137" s="3" t="s">
        <v>4470</v>
      </c>
      <c r="I137" s="3">
        <v>673.55</v>
      </c>
      <c r="J137" s="3" t="s">
        <v>11</v>
      </c>
    </row>
    <row r="138" spans="1:10" x14ac:dyDescent="0.35">
      <c r="A138" s="3">
        <v>103410660</v>
      </c>
      <c r="B138" s="3" t="s">
        <v>4471</v>
      </c>
      <c r="C138" s="3" t="str">
        <f t="shared" si="5"/>
        <v>2022-07-07</v>
      </c>
      <c r="D138" s="3" t="s">
        <v>9</v>
      </c>
      <c r="E138" s="3" t="s">
        <v>5</v>
      </c>
      <c r="F138" s="3" t="s">
        <v>10</v>
      </c>
      <c r="G138" s="3" t="s">
        <v>4472</v>
      </c>
      <c r="H138" s="3" t="s">
        <v>4473</v>
      </c>
      <c r="I138" s="3">
        <v>419</v>
      </c>
      <c r="J138" s="3" t="s">
        <v>11</v>
      </c>
    </row>
    <row r="139" spans="1:10" x14ac:dyDescent="0.35">
      <c r="A139" s="3">
        <v>103410659</v>
      </c>
      <c r="B139" s="3" t="s">
        <v>4474</v>
      </c>
      <c r="C139" s="3" t="str">
        <f t="shared" si="5"/>
        <v>2022-07-07</v>
      </c>
      <c r="D139" s="3" t="s">
        <v>9</v>
      </c>
      <c r="E139" s="3" t="s">
        <v>5</v>
      </c>
      <c r="F139" s="3" t="s">
        <v>10</v>
      </c>
      <c r="G139" s="3" t="s">
        <v>1589</v>
      </c>
      <c r="H139" s="3" t="s">
        <v>1590</v>
      </c>
      <c r="I139" s="5">
        <v>2199</v>
      </c>
      <c r="J139" s="3" t="s">
        <v>11</v>
      </c>
    </row>
    <row r="140" spans="1:10" x14ac:dyDescent="0.35">
      <c r="A140" s="3">
        <v>103410561</v>
      </c>
      <c r="B140" s="3" t="s">
        <v>4475</v>
      </c>
      <c r="C140" s="3" t="str">
        <f t="shared" si="5"/>
        <v>2022-07-07</v>
      </c>
      <c r="D140" s="3" t="s">
        <v>9</v>
      </c>
      <c r="E140" s="3" t="s">
        <v>5</v>
      </c>
      <c r="F140" s="3" t="s">
        <v>10</v>
      </c>
      <c r="G140" s="3" t="s">
        <v>4476</v>
      </c>
      <c r="H140" s="3" t="s">
        <v>4477</v>
      </c>
      <c r="I140" s="4">
        <v>4102.29</v>
      </c>
      <c r="J140" s="3" t="s">
        <v>11</v>
      </c>
    </row>
    <row r="141" spans="1:10" x14ac:dyDescent="0.35">
      <c r="A141" s="3">
        <v>103410654</v>
      </c>
      <c r="B141" s="3" t="s">
        <v>4478</v>
      </c>
      <c r="C141" s="3" t="str">
        <f t="shared" si="5"/>
        <v>2022-07-07</v>
      </c>
      <c r="D141" s="3" t="s">
        <v>9</v>
      </c>
      <c r="E141" s="3" t="s">
        <v>5</v>
      </c>
      <c r="F141" s="3" t="s">
        <v>10</v>
      </c>
      <c r="G141" s="3" t="s">
        <v>4479</v>
      </c>
      <c r="H141" s="3" t="s">
        <v>4480</v>
      </c>
      <c r="I141" s="4">
        <v>2991.55</v>
      </c>
      <c r="J141" s="3" t="s">
        <v>11</v>
      </c>
    </row>
    <row r="142" spans="1:10" x14ac:dyDescent="0.35">
      <c r="A142" s="3">
        <v>103410653</v>
      </c>
      <c r="B142" s="3" t="s">
        <v>4481</v>
      </c>
      <c r="C142" s="3" t="str">
        <f t="shared" si="5"/>
        <v>2022-07-07</v>
      </c>
      <c r="D142" s="3" t="s">
        <v>9</v>
      </c>
      <c r="E142" s="3" t="s">
        <v>5</v>
      </c>
      <c r="F142" s="3" t="s">
        <v>10</v>
      </c>
      <c r="G142" s="3" t="s">
        <v>4482</v>
      </c>
      <c r="H142" s="3" t="s">
        <v>4483</v>
      </c>
      <c r="I142" s="5">
        <v>1348</v>
      </c>
      <c r="J142" s="3" t="s">
        <v>11</v>
      </c>
    </row>
    <row r="143" spans="1:10" x14ac:dyDescent="0.35">
      <c r="A143" s="3">
        <v>103410652</v>
      </c>
      <c r="B143" s="3" t="s">
        <v>4484</v>
      </c>
      <c r="C143" s="3" t="str">
        <f t="shared" si="5"/>
        <v>2022-07-07</v>
      </c>
      <c r="D143" s="3" t="s">
        <v>9</v>
      </c>
      <c r="E143" s="3" t="s">
        <v>5</v>
      </c>
      <c r="F143" s="3" t="s">
        <v>10</v>
      </c>
      <c r="G143" s="3" t="s">
        <v>4485</v>
      </c>
      <c r="H143" s="3" t="s">
        <v>4486</v>
      </c>
      <c r="I143" s="4">
        <v>3989.05</v>
      </c>
      <c r="J143" s="3" t="s">
        <v>11</v>
      </c>
    </row>
    <row r="144" spans="1:10" x14ac:dyDescent="0.35">
      <c r="A144" s="3">
        <v>103410560</v>
      </c>
      <c r="B144" s="3" t="s">
        <v>4487</v>
      </c>
      <c r="C144" s="3" t="str">
        <f t="shared" si="5"/>
        <v>2022-07-07</v>
      </c>
      <c r="D144" s="3" t="s">
        <v>9</v>
      </c>
      <c r="E144" s="3" t="s">
        <v>5</v>
      </c>
      <c r="F144" s="3" t="s">
        <v>10</v>
      </c>
      <c r="G144" s="3" t="s">
        <v>4488</v>
      </c>
      <c r="H144" s="3" t="s">
        <v>4489</v>
      </c>
      <c r="I144" s="5">
        <v>2378</v>
      </c>
      <c r="J144" s="3" t="s">
        <v>11</v>
      </c>
    </row>
    <row r="145" spans="1:10" x14ac:dyDescent="0.35">
      <c r="A145" s="3">
        <v>103410640</v>
      </c>
      <c r="B145" s="3" t="s">
        <v>4490</v>
      </c>
      <c r="C145" s="3" t="str">
        <f t="shared" si="5"/>
        <v>2022-07-07</v>
      </c>
      <c r="D145" s="3" t="s">
        <v>9</v>
      </c>
      <c r="E145" s="3" t="s">
        <v>5</v>
      </c>
      <c r="F145" s="3" t="s">
        <v>10</v>
      </c>
      <c r="G145" s="3" t="s">
        <v>4491</v>
      </c>
      <c r="H145" s="3" t="s">
        <v>4492</v>
      </c>
      <c r="I145" s="4">
        <v>1984.6</v>
      </c>
      <c r="J145" s="3" t="s">
        <v>11</v>
      </c>
    </row>
    <row r="146" spans="1:10" x14ac:dyDescent="0.35">
      <c r="A146" s="3">
        <v>103410558</v>
      </c>
      <c r="B146" s="3" t="s">
        <v>4493</v>
      </c>
      <c r="C146" s="3" t="str">
        <f t="shared" si="5"/>
        <v>2022-07-07</v>
      </c>
      <c r="D146" s="3" t="s">
        <v>9</v>
      </c>
      <c r="E146" s="3" t="s">
        <v>5</v>
      </c>
      <c r="F146" s="3" t="s">
        <v>10</v>
      </c>
      <c r="G146" s="3" t="s">
        <v>4494</v>
      </c>
      <c r="H146" s="3" t="s">
        <v>4495</v>
      </c>
      <c r="I146" s="4">
        <v>2659.05</v>
      </c>
      <c r="J146" s="3" t="s">
        <v>11</v>
      </c>
    </row>
    <row r="147" spans="1:10" x14ac:dyDescent="0.35">
      <c r="A147" s="3">
        <v>103410634</v>
      </c>
      <c r="B147" s="3" t="s">
        <v>4496</v>
      </c>
      <c r="C147" s="3" t="str">
        <f t="shared" si="5"/>
        <v>2022-07-07</v>
      </c>
      <c r="D147" s="3" t="s">
        <v>9</v>
      </c>
      <c r="E147" s="3" t="s">
        <v>5</v>
      </c>
      <c r="F147" s="3" t="s">
        <v>10</v>
      </c>
      <c r="G147" s="3" t="s">
        <v>4316</v>
      </c>
      <c r="H147" s="3" t="s">
        <v>4317</v>
      </c>
      <c r="I147" s="3">
        <v>550.04999999999995</v>
      </c>
      <c r="J147" s="3" t="s">
        <v>11</v>
      </c>
    </row>
    <row r="148" spans="1:10" x14ac:dyDescent="0.35">
      <c r="A148" s="3">
        <v>103410554</v>
      </c>
      <c r="B148" s="3" t="s">
        <v>4497</v>
      </c>
      <c r="C148" s="3" t="str">
        <f t="shared" si="5"/>
        <v>2022-07-07</v>
      </c>
      <c r="D148" s="3" t="s">
        <v>9</v>
      </c>
      <c r="E148" s="3" t="s">
        <v>5</v>
      </c>
      <c r="F148" s="3" t="s">
        <v>12</v>
      </c>
      <c r="G148" s="3" t="s">
        <v>4498</v>
      </c>
      <c r="H148" s="3" t="s">
        <v>4499</v>
      </c>
      <c r="I148" s="5">
        <v>1679</v>
      </c>
      <c r="J148" s="3" t="s">
        <v>11</v>
      </c>
    </row>
    <row r="149" spans="1:10" x14ac:dyDescent="0.35">
      <c r="A149" s="3">
        <v>103410630</v>
      </c>
      <c r="B149" s="3" t="s">
        <v>4500</v>
      </c>
      <c r="C149" s="3" t="str">
        <f t="shared" si="5"/>
        <v>2022-07-07</v>
      </c>
      <c r="D149" s="3" t="s">
        <v>9</v>
      </c>
      <c r="E149" s="3" t="s">
        <v>5</v>
      </c>
      <c r="F149" s="3" t="s">
        <v>10</v>
      </c>
      <c r="G149" s="3" t="s">
        <v>4501</v>
      </c>
      <c r="H149" s="3" t="s">
        <v>4502</v>
      </c>
      <c r="I149" s="4">
        <v>2350.39</v>
      </c>
      <c r="J149" s="3" t="s">
        <v>11</v>
      </c>
    </row>
    <row r="150" spans="1:10" x14ac:dyDescent="0.35">
      <c r="A150" s="3">
        <v>103410628</v>
      </c>
      <c r="B150" s="3" t="s">
        <v>4503</v>
      </c>
      <c r="C150" s="3" t="str">
        <f t="shared" si="5"/>
        <v>2022-07-07</v>
      </c>
      <c r="D150" s="3" t="s">
        <v>9</v>
      </c>
      <c r="E150" s="3" t="s">
        <v>5</v>
      </c>
      <c r="F150" s="3" t="s">
        <v>10</v>
      </c>
      <c r="G150" s="3" t="s">
        <v>4504</v>
      </c>
      <c r="H150" s="3" t="s">
        <v>4505</v>
      </c>
      <c r="I150" s="4">
        <v>3989.05</v>
      </c>
      <c r="J150" s="3" t="s">
        <v>11</v>
      </c>
    </row>
    <row r="151" spans="1:10" x14ac:dyDescent="0.35">
      <c r="A151" s="3">
        <v>103410549</v>
      </c>
      <c r="B151" s="3" t="s">
        <v>4506</v>
      </c>
      <c r="C151" s="3" t="str">
        <f t="shared" si="5"/>
        <v>2022-07-07</v>
      </c>
      <c r="D151" s="3" t="s">
        <v>9</v>
      </c>
      <c r="E151" s="3" t="s">
        <v>5</v>
      </c>
      <c r="F151" s="3" t="s">
        <v>10</v>
      </c>
      <c r="G151" s="3" t="s">
        <v>4507</v>
      </c>
      <c r="H151" s="3" t="s">
        <v>4508</v>
      </c>
      <c r="I151" s="5">
        <v>2199</v>
      </c>
      <c r="J151" s="3" t="s">
        <v>11</v>
      </c>
    </row>
    <row r="152" spans="1:10" x14ac:dyDescent="0.35">
      <c r="A152" s="3">
        <v>103410619</v>
      </c>
      <c r="B152" s="3" t="s">
        <v>4509</v>
      </c>
      <c r="C152" s="3" t="str">
        <f t="shared" si="5"/>
        <v>2022-07-07</v>
      </c>
      <c r="D152" s="3" t="s">
        <v>9</v>
      </c>
      <c r="E152" s="3" t="s">
        <v>5</v>
      </c>
      <c r="F152" s="3" t="s">
        <v>10</v>
      </c>
      <c r="G152" s="3" t="s">
        <v>4510</v>
      </c>
      <c r="H152" s="3" t="s">
        <v>4511</v>
      </c>
      <c r="I152" s="4">
        <v>3248.1</v>
      </c>
      <c r="J152" s="3" t="s">
        <v>11</v>
      </c>
    </row>
    <row r="153" spans="1:10" x14ac:dyDescent="0.35">
      <c r="A153" s="3">
        <v>103410545</v>
      </c>
      <c r="B153" s="3" t="s">
        <v>4512</v>
      </c>
      <c r="C153" s="3" t="str">
        <f t="shared" si="5"/>
        <v>2022-07-07</v>
      </c>
      <c r="D153" s="3" t="s">
        <v>9</v>
      </c>
      <c r="E153" s="3" t="s">
        <v>5</v>
      </c>
      <c r="F153" s="3" t="s">
        <v>10</v>
      </c>
      <c r="G153" s="3" t="s">
        <v>4513</v>
      </c>
      <c r="H153" s="3" t="s">
        <v>4514</v>
      </c>
      <c r="I153" s="4">
        <v>3134.05</v>
      </c>
      <c r="J153" s="3" t="s">
        <v>11</v>
      </c>
    </row>
    <row r="154" spans="1:10" x14ac:dyDescent="0.35">
      <c r="A154" s="3">
        <v>103410605</v>
      </c>
      <c r="B154" s="3" t="s">
        <v>4515</v>
      </c>
      <c r="C154" s="3" t="str">
        <f t="shared" si="5"/>
        <v>2022-07-07</v>
      </c>
      <c r="D154" s="3" t="s">
        <v>9</v>
      </c>
      <c r="E154" s="3" t="s">
        <v>5</v>
      </c>
      <c r="F154" s="3" t="s">
        <v>10</v>
      </c>
      <c r="G154" s="3" t="s">
        <v>4516</v>
      </c>
      <c r="H154" s="3" t="s">
        <v>4517</v>
      </c>
      <c r="I154" s="4">
        <v>4994.1499999999996</v>
      </c>
      <c r="J154" s="3" t="s">
        <v>11</v>
      </c>
    </row>
    <row r="155" spans="1:10" x14ac:dyDescent="0.35">
      <c r="A155" s="3">
        <v>103410539</v>
      </c>
      <c r="B155" s="3" t="s">
        <v>4518</v>
      </c>
      <c r="C155" s="3" t="str">
        <f t="shared" si="5"/>
        <v>2022-07-07</v>
      </c>
      <c r="D155" s="3" t="s">
        <v>9</v>
      </c>
      <c r="E155" s="3" t="s">
        <v>5</v>
      </c>
      <c r="F155" s="3" t="s">
        <v>10</v>
      </c>
      <c r="G155" s="3" t="s">
        <v>4519</v>
      </c>
      <c r="H155" s="3" t="s">
        <v>4520</v>
      </c>
      <c r="I155" s="4">
        <v>6564.69</v>
      </c>
      <c r="J155" s="3" t="s">
        <v>11</v>
      </c>
    </row>
    <row r="156" spans="1:10" x14ac:dyDescent="0.35">
      <c r="A156" s="3">
        <v>103410603</v>
      </c>
      <c r="B156" s="3" t="s">
        <v>4521</v>
      </c>
      <c r="C156" s="3" t="str">
        <f t="shared" si="5"/>
        <v>2022-07-07</v>
      </c>
      <c r="D156" s="3" t="s">
        <v>9</v>
      </c>
      <c r="E156" s="3" t="s">
        <v>5</v>
      </c>
      <c r="F156" s="3" t="s">
        <v>12</v>
      </c>
      <c r="G156" s="3" t="s">
        <v>4522</v>
      </c>
      <c r="H156" s="3" t="s">
        <v>4523</v>
      </c>
      <c r="I156" s="3">
        <v>899</v>
      </c>
      <c r="J156" s="3" t="s">
        <v>11</v>
      </c>
    </row>
    <row r="157" spans="1:10" x14ac:dyDescent="0.35">
      <c r="A157" s="3">
        <v>103410596</v>
      </c>
      <c r="B157" s="3" t="s">
        <v>4524</v>
      </c>
      <c r="C157" s="3" t="str">
        <f t="shared" si="5"/>
        <v>2022-07-07</v>
      </c>
      <c r="D157" s="3" t="s">
        <v>9</v>
      </c>
      <c r="E157" s="3" t="s">
        <v>5</v>
      </c>
      <c r="F157" s="3" t="s">
        <v>10</v>
      </c>
      <c r="G157" s="3" t="s">
        <v>4525</v>
      </c>
      <c r="H157" s="3" t="s">
        <v>4526</v>
      </c>
      <c r="I157" s="4">
        <v>1262.5999999999999</v>
      </c>
      <c r="J157" s="3" t="s">
        <v>11</v>
      </c>
    </row>
    <row r="158" spans="1:10" x14ac:dyDescent="0.35">
      <c r="A158" s="3">
        <v>103410597</v>
      </c>
      <c r="B158" s="3" t="s">
        <v>4524</v>
      </c>
      <c r="C158" s="3" t="str">
        <f t="shared" si="5"/>
        <v>2022-07-07</v>
      </c>
      <c r="D158" s="3" t="s">
        <v>9</v>
      </c>
      <c r="E158" s="3" t="s">
        <v>5</v>
      </c>
      <c r="F158" s="3" t="s">
        <v>10</v>
      </c>
      <c r="G158" s="3" t="s">
        <v>4527</v>
      </c>
      <c r="H158" s="3" t="s">
        <v>4528</v>
      </c>
      <c r="I158" s="5">
        <v>2527</v>
      </c>
      <c r="J158" s="3" t="s">
        <v>11</v>
      </c>
    </row>
    <row r="159" spans="1:10" x14ac:dyDescent="0.35">
      <c r="A159" s="3">
        <v>103410594</v>
      </c>
      <c r="B159" s="3" t="s">
        <v>4529</v>
      </c>
      <c r="C159" s="3" t="str">
        <f t="shared" si="5"/>
        <v>2022-07-07</v>
      </c>
      <c r="D159" s="3" t="s">
        <v>9</v>
      </c>
      <c r="E159" s="3" t="s">
        <v>5</v>
      </c>
      <c r="F159" s="3" t="s">
        <v>10</v>
      </c>
      <c r="G159" s="3" t="s">
        <v>4530</v>
      </c>
      <c r="H159" s="3" t="s">
        <v>4531</v>
      </c>
      <c r="I159" s="3">
        <v>759.05</v>
      </c>
      <c r="J159" s="3" t="s">
        <v>11</v>
      </c>
    </row>
    <row r="160" spans="1:10" x14ac:dyDescent="0.35">
      <c r="A160" s="3">
        <v>103410534</v>
      </c>
      <c r="B160" s="3" t="s">
        <v>4532</v>
      </c>
      <c r="C160" s="3" t="str">
        <f t="shared" si="5"/>
        <v>2022-07-07</v>
      </c>
      <c r="D160" s="3" t="s">
        <v>9</v>
      </c>
      <c r="E160" s="3" t="s">
        <v>5</v>
      </c>
      <c r="F160" s="3" t="s">
        <v>10</v>
      </c>
      <c r="G160" s="3" t="s">
        <v>4533</v>
      </c>
      <c r="H160" s="3" t="s">
        <v>4534</v>
      </c>
      <c r="I160" s="4">
        <v>1880.14</v>
      </c>
      <c r="J160" s="3" t="s">
        <v>11</v>
      </c>
    </row>
    <row r="161" spans="1:10" x14ac:dyDescent="0.35">
      <c r="A161" s="3">
        <v>103410592</v>
      </c>
      <c r="B161" s="3" t="s">
        <v>4535</v>
      </c>
      <c r="C161" s="3" t="str">
        <f t="shared" si="5"/>
        <v>2022-07-07</v>
      </c>
      <c r="D161" s="3" t="s">
        <v>9</v>
      </c>
      <c r="E161" s="3" t="s">
        <v>5</v>
      </c>
      <c r="F161" s="3" t="s">
        <v>10</v>
      </c>
      <c r="G161" s="3" t="s">
        <v>4536</v>
      </c>
      <c r="H161" s="3" t="s">
        <v>4537</v>
      </c>
      <c r="I161" s="3">
        <v>825.55</v>
      </c>
      <c r="J161" s="3" t="s">
        <v>11</v>
      </c>
    </row>
    <row r="162" spans="1:10" x14ac:dyDescent="0.35">
      <c r="A162" s="3">
        <v>103410589</v>
      </c>
      <c r="B162" s="3" t="s">
        <v>4538</v>
      </c>
      <c r="C162" s="3" t="str">
        <f t="shared" si="5"/>
        <v>2022-07-07</v>
      </c>
      <c r="D162" s="3" t="s">
        <v>9</v>
      </c>
      <c r="E162" s="3" t="s">
        <v>5</v>
      </c>
      <c r="F162" s="3" t="s">
        <v>10</v>
      </c>
      <c r="G162" s="3" t="s">
        <v>4539</v>
      </c>
      <c r="H162" s="3" t="s">
        <v>4540</v>
      </c>
      <c r="I162" s="3">
        <v>946.72</v>
      </c>
      <c r="J162" s="3" t="s">
        <v>11</v>
      </c>
    </row>
    <row r="163" spans="1:10" x14ac:dyDescent="0.35">
      <c r="A163" s="3">
        <v>103410531</v>
      </c>
      <c r="B163" s="3" t="s">
        <v>4541</v>
      </c>
      <c r="C163" s="3" t="str">
        <f t="shared" si="5"/>
        <v>2022-07-07</v>
      </c>
      <c r="D163" s="3" t="s">
        <v>9</v>
      </c>
      <c r="E163" s="3" t="s">
        <v>5</v>
      </c>
      <c r="F163" s="3" t="s">
        <v>10</v>
      </c>
      <c r="G163" s="3" t="s">
        <v>4542</v>
      </c>
      <c r="H163" s="3" t="s">
        <v>4543</v>
      </c>
      <c r="I163" s="5">
        <v>4199</v>
      </c>
      <c r="J163" s="3" t="s">
        <v>11</v>
      </c>
    </row>
    <row r="164" spans="1:10" x14ac:dyDescent="0.35">
      <c r="A164" s="3">
        <v>103410519</v>
      </c>
      <c r="B164" s="3" t="s">
        <v>4544</v>
      </c>
      <c r="C164" s="3" t="str">
        <f t="shared" si="5"/>
        <v>2022-07-07</v>
      </c>
      <c r="D164" s="3" t="s">
        <v>9</v>
      </c>
      <c r="E164" s="3" t="s">
        <v>5</v>
      </c>
      <c r="F164" s="3" t="s">
        <v>10</v>
      </c>
      <c r="G164" s="3" t="s">
        <v>4545</v>
      </c>
      <c r="H164" s="3" t="s">
        <v>4546</v>
      </c>
      <c r="I164" s="3">
        <v>969</v>
      </c>
      <c r="J164" s="3" t="s">
        <v>11</v>
      </c>
    </row>
    <row r="165" spans="1:10" x14ac:dyDescent="0.35">
      <c r="A165" s="3">
        <v>103410515</v>
      </c>
      <c r="B165" s="3" t="s">
        <v>4547</v>
      </c>
      <c r="C165" s="3" t="str">
        <f t="shared" si="5"/>
        <v>2022-07-07</v>
      </c>
      <c r="D165" s="3" t="s">
        <v>9</v>
      </c>
      <c r="E165" s="3" t="s">
        <v>5</v>
      </c>
      <c r="F165" s="3" t="s">
        <v>10</v>
      </c>
      <c r="G165" s="3" t="s">
        <v>4244</v>
      </c>
      <c r="H165" s="3" t="s">
        <v>4548</v>
      </c>
      <c r="I165" s="4">
        <v>1172.3499999999999</v>
      </c>
      <c r="J165" s="3" t="s">
        <v>11</v>
      </c>
    </row>
    <row r="166" spans="1:10" x14ac:dyDescent="0.35">
      <c r="A166" s="3">
        <v>103410513</v>
      </c>
      <c r="B166" s="3" t="s">
        <v>4549</v>
      </c>
      <c r="C166" s="3" t="str">
        <f t="shared" si="5"/>
        <v>2022-07-07</v>
      </c>
      <c r="D166" s="3" t="s">
        <v>9</v>
      </c>
      <c r="E166" s="3" t="s">
        <v>5</v>
      </c>
      <c r="F166" s="3" t="s">
        <v>10</v>
      </c>
      <c r="G166" s="3" t="s">
        <v>4550</v>
      </c>
      <c r="H166" s="3" t="s">
        <v>4551</v>
      </c>
      <c r="I166" s="4">
        <v>2699.25</v>
      </c>
      <c r="J166" s="3" t="s">
        <v>11</v>
      </c>
    </row>
    <row r="167" spans="1:10" x14ac:dyDescent="0.35">
      <c r="A167" s="3">
        <v>103410568</v>
      </c>
      <c r="B167" s="3" t="s">
        <v>4552</v>
      </c>
      <c r="C167" s="3" t="str">
        <f t="shared" si="5"/>
        <v>2022-07-07</v>
      </c>
      <c r="D167" s="3" t="s">
        <v>9</v>
      </c>
      <c r="E167" s="3" t="s">
        <v>5</v>
      </c>
      <c r="F167" s="3" t="s">
        <v>10</v>
      </c>
      <c r="G167" s="3" t="s">
        <v>4553</v>
      </c>
      <c r="H167" s="3" t="s">
        <v>4554</v>
      </c>
      <c r="I167" s="3">
        <v>597.64</v>
      </c>
      <c r="J167" s="3" t="s">
        <v>11</v>
      </c>
    </row>
    <row r="168" spans="1:10" x14ac:dyDescent="0.35">
      <c r="A168" s="3">
        <v>103410565</v>
      </c>
      <c r="B168" s="3" t="s">
        <v>4555</v>
      </c>
      <c r="C168" s="3" t="str">
        <f t="shared" si="5"/>
        <v>2022-07-07</v>
      </c>
      <c r="D168" s="3" t="s">
        <v>9</v>
      </c>
      <c r="E168" s="3" t="s">
        <v>5</v>
      </c>
      <c r="F168" s="3" t="s">
        <v>10</v>
      </c>
      <c r="G168" s="3" t="s">
        <v>4556</v>
      </c>
      <c r="H168" s="3" t="s">
        <v>4557</v>
      </c>
      <c r="I168" s="3">
        <v>521.54999999999995</v>
      </c>
      <c r="J168" s="3" t="s">
        <v>11</v>
      </c>
    </row>
    <row r="169" spans="1:10" x14ac:dyDescent="0.35">
      <c r="A169" s="3">
        <v>103410506</v>
      </c>
      <c r="B169" s="3" t="s">
        <v>4558</v>
      </c>
      <c r="C169" s="3" t="str">
        <f t="shared" si="5"/>
        <v>2022-07-07</v>
      </c>
      <c r="D169" s="3" t="s">
        <v>9</v>
      </c>
      <c r="E169" s="3" t="s">
        <v>5</v>
      </c>
      <c r="F169" s="3" t="s">
        <v>10</v>
      </c>
      <c r="G169" s="3" t="s">
        <v>4559</v>
      </c>
      <c r="H169" s="3" t="s">
        <v>4560</v>
      </c>
      <c r="I169" s="4">
        <v>4939.05</v>
      </c>
      <c r="J169" s="3" t="s">
        <v>11</v>
      </c>
    </row>
    <row r="170" spans="1:10" x14ac:dyDescent="0.35">
      <c r="A170" s="3">
        <v>103410460</v>
      </c>
      <c r="B170" s="3" t="s">
        <v>4561</v>
      </c>
      <c r="C170" s="3" t="str">
        <f t="shared" si="5"/>
        <v>2022-07-07</v>
      </c>
      <c r="D170" s="3" t="s">
        <v>9</v>
      </c>
      <c r="E170" s="3" t="s">
        <v>5</v>
      </c>
      <c r="F170" s="3" t="s">
        <v>10</v>
      </c>
      <c r="G170" s="3" t="s">
        <v>4562</v>
      </c>
      <c r="H170" s="3" t="s">
        <v>4563</v>
      </c>
      <c r="I170" s="5">
        <v>1079</v>
      </c>
      <c r="J170" s="3" t="s">
        <v>11</v>
      </c>
    </row>
    <row r="171" spans="1:10" x14ac:dyDescent="0.35">
      <c r="A171" s="3">
        <v>103410502</v>
      </c>
      <c r="B171" s="3" t="s">
        <v>4564</v>
      </c>
      <c r="C171" s="3" t="str">
        <f t="shared" si="5"/>
        <v>2022-07-07</v>
      </c>
      <c r="D171" s="3" t="s">
        <v>9</v>
      </c>
      <c r="E171" s="3" t="s">
        <v>5</v>
      </c>
      <c r="F171" s="3" t="s">
        <v>10</v>
      </c>
      <c r="G171" s="3" t="s">
        <v>4565</v>
      </c>
      <c r="H171" s="3" t="s">
        <v>4566</v>
      </c>
      <c r="I171" s="5">
        <v>2817</v>
      </c>
      <c r="J171" s="3" t="s">
        <v>11</v>
      </c>
    </row>
    <row r="172" spans="1:10" x14ac:dyDescent="0.35">
      <c r="A172" s="3">
        <v>103410496</v>
      </c>
      <c r="B172" s="3" t="s">
        <v>4567</v>
      </c>
      <c r="C172" s="3" t="str">
        <f t="shared" si="5"/>
        <v>2022-07-07</v>
      </c>
      <c r="D172" s="3" t="s">
        <v>9</v>
      </c>
      <c r="E172" s="3" t="s">
        <v>5</v>
      </c>
      <c r="F172" s="3" t="s">
        <v>10</v>
      </c>
      <c r="G172" s="3" t="s">
        <v>4568</v>
      </c>
      <c r="H172" s="3" t="s">
        <v>4569</v>
      </c>
      <c r="I172" s="3">
        <v>521.54999999999995</v>
      </c>
      <c r="J172" s="3" t="s">
        <v>11</v>
      </c>
    </row>
    <row r="173" spans="1:10" x14ac:dyDescent="0.35">
      <c r="A173" s="3">
        <v>103410455</v>
      </c>
      <c r="B173" s="3" t="s">
        <v>4570</v>
      </c>
      <c r="C173" s="3" t="str">
        <f t="shared" si="5"/>
        <v>2022-07-07</v>
      </c>
      <c r="D173" s="3" t="s">
        <v>9</v>
      </c>
      <c r="E173" s="3" t="s">
        <v>5</v>
      </c>
      <c r="F173" s="3" t="s">
        <v>10</v>
      </c>
      <c r="G173" s="3" t="s">
        <v>4571</v>
      </c>
      <c r="H173" s="3" t="s">
        <v>4572</v>
      </c>
      <c r="I173" s="4">
        <v>1623.55</v>
      </c>
      <c r="J173" s="3" t="s">
        <v>11</v>
      </c>
    </row>
    <row r="174" spans="1:10" x14ac:dyDescent="0.35">
      <c r="A174" s="3">
        <v>103410450</v>
      </c>
      <c r="B174" s="3" t="s">
        <v>4573</v>
      </c>
      <c r="C174" s="3" t="str">
        <f t="shared" si="5"/>
        <v>2022-07-07</v>
      </c>
      <c r="D174" s="3" t="s">
        <v>9</v>
      </c>
      <c r="E174" s="3" t="s">
        <v>5</v>
      </c>
      <c r="F174" s="3" t="s">
        <v>10</v>
      </c>
      <c r="G174" s="3" t="s">
        <v>4574</v>
      </c>
      <c r="H174" s="3" t="s">
        <v>4575</v>
      </c>
      <c r="I174" s="3">
        <v>635.54999999999995</v>
      </c>
      <c r="J174" s="3" t="s">
        <v>11</v>
      </c>
    </row>
    <row r="175" spans="1:10" x14ac:dyDescent="0.35">
      <c r="A175" s="3">
        <v>103410490</v>
      </c>
      <c r="B175" s="3" t="s">
        <v>4576</v>
      </c>
      <c r="C175" s="3" t="str">
        <f t="shared" si="5"/>
        <v>2022-07-07</v>
      </c>
      <c r="D175" s="3" t="s">
        <v>9</v>
      </c>
      <c r="E175" s="3" t="s">
        <v>5</v>
      </c>
      <c r="F175" s="3" t="s">
        <v>10</v>
      </c>
      <c r="G175" s="3" t="s">
        <v>4577</v>
      </c>
      <c r="H175" s="3" t="s">
        <v>4578</v>
      </c>
      <c r="I175" s="4">
        <v>2777.89</v>
      </c>
      <c r="J175" s="3" t="s">
        <v>11</v>
      </c>
    </row>
    <row r="176" spans="1:10" x14ac:dyDescent="0.35">
      <c r="A176" s="3">
        <v>103410449</v>
      </c>
      <c r="B176" s="3" t="s">
        <v>4579</v>
      </c>
      <c r="C176" s="3" t="str">
        <f t="shared" si="5"/>
        <v>2022-07-07</v>
      </c>
      <c r="D176" s="3" t="s">
        <v>9</v>
      </c>
      <c r="E176" s="3" t="s">
        <v>5</v>
      </c>
      <c r="F176" s="3" t="s">
        <v>10</v>
      </c>
      <c r="G176" s="3" t="s">
        <v>4580</v>
      </c>
      <c r="H176" s="3" t="s">
        <v>4581</v>
      </c>
      <c r="I176" s="4">
        <v>1631.72</v>
      </c>
      <c r="J176" s="3" t="s">
        <v>11</v>
      </c>
    </row>
    <row r="177" spans="1:10" x14ac:dyDescent="0.35">
      <c r="A177" s="3">
        <v>103410489</v>
      </c>
      <c r="B177" s="3" t="s">
        <v>4582</v>
      </c>
      <c r="C177" s="3" t="str">
        <f t="shared" si="5"/>
        <v>2022-07-07</v>
      </c>
      <c r="D177" s="3" t="s">
        <v>9</v>
      </c>
      <c r="E177" s="3" t="s">
        <v>5</v>
      </c>
      <c r="F177" s="3" t="s">
        <v>10</v>
      </c>
      <c r="G177" s="3" t="s">
        <v>4583</v>
      </c>
      <c r="H177" s="3" t="s">
        <v>4584</v>
      </c>
      <c r="I177" s="4">
        <v>1424.05</v>
      </c>
      <c r="J177" s="3" t="s">
        <v>11</v>
      </c>
    </row>
    <row r="178" spans="1:10" x14ac:dyDescent="0.35">
      <c r="A178" s="3">
        <v>103410481</v>
      </c>
      <c r="B178" s="3" t="s">
        <v>4585</v>
      </c>
      <c r="C178" s="3" t="str">
        <f t="shared" si="5"/>
        <v>2022-07-07</v>
      </c>
      <c r="D178" s="3" t="s">
        <v>9</v>
      </c>
      <c r="E178" s="3" t="s">
        <v>5</v>
      </c>
      <c r="F178" s="3" t="s">
        <v>10</v>
      </c>
      <c r="G178" s="3" t="s">
        <v>4586</v>
      </c>
      <c r="H178" s="3" t="s">
        <v>4587</v>
      </c>
      <c r="I178" s="3">
        <v>749</v>
      </c>
      <c r="J178" s="3" t="s">
        <v>11</v>
      </c>
    </row>
    <row r="179" spans="1:10" x14ac:dyDescent="0.35">
      <c r="A179" s="3">
        <v>103410444</v>
      </c>
      <c r="B179" s="3" t="s">
        <v>4588</v>
      </c>
      <c r="C179" s="3" t="str">
        <f t="shared" si="5"/>
        <v>2022-07-07</v>
      </c>
      <c r="D179" s="3" t="s">
        <v>9</v>
      </c>
      <c r="E179" s="3" t="s">
        <v>5</v>
      </c>
      <c r="F179" s="3" t="s">
        <v>10</v>
      </c>
      <c r="G179" s="3" t="s">
        <v>4589</v>
      </c>
      <c r="H179" s="3" t="s">
        <v>4590</v>
      </c>
      <c r="I179" s="4">
        <v>2564.14</v>
      </c>
      <c r="J179" s="3" t="s">
        <v>11</v>
      </c>
    </row>
    <row r="180" spans="1:10" x14ac:dyDescent="0.35">
      <c r="A180" s="3">
        <v>103410480</v>
      </c>
      <c r="B180" s="3" t="s">
        <v>4591</v>
      </c>
      <c r="C180" s="3" t="str">
        <f t="shared" si="5"/>
        <v>2022-07-07</v>
      </c>
      <c r="D180" s="3" t="s">
        <v>9</v>
      </c>
      <c r="E180" s="3" t="s">
        <v>5</v>
      </c>
      <c r="F180" s="3" t="s">
        <v>10</v>
      </c>
      <c r="G180" s="3" t="s">
        <v>4592</v>
      </c>
      <c r="H180" s="3" t="s">
        <v>4593</v>
      </c>
      <c r="I180" s="5">
        <v>2499</v>
      </c>
      <c r="J180" s="3" t="s">
        <v>11</v>
      </c>
    </row>
    <row r="181" spans="1:10" x14ac:dyDescent="0.35">
      <c r="A181" s="3">
        <v>103410478</v>
      </c>
      <c r="B181" s="3" t="s">
        <v>4594</v>
      </c>
      <c r="C181" s="3" t="str">
        <f t="shared" si="5"/>
        <v>2022-07-07</v>
      </c>
      <c r="D181" s="3" t="s">
        <v>9</v>
      </c>
      <c r="E181" s="3" t="s">
        <v>5</v>
      </c>
      <c r="F181" s="3" t="s">
        <v>10</v>
      </c>
      <c r="G181" s="3" t="s">
        <v>4595</v>
      </c>
      <c r="H181" s="3" t="s">
        <v>4596</v>
      </c>
      <c r="I181" s="5">
        <v>2999</v>
      </c>
      <c r="J181" s="3" t="s">
        <v>11</v>
      </c>
    </row>
    <row r="182" spans="1:10" x14ac:dyDescent="0.35">
      <c r="A182" s="3">
        <v>103410438</v>
      </c>
      <c r="B182" s="3" t="s">
        <v>4597</v>
      </c>
      <c r="C182" s="3" t="str">
        <f t="shared" si="5"/>
        <v>2022-07-07</v>
      </c>
      <c r="D182" s="3" t="s">
        <v>9</v>
      </c>
      <c r="E182" s="3" t="s">
        <v>5</v>
      </c>
      <c r="F182" s="3" t="s">
        <v>10</v>
      </c>
      <c r="G182" s="3" t="s">
        <v>4598</v>
      </c>
      <c r="H182" s="3" t="s">
        <v>4599</v>
      </c>
      <c r="I182" s="5">
        <v>4799</v>
      </c>
      <c r="J182" s="3" t="s">
        <v>11</v>
      </c>
    </row>
    <row r="183" spans="1:10" x14ac:dyDescent="0.35">
      <c r="A183" s="3">
        <v>103410434</v>
      </c>
      <c r="B183" s="3" t="s">
        <v>4600</v>
      </c>
      <c r="C183" s="3" t="str">
        <f t="shared" si="5"/>
        <v>2022-07-07</v>
      </c>
      <c r="D183" s="3" t="s">
        <v>9</v>
      </c>
      <c r="E183" s="3" t="s">
        <v>5</v>
      </c>
      <c r="F183" s="3" t="s">
        <v>10</v>
      </c>
      <c r="G183" s="3" t="s">
        <v>4601</v>
      </c>
      <c r="H183" s="3" t="s">
        <v>4602</v>
      </c>
      <c r="I183" s="5">
        <v>2599</v>
      </c>
      <c r="J183" s="3" t="s">
        <v>11</v>
      </c>
    </row>
    <row r="184" spans="1:10" x14ac:dyDescent="0.35">
      <c r="A184" s="3">
        <v>103410469</v>
      </c>
      <c r="B184" s="3" t="s">
        <v>4603</v>
      </c>
      <c r="C184" s="3" t="str">
        <f t="shared" si="5"/>
        <v>2022-07-07</v>
      </c>
      <c r="D184" s="3" t="s">
        <v>9</v>
      </c>
      <c r="E184" s="3" t="s">
        <v>5</v>
      </c>
      <c r="F184" s="3" t="s">
        <v>10</v>
      </c>
      <c r="G184" s="3" t="s">
        <v>4604</v>
      </c>
      <c r="H184" s="3" t="s">
        <v>4605</v>
      </c>
      <c r="I184" s="5">
        <v>2399</v>
      </c>
      <c r="J184" s="3" t="s">
        <v>11</v>
      </c>
    </row>
    <row r="185" spans="1:10" x14ac:dyDescent="0.35">
      <c r="A185" s="3">
        <v>103410420</v>
      </c>
      <c r="B185" s="3" t="s">
        <v>4606</v>
      </c>
      <c r="C185" s="3" t="str">
        <f t="shared" si="5"/>
        <v>2022-07-07</v>
      </c>
      <c r="D185" s="3" t="s">
        <v>9</v>
      </c>
      <c r="E185" s="3" t="s">
        <v>5</v>
      </c>
      <c r="F185" s="3" t="s">
        <v>10</v>
      </c>
      <c r="G185" s="3" t="s">
        <v>4607</v>
      </c>
      <c r="H185" s="3" t="s">
        <v>4608</v>
      </c>
      <c r="I185" s="3">
        <v>550.04999999999995</v>
      </c>
      <c r="J185" s="3" t="s">
        <v>11</v>
      </c>
    </row>
    <row r="186" spans="1:10" x14ac:dyDescent="0.35">
      <c r="A186" s="3">
        <v>103410467</v>
      </c>
      <c r="B186" s="3" t="s">
        <v>4609</v>
      </c>
      <c r="C186" s="3" t="str">
        <f t="shared" si="5"/>
        <v>2022-07-07</v>
      </c>
      <c r="D186" s="3" t="s">
        <v>9</v>
      </c>
      <c r="E186" s="3" t="s">
        <v>5</v>
      </c>
      <c r="F186" s="3" t="s">
        <v>10</v>
      </c>
      <c r="G186" s="3" t="s">
        <v>4610</v>
      </c>
      <c r="H186" s="3" t="s">
        <v>4611</v>
      </c>
      <c r="I186" s="3">
        <v>740.05</v>
      </c>
      <c r="J186" s="3" t="s">
        <v>11</v>
      </c>
    </row>
    <row r="187" spans="1:10" x14ac:dyDescent="0.35">
      <c r="A187" s="3">
        <v>103410355</v>
      </c>
      <c r="B187" s="3" t="s">
        <v>4612</v>
      </c>
      <c r="C187" s="3" t="str">
        <f t="shared" si="5"/>
        <v>2022-07-07</v>
      </c>
      <c r="D187" s="3" t="s">
        <v>9</v>
      </c>
      <c r="E187" s="3" t="s">
        <v>5</v>
      </c>
      <c r="F187" s="3" t="s">
        <v>12</v>
      </c>
      <c r="G187" s="3" t="s">
        <v>4613</v>
      </c>
      <c r="H187" s="3" t="s">
        <v>4614</v>
      </c>
      <c r="I187" s="5">
        <v>1938</v>
      </c>
      <c r="J187" s="3" t="s">
        <v>11</v>
      </c>
    </row>
    <row r="188" spans="1:10" x14ac:dyDescent="0.35">
      <c r="A188" s="3">
        <v>103410413</v>
      </c>
      <c r="B188" s="3" t="s">
        <v>4615</v>
      </c>
      <c r="C188" s="3" t="str">
        <f t="shared" si="5"/>
        <v>2022-07-07</v>
      </c>
      <c r="D188" s="3" t="s">
        <v>9</v>
      </c>
      <c r="E188" s="3" t="s">
        <v>5</v>
      </c>
      <c r="F188" s="3" t="s">
        <v>10</v>
      </c>
      <c r="G188" s="3" t="s">
        <v>4616</v>
      </c>
      <c r="H188" s="3" t="s">
        <v>4617</v>
      </c>
      <c r="I188" s="4">
        <v>1139.05</v>
      </c>
      <c r="J188" s="3" t="s">
        <v>11</v>
      </c>
    </row>
    <row r="189" spans="1:10" x14ac:dyDescent="0.35">
      <c r="A189" s="3">
        <v>103410409</v>
      </c>
      <c r="B189" s="3" t="s">
        <v>4618</v>
      </c>
      <c r="C189" s="3" t="str">
        <f t="shared" si="5"/>
        <v>2022-07-07</v>
      </c>
      <c r="D189" s="3" t="s">
        <v>9</v>
      </c>
      <c r="E189" s="3" t="s">
        <v>5</v>
      </c>
      <c r="F189" s="3" t="s">
        <v>10</v>
      </c>
      <c r="G189" s="3" t="s">
        <v>4619</v>
      </c>
      <c r="H189" s="3" t="s">
        <v>4620</v>
      </c>
      <c r="I189" s="4">
        <v>2611.5500000000002</v>
      </c>
      <c r="J189" s="3" t="s">
        <v>11</v>
      </c>
    </row>
    <row r="190" spans="1:10" x14ac:dyDescent="0.35">
      <c r="A190" s="3">
        <v>103410353</v>
      </c>
      <c r="B190" s="3" t="s">
        <v>4621</v>
      </c>
      <c r="C190" s="3" t="str">
        <f t="shared" si="5"/>
        <v>2022-07-07</v>
      </c>
      <c r="D190" s="3" t="s">
        <v>9</v>
      </c>
      <c r="E190" s="3" t="s">
        <v>5</v>
      </c>
      <c r="F190" s="3" t="s">
        <v>10</v>
      </c>
      <c r="G190" s="3" t="s">
        <v>4622</v>
      </c>
      <c r="H190" s="3" t="s">
        <v>4623</v>
      </c>
      <c r="I190" s="5">
        <v>4568</v>
      </c>
      <c r="J190" s="3" t="s">
        <v>11</v>
      </c>
    </row>
    <row r="191" spans="1:10" x14ac:dyDescent="0.35">
      <c r="A191" s="3">
        <v>103410351</v>
      </c>
      <c r="B191" s="3" t="s">
        <v>4624</v>
      </c>
      <c r="C191" s="3" t="str">
        <f t="shared" si="5"/>
        <v>2022-07-07</v>
      </c>
      <c r="D191" s="3" t="s">
        <v>9</v>
      </c>
      <c r="E191" s="3" t="s">
        <v>5</v>
      </c>
      <c r="F191" s="3" t="s">
        <v>10</v>
      </c>
      <c r="G191" s="3" t="s">
        <v>4625</v>
      </c>
      <c r="H191" s="3" t="s">
        <v>4626</v>
      </c>
      <c r="I191" s="5">
        <v>2399</v>
      </c>
      <c r="J191" s="3" t="s">
        <v>11</v>
      </c>
    </row>
    <row r="192" spans="1:10" x14ac:dyDescent="0.35">
      <c r="A192" s="3">
        <v>103410347</v>
      </c>
      <c r="B192" s="3" t="s">
        <v>4627</v>
      </c>
      <c r="C192" s="3" t="str">
        <f t="shared" si="5"/>
        <v>2022-07-07</v>
      </c>
      <c r="D192" s="3" t="s">
        <v>9</v>
      </c>
      <c r="E192" s="3" t="s">
        <v>5</v>
      </c>
      <c r="F192" s="3" t="s">
        <v>10</v>
      </c>
      <c r="G192" s="3" t="s">
        <v>4628</v>
      </c>
      <c r="H192" s="3" t="s">
        <v>4629</v>
      </c>
      <c r="I192" s="5">
        <v>1269</v>
      </c>
      <c r="J192" s="3" t="s">
        <v>11</v>
      </c>
    </row>
    <row r="193" spans="1:10" x14ac:dyDescent="0.35">
      <c r="A193" s="3">
        <v>103410346</v>
      </c>
      <c r="B193" s="3" t="s">
        <v>4630</v>
      </c>
      <c r="C193" s="3" t="str">
        <f t="shared" si="5"/>
        <v>2022-07-07</v>
      </c>
      <c r="D193" s="3" t="s">
        <v>9</v>
      </c>
      <c r="E193" s="3" t="s">
        <v>5</v>
      </c>
      <c r="F193" s="3" t="s">
        <v>10</v>
      </c>
      <c r="G193" s="3" t="s">
        <v>4631</v>
      </c>
      <c r="H193" s="3" t="s">
        <v>4632</v>
      </c>
      <c r="I193" s="4">
        <v>1538.05</v>
      </c>
      <c r="J193" s="3" t="s">
        <v>11</v>
      </c>
    </row>
    <row r="194" spans="1:10" x14ac:dyDescent="0.35">
      <c r="A194" s="3">
        <v>103410344</v>
      </c>
      <c r="B194" s="3" t="s">
        <v>4633</v>
      </c>
      <c r="C194" s="3" t="str">
        <f t="shared" si="5"/>
        <v>2022-07-07</v>
      </c>
      <c r="D194" s="3" t="s">
        <v>9</v>
      </c>
      <c r="E194" s="3" t="s">
        <v>5</v>
      </c>
      <c r="F194" s="3" t="s">
        <v>10</v>
      </c>
      <c r="G194" s="3" t="s">
        <v>4634</v>
      </c>
      <c r="H194" s="3" t="s">
        <v>4635</v>
      </c>
      <c r="I194" s="5">
        <v>1499</v>
      </c>
      <c r="J194" s="3" t="s">
        <v>11</v>
      </c>
    </row>
    <row r="195" spans="1:10" x14ac:dyDescent="0.35">
      <c r="A195" s="3">
        <v>103410395</v>
      </c>
      <c r="B195" s="3" t="s">
        <v>4636</v>
      </c>
      <c r="C195" s="3" t="str">
        <f t="shared" ref="C195:C258" si="6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4637</v>
      </c>
      <c r="H195" s="3" t="s">
        <v>4638</v>
      </c>
      <c r="I195" s="4">
        <v>1850.6</v>
      </c>
      <c r="J195" s="3" t="s">
        <v>11</v>
      </c>
    </row>
    <row r="196" spans="1:10" x14ac:dyDescent="0.35">
      <c r="A196" s="3">
        <v>103410390</v>
      </c>
      <c r="B196" s="3" t="s">
        <v>4639</v>
      </c>
      <c r="C196" s="3" t="str">
        <f t="shared" si="6"/>
        <v>2022-07-07</v>
      </c>
      <c r="D196" s="3" t="s">
        <v>9</v>
      </c>
      <c r="E196" s="3" t="s">
        <v>5</v>
      </c>
      <c r="F196" s="3" t="s">
        <v>10</v>
      </c>
      <c r="G196" s="3" t="s">
        <v>4640</v>
      </c>
      <c r="H196" s="3" t="s">
        <v>4641</v>
      </c>
      <c r="I196" s="4">
        <v>3039.05</v>
      </c>
      <c r="J196" s="3" t="s">
        <v>11</v>
      </c>
    </row>
    <row r="197" spans="1:10" x14ac:dyDescent="0.35">
      <c r="A197" s="3">
        <v>103410388</v>
      </c>
      <c r="B197" s="3" t="s">
        <v>4642</v>
      </c>
      <c r="C197" s="3" t="str">
        <f t="shared" si="6"/>
        <v>2022-07-07</v>
      </c>
      <c r="D197" s="3" t="s">
        <v>9</v>
      </c>
      <c r="E197" s="3" t="s">
        <v>5</v>
      </c>
      <c r="F197" s="3" t="s">
        <v>10</v>
      </c>
      <c r="G197" s="3" t="s">
        <v>1791</v>
      </c>
      <c r="H197" s="3" t="s">
        <v>1792</v>
      </c>
      <c r="I197" s="4">
        <v>2659.05</v>
      </c>
      <c r="J197" s="3" t="s">
        <v>11</v>
      </c>
    </row>
    <row r="198" spans="1:10" x14ac:dyDescent="0.35">
      <c r="A198" s="3">
        <v>103410342</v>
      </c>
      <c r="B198" s="3" t="s">
        <v>4643</v>
      </c>
      <c r="C198" s="3" t="str">
        <f t="shared" si="6"/>
        <v>2022-07-07</v>
      </c>
      <c r="D198" s="3" t="s">
        <v>9</v>
      </c>
      <c r="E198" s="3" t="s">
        <v>5</v>
      </c>
      <c r="F198" s="3" t="s">
        <v>10</v>
      </c>
      <c r="G198" s="3" t="s">
        <v>4644</v>
      </c>
      <c r="H198" s="3" t="s">
        <v>4645</v>
      </c>
      <c r="I198" s="5">
        <v>1999</v>
      </c>
      <c r="J198" s="3" t="s">
        <v>11</v>
      </c>
    </row>
    <row r="199" spans="1:10" x14ac:dyDescent="0.35">
      <c r="A199" s="3">
        <v>103410384</v>
      </c>
      <c r="B199" s="3" t="s">
        <v>4646</v>
      </c>
      <c r="C199" s="3" t="str">
        <f t="shared" si="6"/>
        <v>2022-07-07</v>
      </c>
      <c r="D199" s="3" t="s">
        <v>9</v>
      </c>
      <c r="E199" s="3" t="s">
        <v>5</v>
      </c>
      <c r="F199" s="3" t="s">
        <v>10</v>
      </c>
      <c r="G199" s="3" t="s">
        <v>4283</v>
      </c>
      <c r="H199" s="3" t="s">
        <v>4284</v>
      </c>
      <c r="I199" s="5">
        <v>3108</v>
      </c>
      <c r="J199" s="3" t="s">
        <v>11</v>
      </c>
    </row>
    <row r="200" spans="1:10" x14ac:dyDescent="0.35">
      <c r="A200" s="3">
        <v>103410383</v>
      </c>
      <c r="B200" s="3" t="s">
        <v>4647</v>
      </c>
      <c r="C200" s="3" t="str">
        <f t="shared" si="6"/>
        <v>2022-07-07</v>
      </c>
      <c r="D200" s="3" t="s">
        <v>9</v>
      </c>
      <c r="E200" s="3" t="s">
        <v>5</v>
      </c>
      <c r="F200" s="3" t="s">
        <v>10</v>
      </c>
      <c r="G200" s="3" t="s">
        <v>879</v>
      </c>
      <c r="H200" s="3" t="s">
        <v>880</v>
      </c>
      <c r="I200" s="4">
        <v>4511.6000000000004</v>
      </c>
      <c r="J200" s="3" t="s">
        <v>11</v>
      </c>
    </row>
    <row r="201" spans="1:10" x14ac:dyDescent="0.35">
      <c r="A201" s="3">
        <v>103410336</v>
      </c>
      <c r="B201" s="3" t="s">
        <v>4648</v>
      </c>
      <c r="C201" s="3" t="str">
        <f t="shared" si="6"/>
        <v>2022-07-07</v>
      </c>
      <c r="D201" s="3" t="s">
        <v>9</v>
      </c>
      <c r="E201" s="3" t="s">
        <v>5</v>
      </c>
      <c r="F201" s="3" t="s">
        <v>10</v>
      </c>
      <c r="G201" s="3" t="s">
        <v>4649</v>
      </c>
      <c r="H201" s="3" t="s">
        <v>4650</v>
      </c>
      <c r="I201" s="4">
        <v>1879.29</v>
      </c>
      <c r="J201" s="3" t="s">
        <v>11</v>
      </c>
    </row>
    <row r="202" spans="1:10" x14ac:dyDescent="0.35">
      <c r="A202" s="3">
        <v>103410332</v>
      </c>
      <c r="B202" s="3" t="s">
        <v>4651</v>
      </c>
      <c r="C202" s="3" t="str">
        <f t="shared" si="6"/>
        <v>2022-07-07</v>
      </c>
      <c r="D202" s="3" t="s">
        <v>9</v>
      </c>
      <c r="E202" s="3" t="s">
        <v>5</v>
      </c>
      <c r="F202" s="3" t="s">
        <v>10</v>
      </c>
      <c r="G202" s="3" t="s">
        <v>4652</v>
      </c>
      <c r="H202" s="3" t="s">
        <v>4653</v>
      </c>
      <c r="I202" s="4">
        <v>1578.47</v>
      </c>
      <c r="J202" s="3" t="s">
        <v>11</v>
      </c>
    </row>
    <row r="203" spans="1:10" x14ac:dyDescent="0.35">
      <c r="A203" s="3">
        <v>103410370</v>
      </c>
      <c r="B203" s="3" t="s">
        <v>4654</v>
      </c>
      <c r="C203" s="3" t="str">
        <f t="shared" si="6"/>
        <v>2022-07-07</v>
      </c>
      <c r="D203" s="3" t="s">
        <v>9</v>
      </c>
      <c r="E203" s="3" t="s">
        <v>5</v>
      </c>
      <c r="F203" s="3" t="s">
        <v>12</v>
      </c>
      <c r="G203" s="3" t="s">
        <v>4655</v>
      </c>
      <c r="H203" s="3" t="s">
        <v>4656</v>
      </c>
      <c r="I203" s="4">
        <v>1234.05</v>
      </c>
      <c r="J203" s="3" t="s">
        <v>11</v>
      </c>
    </row>
    <row r="204" spans="1:10" x14ac:dyDescent="0.35">
      <c r="A204" s="3">
        <v>103410328</v>
      </c>
      <c r="B204" s="3" t="s">
        <v>4657</v>
      </c>
      <c r="C204" s="3" t="str">
        <f t="shared" si="6"/>
        <v>2022-07-07</v>
      </c>
      <c r="D204" s="3" t="s">
        <v>9</v>
      </c>
      <c r="E204" s="3" t="s">
        <v>5</v>
      </c>
      <c r="F204" s="3" t="s">
        <v>10</v>
      </c>
      <c r="G204" s="3" t="s">
        <v>4658</v>
      </c>
      <c r="H204" s="3" t="s">
        <v>4659</v>
      </c>
      <c r="I204" s="4">
        <v>1632.1</v>
      </c>
      <c r="J204" s="3" t="s">
        <v>11</v>
      </c>
    </row>
    <row r="205" spans="1:10" x14ac:dyDescent="0.35">
      <c r="A205" s="3">
        <v>103410325</v>
      </c>
      <c r="B205" s="3" t="s">
        <v>4660</v>
      </c>
      <c r="C205" s="3" t="str">
        <f t="shared" si="6"/>
        <v>2022-07-07</v>
      </c>
      <c r="D205" s="3" t="s">
        <v>9</v>
      </c>
      <c r="E205" s="3" t="s">
        <v>5</v>
      </c>
      <c r="F205" s="3" t="s">
        <v>10</v>
      </c>
      <c r="G205" s="3" t="s">
        <v>4333</v>
      </c>
      <c r="H205" s="3" t="s">
        <v>4334</v>
      </c>
      <c r="I205" s="4">
        <v>2165.1</v>
      </c>
      <c r="J205" s="3" t="s">
        <v>11</v>
      </c>
    </row>
    <row r="206" spans="1:10" x14ac:dyDescent="0.35">
      <c r="A206" s="3">
        <v>103410324</v>
      </c>
      <c r="B206" s="3" t="s">
        <v>4661</v>
      </c>
      <c r="C206" s="3" t="str">
        <f t="shared" si="6"/>
        <v>2022-07-07</v>
      </c>
      <c r="D206" s="3" t="s">
        <v>9</v>
      </c>
      <c r="E206" s="3" t="s">
        <v>5</v>
      </c>
      <c r="F206" s="3" t="s">
        <v>10</v>
      </c>
      <c r="G206" s="3" t="s">
        <v>4662</v>
      </c>
      <c r="H206" s="3" t="s">
        <v>4663</v>
      </c>
      <c r="I206" s="4">
        <v>2849.05</v>
      </c>
      <c r="J206" s="3" t="s">
        <v>11</v>
      </c>
    </row>
    <row r="207" spans="1:10" x14ac:dyDescent="0.35">
      <c r="A207" s="3">
        <v>103410316</v>
      </c>
      <c r="B207" s="3" t="s">
        <v>4664</v>
      </c>
      <c r="C207" s="3" t="str">
        <f t="shared" si="6"/>
        <v>2022-07-07</v>
      </c>
      <c r="D207" s="3" t="s">
        <v>9</v>
      </c>
      <c r="E207" s="3" t="s">
        <v>5</v>
      </c>
      <c r="F207" s="3" t="s">
        <v>10</v>
      </c>
      <c r="G207" s="3" t="s">
        <v>4665</v>
      </c>
      <c r="H207" s="3" t="s">
        <v>4666</v>
      </c>
      <c r="I207" s="5">
        <v>5898</v>
      </c>
      <c r="J207" s="3" t="s">
        <v>11</v>
      </c>
    </row>
    <row r="208" spans="1:10" x14ac:dyDescent="0.35">
      <c r="A208" s="3">
        <v>103410254</v>
      </c>
      <c r="B208" s="3" t="s">
        <v>4667</v>
      </c>
      <c r="C208" s="3" t="str">
        <f t="shared" si="6"/>
        <v>2022-07-07</v>
      </c>
      <c r="D208" s="3" t="s">
        <v>9</v>
      </c>
      <c r="E208" s="3" t="s">
        <v>5</v>
      </c>
      <c r="F208" s="3" t="s">
        <v>10</v>
      </c>
      <c r="G208" s="3" t="s">
        <v>4668</v>
      </c>
      <c r="H208" s="3" t="s">
        <v>4669</v>
      </c>
      <c r="I208" s="5">
        <v>5599</v>
      </c>
      <c r="J208" s="3" t="s">
        <v>11</v>
      </c>
    </row>
    <row r="209" spans="1:10" x14ac:dyDescent="0.35">
      <c r="A209" s="3">
        <v>103410250</v>
      </c>
      <c r="B209" s="3" t="s">
        <v>4670</v>
      </c>
      <c r="C209" s="3" t="str">
        <f t="shared" si="6"/>
        <v>2022-07-07</v>
      </c>
      <c r="D209" s="3" t="s">
        <v>9</v>
      </c>
      <c r="E209" s="3" t="s">
        <v>5</v>
      </c>
      <c r="F209" s="3" t="s">
        <v>10</v>
      </c>
      <c r="G209" s="3" t="s">
        <v>4671</v>
      </c>
      <c r="H209" s="3" t="s">
        <v>4672</v>
      </c>
      <c r="I209" s="5">
        <v>3149</v>
      </c>
      <c r="J209" s="3" t="s">
        <v>11</v>
      </c>
    </row>
    <row r="210" spans="1:10" x14ac:dyDescent="0.35">
      <c r="A210" s="3">
        <v>103410312</v>
      </c>
      <c r="B210" s="3" t="s">
        <v>4673</v>
      </c>
      <c r="C210" s="3" t="str">
        <f t="shared" si="6"/>
        <v>2022-07-07</v>
      </c>
      <c r="D210" s="3" t="s">
        <v>9</v>
      </c>
      <c r="E210" s="3" t="s">
        <v>5</v>
      </c>
      <c r="F210" s="3" t="s">
        <v>10</v>
      </c>
      <c r="G210" s="3" t="s">
        <v>4674</v>
      </c>
      <c r="H210" s="3" t="s">
        <v>4675</v>
      </c>
      <c r="I210" s="4">
        <v>3212.1</v>
      </c>
      <c r="J210" s="3" t="s">
        <v>11</v>
      </c>
    </row>
    <row r="211" spans="1:10" x14ac:dyDescent="0.35">
      <c r="A211" s="3">
        <v>103410311</v>
      </c>
      <c r="B211" s="3" t="s">
        <v>4676</v>
      </c>
      <c r="C211" s="3" t="str">
        <f t="shared" si="6"/>
        <v>2022-07-07</v>
      </c>
      <c r="D211" s="3" t="s">
        <v>9</v>
      </c>
      <c r="E211" s="3" t="s">
        <v>5</v>
      </c>
      <c r="F211" s="3" t="s">
        <v>10</v>
      </c>
      <c r="G211" s="3" t="s">
        <v>4677</v>
      </c>
      <c r="H211" s="3" t="s">
        <v>4678</v>
      </c>
      <c r="I211" s="3">
        <v>549</v>
      </c>
      <c r="J211" s="3" t="s">
        <v>11</v>
      </c>
    </row>
    <row r="212" spans="1:10" x14ac:dyDescent="0.35">
      <c r="A212" s="3">
        <v>103410243</v>
      </c>
      <c r="B212" s="3" t="s">
        <v>4679</v>
      </c>
      <c r="C212" s="3" t="str">
        <f t="shared" si="6"/>
        <v>2022-07-07</v>
      </c>
      <c r="D212" s="3" t="s">
        <v>9</v>
      </c>
      <c r="E212" s="3" t="s">
        <v>5</v>
      </c>
      <c r="F212" s="3" t="s">
        <v>10</v>
      </c>
      <c r="G212" s="3" t="s">
        <v>4680</v>
      </c>
      <c r="H212" s="3" t="s">
        <v>4681</v>
      </c>
      <c r="I212" s="5">
        <v>4799</v>
      </c>
      <c r="J212" s="3" t="s">
        <v>11</v>
      </c>
    </row>
    <row r="213" spans="1:10" x14ac:dyDescent="0.35">
      <c r="A213" s="3">
        <v>103410303</v>
      </c>
      <c r="B213" s="3" t="s">
        <v>4682</v>
      </c>
      <c r="C213" s="3" t="str">
        <f t="shared" si="6"/>
        <v>2022-07-07</v>
      </c>
      <c r="D213" s="3" t="s">
        <v>9</v>
      </c>
      <c r="E213" s="3" t="s">
        <v>5</v>
      </c>
      <c r="F213" s="3" t="s">
        <v>10</v>
      </c>
      <c r="G213" s="3" t="s">
        <v>4683</v>
      </c>
      <c r="H213" s="3" t="s">
        <v>4684</v>
      </c>
      <c r="I213" s="5">
        <v>2099</v>
      </c>
      <c r="J213" s="3" t="s">
        <v>11</v>
      </c>
    </row>
    <row r="214" spans="1:10" x14ac:dyDescent="0.35">
      <c r="A214" s="3">
        <v>103410300</v>
      </c>
      <c r="B214" s="3" t="s">
        <v>4685</v>
      </c>
      <c r="C214" s="3" t="str">
        <f t="shared" si="6"/>
        <v>2022-07-07</v>
      </c>
      <c r="D214" s="3" t="s">
        <v>9</v>
      </c>
      <c r="E214" s="3" t="s">
        <v>5</v>
      </c>
      <c r="F214" s="3" t="s">
        <v>10</v>
      </c>
      <c r="G214" s="3" t="s">
        <v>854</v>
      </c>
      <c r="H214" s="3" t="s">
        <v>855</v>
      </c>
      <c r="I214" s="3">
        <v>978</v>
      </c>
      <c r="J214" s="3" t="s">
        <v>11</v>
      </c>
    </row>
    <row r="215" spans="1:10" x14ac:dyDescent="0.35">
      <c r="A215" s="3">
        <v>103410237</v>
      </c>
      <c r="B215" s="3" t="s">
        <v>4686</v>
      </c>
      <c r="C215" s="3" t="str">
        <f t="shared" si="6"/>
        <v>2022-07-07</v>
      </c>
      <c r="D215" s="3" t="s">
        <v>9</v>
      </c>
      <c r="E215" s="3" t="s">
        <v>5</v>
      </c>
      <c r="F215" s="3" t="s">
        <v>10</v>
      </c>
      <c r="G215" s="3" t="s">
        <v>3312</v>
      </c>
      <c r="H215" s="3" t="s">
        <v>4687</v>
      </c>
      <c r="I215" s="5">
        <v>2498</v>
      </c>
      <c r="J215" s="3" t="s">
        <v>11</v>
      </c>
    </row>
    <row r="216" spans="1:10" x14ac:dyDescent="0.35">
      <c r="A216" s="3">
        <v>103410236</v>
      </c>
      <c r="B216" s="3" t="s">
        <v>4688</v>
      </c>
      <c r="C216" s="3" t="str">
        <f t="shared" si="6"/>
        <v>2022-07-07</v>
      </c>
      <c r="D216" s="3" t="s">
        <v>9</v>
      </c>
      <c r="E216" s="3" t="s">
        <v>5</v>
      </c>
      <c r="F216" s="3" t="s">
        <v>10</v>
      </c>
      <c r="G216" s="3" t="s">
        <v>4689</v>
      </c>
      <c r="H216" s="3" t="s">
        <v>4690</v>
      </c>
      <c r="I216" s="3">
        <v>315.49</v>
      </c>
      <c r="J216" s="3" t="s">
        <v>11</v>
      </c>
    </row>
    <row r="217" spans="1:10" x14ac:dyDescent="0.35">
      <c r="A217" s="3">
        <v>103410293</v>
      </c>
      <c r="B217" s="3" t="s">
        <v>4691</v>
      </c>
      <c r="C217" s="3" t="str">
        <f t="shared" si="6"/>
        <v>2022-07-07</v>
      </c>
      <c r="D217" s="3" t="s">
        <v>9</v>
      </c>
      <c r="E217" s="3" t="s">
        <v>5</v>
      </c>
      <c r="F217" s="3" t="s">
        <v>10</v>
      </c>
      <c r="G217" s="3" t="s">
        <v>4674</v>
      </c>
      <c r="H217" s="3" t="s">
        <v>4675</v>
      </c>
      <c r="I217" s="4">
        <v>3212.1</v>
      </c>
      <c r="J217" s="3" t="s">
        <v>11</v>
      </c>
    </row>
    <row r="218" spans="1:10" x14ac:dyDescent="0.35">
      <c r="A218" s="3">
        <v>103410229</v>
      </c>
      <c r="B218" s="3" t="s">
        <v>4692</v>
      </c>
      <c r="C218" s="3" t="str">
        <f t="shared" si="6"/>
        <v>2022-07-07</v>
      </c>
      <c r="D218" s="3" t="s">
        <v>9</v>
      </c>
      <c r="E218" s="3" t="s">
        <v>5</v>
      </c>
      <c r="F218" s="3" t="s">
        <v>10</v>
      </c>
      <c r="G218" s="3" t="s">
        <v>4693</v>
      </c>
      <c r="H218" s="3" t="s">
        <v>4694</v>
      </c>
      <c r="I218" s="4">
        <v>1918.05</v>
      </c>
      <c r="J218" s="3" t="s">
        <v>11</v>
      </c>
    </row>
    <row r="219" spans="1:10" x14ac:dyDescent="0.35">
      <c r="A219" s="3">
        <v>103410228</v>
      </c>
      <c r="B219" s="3" t="s">
        <v>4695</v>
      </c>
      <c r="C219" s="3" t="str">
        <f t="shared" si="6"/>
        <v>2022-07-07</v>
      </c>
      <c r="D219" s="3" t="s">
        <v>9</v>
      </c>
      <c r="E219" s="3" t="s">
        <v>5</v>
      </c>
      <c r="F219" s="3" t="s">
        <v>10</v>
      </c>
      <c r="G219" s="3" t="s">
        <v>2500</v>
      </c>
      <c r="H219" s="3" t="s">
        <v>2501</v>
      </c>
      <c r="I219" s="5">
        <v>2919</v>
      </c>
      <c r="J219" s="3" t="s">
        <v>11</v>
      </c>
    </row>
    <row r="220" spans="1:10" x14ac:dyDescent="0.35">
      <c r="A220" s="3">
        <v>103410226</v>
      </c>
      <c r="B220" s="3" t="s">
        <v>4696</v>
      </c>
      <c r="C220" s="3" t="str">
        <f t="shared" si="6"/>
        <v>2022-07-07</v>
      </c>
      <c r="D220" s="3" t="s">
        <v>9</v>
      </c>
      <c r="E220" s="3" t="s">
        <v>5</v>
      </c>
      <c r="F220" s="3" t="s">
        <v>10</v>
      </c>
      <c r="G220" s="3" t="s">
        <v>4697</v>
      </c>
      <c r="H220" s="3" t="s">
        <v>4698</v>
      </c>
      <c r="I220" s="4">
        <v>3333.64</v>
      </c>
      <c r="J220" s="3" t="s">
        <v>11</v>
      </c>
    </row>
    <row r="221" spans="1:10" x14ac:dyDescent="0.35">
      <c r="A221" s="3">
        <v>103410278</v>
      </c>
      <c r="B221" s="3" t="s">
        <v>4699</v>
      </c>
      <c r="C221" s="3" t="str">
        <f t="shared" si="6"/>
        <v>2022-07-07</v>
      </c>
      <c r="D221" s="3" t="s">
        <v>9</v>
      </c>
      <c r="E221" s="3" t="s">
        <v>5</v>
      </c>
      <c r="F221" s="3" t="s">
        <v>10</v>
      </c>
      <c r="G221" s="3" t="s">
        <v>4700</v>
      </c>
      <c r="H221" s="3" t="s">
        <v>4701</v>
      </c>
      <c r="I221" s="4">
        <v>1709.14</v>
      </c>
      <c r="J221" s="3" t="s">
        <v>11</v>
      </c>
    </row>
    <row r="222" spans="1:10" x14ac:dyDescent="0.35">
      <c r="A222" s="3">
        <v>103410277</v>
      </c>
      <c r="B222" s="3" t="s">
        <v>4702</v>
      </c>
      <c r="C222" s="3" t="str">
        <f t="shared" si="6"/>
        <v>2022-07-07</v>
      </c>
      <c r="D222" s="3" t="s">
        <v>9</v>
      </c>
      <c r="E222" s="3" t="s">
        <v>5</v>
      </c>
      <c r="F222" s="3" t="s">
        <v>10</v>
      </c>
      <c r="G222" s="3" t="s">
        <v>4703</v>
      </c>
      <c r="H222" s="3" t="s">
        <v>4704</v>
      </c>
      <c r="I222" s="4">
        <v>5385.64</v>
      </c>
      <c r="J222" s="3" t="s">
        <v>11</v>
      </c>
    </row>
    <row r="223" spans="1:10" x14ac:dyDescent="0.35">
      <c r="A223" s="3">
        <v>103410217</v>
      </c>
      <c r="B223" s="3" t="s">
        <v>4705</v>
      </c>
      <c r="C223" s="3" t="str">
        <f t="shared" si="6"/>
        <v>2022-07-07</v>
      </c>
      <c r="D223" s="3" t="s">
        <v>9</v>
      </c>
      <c r="E223" s="3" t="s">
        <v>5</v>
      </c>
      <c r="F223" s="3" t="s">
        <v>10</v>
      </c>
      <c r="G223" s="3" t="s">
        <v>4706</v>
      </c>
      <c r="H223" s="3" t="s">
        <v>4707</v>
      </c>
      <c r="I223" s="4">
        <v>1300.55</v>
      </c>
      <c r="J223" s="3" t="s">
        <v>11</v>
      </c>
    </row>
    <row r="224" spans="1:10" x14ac:dyDescent="0.35">
      <c r="A224" s="3">
        <v>103410273</v>
      </c>
      <c r="B224" s="3" t="s">
        <v>4708</v>
      </c>
      <c r="C224" s="3" t="str">
        <f t="shared" si="6"/>
        <v>2022-07-07</v>
      </c>
      <c r="D224" s="3" t="s">
        <v>9</v>
      </c>
      <c r="E224" s="3" t="s">
        <v>5</v>
      </c>
      <c r="F224" s="3" t="s">
        <v>10</v>
      </c>
      <c r="G224" s="3" t="s">
        <v>4709</v>
      </c>
      <c r="H224" s="3" t="s">
        <v>4710</v>
      </c>
      <c r="I224" s="4">
        <v>2611.5500000000002</v>
      </c>
      <c r="J224" s="3" t="s">
        <v>11</v>
      </c>
    </row>
    <row r="225" spans="1:10" x14ac:dyDescent="0.35">
      <c r="A225" s="3">
        <v>103410213</v>
      </c>
      <c r="B225" s="3" t="s">
        <v>4711</v>
      </c>
      <c r="C225" s="3" t="str">
        <f t="shared" si="6"/>
        <v>2022-07-07</v>
      </c>
      <c r="D225" s="3" t="s">
        <v>9</v>
      </c>
      <c r="E225" s="3" t="s">
        <v>5</v>
      </c>
      <c r="F225" s="3" t="s">
        <v>10</v>
      </c>
      <c r="G225" s="3" t="s">
        <v>1871</v>
      </c>
      <c r="H225" s="3" t="s">
        <v>1872</v>
      </c>
      <c r="I225" s="5">
        <v>1499</v>
      </c>
      <c r="J225" s="3" t="s">
        <v>11</v>
      </c>
    </row>
    <row r="226" spans="1:10" x14ac:dyDescent="0.35">
      <c r="A226" s="3">
        <v>103410266</v>
      </c>
      <c r="B226" s="3" t="s">
        <v>4712</v>
      </c>
      <c r="C226" s="3" t="str">
        <f t="shared" si="6"/>
        <v>2022-07-07</v>
      </c>
      <c r="D226" s="3" t="s">
        <v>9</v>
      </c>
      <c r="E226" s="3" t="s">
        <v>5</v>
      </c>
      <c r="F226" s="3" t="s">
        <v>10</v>
      </c>
      <c r="G226" s="3" t="s">
        <v>4713</v>
      </c>
      <c r="H226" s="3" t="s">
        <v>4714</v>
      </c>
      <c r="I226" s="4">
        <v>1470.6</v>
      </c>
      <c r="J226" s="3" t="s">
        <v>11</v>
      </c>
    </row>
    <row r="227" spans="1:10" x14ac:dyDescent="0.35">
      <c r="A227" s="3">
        <v>103410059</v>
      </c>
      <c r="B227" s="3" t="s">
        <v>4715</v>
      </c>
      <c r="C227" s="3" t="str">
        <f t="shared" si="6"/>
        <v>2022-07-07</v>
      </c>
      <c r="D227" s="3" t="s">
        <v>9</v>
      </c>
      <c r="E227" s="3" t="s">
        <v>5</v>
      </c>
      <c r="F227" s="3" t="s">
        <v>10</v>
      </c>
      <c r="G227" s="3" t="s">
        <v>4716</v>
      </c>
      <c r="H227" s="3" t="s">
        <v>4717</v>
      </c>
      <c r="I227" s="5">
        <v>1499</v>
      </c>
      <c r="J227" s="3" t="s">
        <v>11</v>
      </c>
    </row>
    <row r="228" spans="1:10" x14ac:dyDescent="0.35">
      <c r="A228" s="3">
        <v>103410057</v>
      </c>
      <c r="B228" s="3" t="s">
        <v>4718</v>
      </c>
      <c r="C228" s="3" t="str">
        <f t="shared" si="6"/>
        <v>2022-07-07</v>
      </c>
      <c r="D228" s="3" t="s">
        <v>9</v>
      </c>
      <c r="E228" s="3" t="s">
        <v>5</v>
      </c>
      <c r="F228" s="3" t="s">
        <v>10</v>
      </c>
      <c r="G228" s="3" t="s">
        <v>4719</v>
      </c>
      <c r="H228" s="3" t="s">
        <v>4720</v>
      </c>
      <c r="I228" s="4">
        <v>1775.55</v>
      </c>
      <c r="J228" s="3" t="s">
        <v>11</v>
      </c>
    </row>
    <row r="229" spans="1:10" x14ac:dyDescent="0.35">
      <c r="A229" s="3">
        <v>103410195</v>
      </c>
      <c r="B229" s="3" t="s">
        <v>4721</v>
      </c>
      <c r="C229" s="3" t="str">
        <f t="shared" si="6"/>
        <v>2022-07-07</v>
      </c>
      <c r="D229" s="3" t="s">
        <v>9</v>
      </c>
      <c r="E229" s="3" t="s">
        <v>5</v>
      </c>
      <c r="F229" s="3" t="s">
        <v>10</v>
      </c>
      <c r="G229" s="3" t="s">
        <v>4722</v>
      </c>
      <c r="H229" s="3" t="s">
        <v>4723</v>
      </c>
      <c r="I229" s="5">
        <v>1999</v>
      </c>
      <c r="J229" s="3" t="s">
        <v>11</v>
      </c>
    </row>
    <row r="230" spans="1:10" x14ac:dyDescent="0.35">
      <c r="A230" s="3">
        <v>103410048</v>
      </c>
      <c r="B230" s="3" t="s">
        <v>4724</v>
      </c>
      <c r="C230" s="3" t="str">
        <f t="shared" si="6"/>
        <v>2022-07-07</v>
      </c>
      <c r="D230" s="3" t="s">
        <v>9</v>
      </c>
      <c r="E230" s="3" t="s">
        <v>5</v>
      </c>
      <c r="F230" s="3" t="s">
        <v>10</v>
      </c>
      <c r="G230" s="3" t="s">
        <v>4725</v>
      </c>
      <c r="H230" s="3" t="s">
        <v>4726</v>
      </c>
      <c r="I230" s="5">
        <v>1918</v>
      </c>
      <c r="J230" s="3" t="s">
        <v>11</v>
      </c>
    </row>
    <row r="231" spans="1:10" x14ac:dyDescent="0.35">
      <c r="A231" s="3">
        <v>103410047</v>
      </c>
      <c r="B231" s="3" t="s">
        <v>4727</v>
      </c>
      <c r="C231" s="3" t="str">
        <f t="shared" si="6"/>
        <v>2022-07-07</v>
      </c>
      <c r="D231" s="3" t="s">
        <v>9</v>
      </c>
      <c r="E231" s="3" t="s">
        <v>5</v>
      </c>
      <c r="F231" s="3" t="s">
        <v>10</v>
      </c>
      <c r="G231" s="3" t="s">
        <v>4728</v>
      </c>
      <c r="H231" s="3" t="s">
        <v>4729</v>
      </c>
      <c r="I231" s="3">
        <v>768.55</v>
      </c>
      <c r="J231" s="3" t="s">
        <v>11</v>
      </c>
    </row>
    <row r="232" spans="1:10" x14ac:dyDescent="0.35">
      <c r="A232" s="3">
        <v>103410184</v>
      </c>
      <c r="B232" s="3" t="s">
        <v>4730</v>
      </c>
      <c r="C232" s="3" t="str">
        <f t="shared" si="6"/>
        <v>2022-07-07</v>
      </c>
      <c r="D232" s="3" t="s">
        <v>9</v>
      </c>
      <c r="E232" s="3" t="s">
        <v>5</v>
      </c>
      <c r="F232" s="3" t="s">
        <v>10</v>
      </c>
      <c r="G232" s="3" t="s">
        <v>4731</v>
      </c>
      <c r="H232" s="3" t="s">
        <v>4732</v>
      </c>
      <c r="I232" s="4">
        <v>2339.1</v>
      </c>
      <c r="J232" s="3" t="s">
        <v>11</v>
      </c>
    </row>
    <row r="233" spans="1:10" x14ac:dyDescent="0.35">
      <c r="A233" s="3">
        <v>103410183</v>
      </c>
      <c r="B233" s="3" t="s">
        <v>4733</v>
      </c>
      <c r="C233" s="3" t="str">
        <f t="shared" si="6"/>
        <v>2022-07-07</v>
      </c>
      <c r="D233" s="3" t="s">
        <v>9</v>
      </c>
      <c r="E233" s="3" t="s">
        <v>5</v>
      </c>
      <c r="F233" s="3" t="s">
        <v>10</v>
      </c>
      <c r="G233" s="3" t="s">
        <v>4734</v>
      </c>
      <c r="H233" s="3" t="s">
        <v>4735</v>
      </c>
      <c r="I233" s="5">
        <v>2469</v>
      </c>
      <c r="J233" s="3" t="s">
        <v>11</v>
      </c>
    </row>
    <row r="234" spans="1:10" x14ac:dyDescent="0.35">
      <c r="A234" s="3">
        <v>103410041</v>
      </c>
      <c r="B234" s="3" t="s">
        <v>4736</v>
      </c>
      <c r="C234" s="3" t="str">
        <f t="shared" si="6"/>
        <v>2022-07-07</v>
      </c>
      <c r="D234" s="3" t="s">
        <v>9</v>
      </c>
      <c r="E234" s="3" t="s">
        <v>5</v>
      </c>
      <c r="F234" s="3" t="s">
        <v>10</v>
      </c>
      <c r="G234" s="3" t="s">
        <v>4737</v>
      </c>
      <c r="H234" s="3" t="s">
        <v>4738</v>
      </c>
      <c r="I234" s="4">
        <v>4103.1400000000003</v>
      </c>
      <c r="J234" s="3" t="s">
        <v>11</v>
      </c>
    </row>
    <row r="235" spans="1:10" x14ac:dyDescent="0.35">
      <c r="A235" s="3">
        <v>103410177</v>
      </c>
      <c r="B235" s="3" t="s">
        <v>4739</v>
      </c>
      <c r="C235" s="3" t="str">
        <f t="shared" si="6"/>
        <v>2022-07-07</v>
      </c>
      <c r="D235" s="3" t="s">
        <v>9</v>
      </c>
      <c r="E235" s="3" t="s">
        <v>5</v>
      </c>
      <c r="F235" s="3" t="s">
        <v>10</v>
      </c>
      <c r="G235" s="3" t="s">
        <v>4740</v>
      </c>
      <c r="H235" s="3" t="s">
        <v>4741</v>
      </c>
      <c r="I235" s="4">
        <v>2849.05</v>
      </c>
      <c r="J235" s="3" t="s">
        <v>11</v>
      </c>
    </row>
    <row r="236" spans="1:10" x14ac:dyDescent="0.35">
      <c r="A236" s="3">
        <v>103410175</v>
      </c>
      <c r="B236" s="3" t="s">
        <v>4742</v>
      </c>
      <c r="C236" s="3" t="str">
        <f t="shared" si="6"/>
        <v>2022-07-07</v>
      </c>
      <c r="D236" s="3" t="s">
        <v>9</v>
      </c>
      <c r="E236" s="3" t="s">
        <v>5</v>
      </c>
      <c r="F236" s="3" t="s">
        <v>12</v>
      </c>
      <c r="G236" s="3" t="s">
        <v>4743</v>
      </c>
      <c r="H236" s="3" t="s">
        <v>4744</v>
      </c>
      <c r="I236" s="5">
        <v>1798</v>
      </c>
      <c r="J236" s="3" t="s">
        <v>11</v>
      </c>
    </row>
    <row r="237" spans="1:10" x14ac:dyDescent="0.35">
      <c r="A237" s="3">
        <v>103410174</v>
      </c>
      <c r="B237" s="3" t="s">
        <v>4745</v>
      </c>
      <c r="C237" s="3" t="str">
        <f t="shared" si="6"/>
        <v>2022-07-07</v>
      </c>
      <c r="D237" s="3" t="s">
        <v>9</v>
      </c>
      <c r="E237" s="3" t="s">
        <v>5</v>
      </c>
      <c r="F237" s="3" t="s">
        <v>12</v>
      </c>
      <c r="G237" s="3" t="s">
        <v>4746</v>
      </c>
      <c r="H237" s="3" t="s">
        <v>4747</v>
      </c>
      <c r="I237" s="3">
        <v>799</v>
      </c>
      <c r="J237" s="3" t="s">
        <v>11</v>
      </c>
    </row>
    <row r="238" spans="1:10" x14ac:dyDescent="0.35">
      <c r="A238" s="3">
        <v>103410035</v>
      </c>
      <c r="B238" s="3" t="s">
        <v>4748</v>
      </c>
      <c r="C238" s="3" t="str">
        <f t="shared" si="6"/>
        <v>2022-07-07</v>
      </c>
      <c r="D238" s="3" t="s">
        <v>9</v>
      </c>
      <c r="E238" s="3" t="s">
        <v>5</v>
      </c>
      <c r="F238" s="3" t="s">
        <v>10</v>
      </c>
      <c r="G238" s="3" t="s">
        <v>4749</v>
      </c>
      <c r="H238" s="3" t="s">
        <v>4750</v>
      </c>
      <c r="I238" s="5">
        <v>2238</v>
      </c>
      <c r="J238" s="3" t="s">
        <v>11</v>
      </c>
    </row>
    <row r="239" spans="1:10" x14ac:dyDescent="0.35">
      <c r="A239" s="3">
        <v>103410029</v>
      </c>
      <c r="B239" s="3" t="s">
        <v>24</v>
      </c>
      <c r="C239" s="3" t="str">
        <f t="shared" si="6"/>
        <v>2022-07-07</v>
      </c>
      <c r="D239" s="3" t="s">
        <v>9</v>
      </c>
      <c r="E239" s="3" t="s">
        <v>5</v>
      </c>
      <c r="F239" s="3" t="s">
        <v>10</v>
      </c>
      <c r="G239" s="3" t="s">
        <v>25</v>
      </c>
      <c r="H239" s="3" t="s">
        <v>26</v>
      </c>
      <c r="I239" s="5">
        <v>4999</v>
      </c>
      <c r="J239" s="3" t="s">
        <v>11</v>
      </c>
    </row>
    <row r="240" spans="1:10" x14ac:dyDescent="0.35">
      <c r="A240" s="3">
        <v>103410164</v>
      </c>
      <c r="B240" s="3" t="s">
        <v>4751</v>
      </c>
      <c r="C240" s="3" t="str">
        <f t="shared" si="6"/>
        <v>2022-07-07</v>
      </c>
      <c r="D240" s="3" t="s">
        <v>9</v>
      </c>
      <c r="E240" s="3" t="s">
        <v>5</v>
      </c>
      <c r="F240" s="3" t="s">
        <v>10</v>
      </c>
      <c r="G240" s="3" t="s">
        <v>4752</v>
      </c>
      <c r="H240" s="3" t="s">
        <v>4753</v>
      </c>
      <c r="I240" s="4">
        <v>2991.64</v>
      </c>
      <c r="J240" s="3" t="s">
        <v>11</v>
      </c>
    </row>
    <row r="241" spans="1:10" x14ac:dyDescent="0.35">
      <c r="A241" s="3">
        <v>103410026</v>
      </c>
      <c r="B241" s="3" t="s">
        <v>27</v>
      </c>
      <c r="C241" s="3" t="str">
        <f t="shared" si="6"/>
        <v>2022-07-07</v>
      </c>
      <c r="D241" s="3" t="s">
        <v>9</v>
      </c>
      <c r="E241" s="3" t="s">
        <v>5</v>
      </c>
      <c r="F241" s="3" t="s">
        <v>10</v>
      </c>
      <c r="G241" s="3" t="s">
        <v>25</v>
      </c>
      <c r="H241" s="3" t="s">
        <v>26</v>
      </c>
      <c r="I241" s="5">
        <v>4999</v>
      </c>
      <c r="J241" s="3" t="s">
        <v>11</v>
      </c>
    </row>
    <row r="242" spans="1:10" x14ac:dyDescent="0.35">
      <c r="A242" s="3">
        <v>103410160</v>
      </c>
      <c r="B242" s="3" t="s">
        <v>28</v>
      </c>
      <c r="C242" s="3" t="str">
        <f t="shared" si="6"/>
        <v>2022-07-07</v>
      </c>
      <c r="D242" s="3" t="s">
        <v>9</v>
      </c>
      <c r="E242" s="3" t="s">
        <v>5</v>
      </c>
      <c r="F242" s="3" t="s">
        <v>10</v>
      </c>
      <c r="G242" s="3" t="s">
        <v>29</v>
      </c>
      <c r="H242" s="3" t="s">
        <v>30</v>
      </c>
      <c r="I242" s="4">
        <v>2757.37</v>
      </c>
      <c r="J242" s="3" t="s">
        <v>11</v>
      </c>
    </row>
    <row r="243" spans="1:10" x14ac:dyDescent="0.35">
      <c r="A243" s="3">
        <v>103410020</v>
      </c>
      <c r="B243" s="3" t="s">
        <v>31</v>
      </c>
      <c r="C243" s="3" t="str">
        <f t="shared" si="6"/>
        <v>2022-07-07</v>
      </c>
      <c r="D243" s="3" t="s">
        <v>9</v>
      </c>
      <c r="E243" s="3" t="s">
        <v>5</v>
      </c>
      <c r="F243" s="3" t="s">
        <v>10</v>
      </c>
      <c r="G243" s="3" t="s">
        <v>25</v>
      </c>
      <c r="H243" s="3" t="s">
        <v>26</v>
      </c>
      <c r="I243" s="5">
        <v>4999</v>
      </c>
      <c r="J243" s="3" t="s">
        <v>11</v>
      </c>
    </row>
    <row r="244" spans="1:10" x14ac:dyDescent="0.35">
      <c r="A244" s="3">
        <v>103410019</v>
      </c>
      <c r="B244" s="3" t="s">
        <v>32</v>
      </c>
      <c r="C244" s="3" t="str">
        <f t="shared" si="6"/>
        <v>2022-07-07</v>
      </c>
      <c r="D244" s="3" t="s">
        <v>9</v>
      </c>
      <c r="E244" s="3" t="s">
        <v>5</v>
      </c>
      <c r="F244" s="3" t="s">
        <v>10</v>
      </c>
      <c r="G244" s="3" t="s">
        <v>33</v>
      </c>
      <c r="H244" s="3" t="s">
        <v>34</v>
      </c>
      <c r="I244" s="5">
        <v>1269</v>
      </c>
      <c r="J244" s="3" t="s">
        <v>11</v>
      </c>
    </row>
    <row r="245" spans="1:10" x14ac:dyDescent="0.35">
      <c r="A245" s="3">
        <v>103410158</v>
      </c>
      <c r="B245" s="3" t="s">
        <v>35</v>
      </c>
      <c r="C245" s="3" t="str">
        <f t="shared" si="6"/>
        <v>2022-07-07</v>
      </c>
      <c r="D245" s="3" t="s">
        <v>9</v>
      </c>
      <c r="E245" s="3" t="s">
        <v>5</v>
      </c>
      <c r="F245" s="3" t="s">
        <v>10</v>
      </c>
      <c r="G245" s="3" t="s">
        <v>36</v>
      </c>
      <c r="H245" s="3" t="s">
        <v>37</v>
      </c>
      <c r="I245" s="4">
        <v>4859.1000000000004</v>
      </c>
      <c r="J245" s="3" t="s">
        <v>11</v>
      </c>
    </row>
    <row r="246" spans="1:10" x14ac:dyDescent="0.35">
      <c r="A246" s="3">
        <v>103410017</v>
      </c>
      <c r="B246" s="3" t="s">
        <v>38</v>
      </c>
      <c r="C246" s="3" t="str">
        <f t="shared" si="6"/>
        <v>2022-07-07</v>
      </c>
      <c r="D246" s="3" t="s">
        <v>9</v>
      </c>
      <c r="E246" s="3" t="s">
        <v>5</v>
      </c>
      <c r="F246" s="3" t="s">
        <v>10</v>
      </c>
      <c r="G246" s="3" t="s">
        <v>39</v>
      </c>
      <c r="H246" s="3" t="s">
        <v>40</v>
      </c>
      <c r="I246" s="4">
        <v>5603.1</v>
      </c>
      <c r="J246" s="3" t="s">
        <v>11</v>
      </c>
    </row>
    <row r="247" spans="1:10" x14ac:dyDescent="0.35">
      <c r="A247" s="3">
        <v>103410013</v>
      </c>
      <c r="B247" s="3" t="s">
        <v>41</v>
      </c>
      <c r="C247" s="3" t="str">
        <f t="shared" si="6"/>
        <v>2022-07-07</v>
      </c>
      <c r="D247" s="3" t="s">
        <v>9</v>
      </c>
      <c r="E247" s="3" t="s">
        <v>5</v>
      </c>
      <c r="F247" s="3" t="s">
        <v>10</v>
      </c>
      <c r="G247" s="3" t="s">
        <v>42</v>
      </c>
      <c r="H247" s="3" t="s">
        <v>43</v>
      </c>
      <c r="I247" s="5">
        <v>3849</v>
      </c>
      <c r="J247" s="3" t="s">
        <v>11</v>
      </c>
    </row>
    <row r="248" spans="1:10" x14ac:dyDescent="0.35">
      <c r="A248" s="3">
        <v>103410010</v>
      </c>
      <c r="B248" s="3" t="s">
        <v>44</v>
      </c>
      <c r="C248" s="3" t="str">
        <f t="shared" si="6"/>
        <v>2022-07-07</v>
      </c>
      <c r="D248" s="3" t="s">
        <v>9</v>
      </c>
      <c r="E248" s="3" t="s">
        <v>5</v>
      </c>
      <c r="F248" s="3" t="s">
        <v>12</v>
      </c>
      <c r="G248" s="3" t="s">
        <v>45</v>
      </c>
      <c r="H248" s="3" t="s">
        <v>46</v>
      </c>
      <c r="I248" s="4">
        <v>6613.2</v>
      </c>
      <c r="J248" s="3" t="s">
        <v>11</v>
      </c>
    </row>
    <row r="249" spans="1:10" x14ac:dyDescent="0.35">
      <c r="A249" s="3">
        <v>103410008</v>
      </c>
      <c r="B249" s="3" t="s">
        <v>47</v>
      </c>
      <c r="C249" s="3" t="str">
        <f t="shared" si="6"/>
        <v>2022-07-07</v>
      </c>
      <c r="D249" s="3" t="s">
        <v>9</v>
      </c>
      <c r="E249" s="3" t="s">
        <v>5</v>
      </c>
      <c r="F249" s="3" t="s">
        <v>10</v>
      </c>
      <c r="G249" s="3" t="s">
        <v>48</v>
      </c>
      <c r="H249" s="3" t="s">
        <v>49</v>
      </c>
      <c r="I249" s="5">
        <v>3599</v>
      </c>
      <c r="J249" s="3" t="s">
        <v>11</v>
      </c>
    </row>
    <row r="250" spans="1:10" x14ac:dyDescent="0.35">
      <c r="A250" s="3">
        <v>103410007</v>
      </c>
      <c r="B250" s="3" t="s">
        <v>50</v>
      </c>
      <c r="C250" s="3" t="str">
        <f t="shared" si="6"/>
        <v>2022-07-07</v>
      </c>
      <c r="D250" s="3" t="s">
        <v>9</v>
      </c>
      <c r="E250" s="3" t="s">
        <v>5</v>
      </c>
      <c r="F250" s="3" t="s">
        <v>10</v>
      </c>
      <c r="G250" s="3" t="s">
        <v>51</v>
      </c>
      <c r="H250" s="3" t="s">
        <v>52</v>
      </c>
      <c r="I250" s="4">
        <v>1922.89</v>
      </c>
      <c r="J250" s="3" t="s">
        <v>11</v>
      </c>
    </row>
    <row r="251" spans="1:10" x14ac:dyDescent="0.35">
      <c r="A251" s="3">
        <v>103410141</v>
      </c>
      <c r="B251" s="3" t="s">
        <v>53</v>
      </c>
      <c r="C251" s="3" t="str">
        <f t="shared" si="6"/>
        <v>2022-07-07</v>
      </c>
      <c r="D251" s="3" t="s">
        <v>9</v>
      </c>
      <c r="E251" s="3" t="s">
        <v>5</v>
      </c>
      <c r="F251" s="3" t="s">
        <v>10</v>
      </c>
      <c r="G251" s="3" t="s">
        <v>54</v>
      </c>
      <c r="H251" s="3" t="s">
        <v>55</v>
      </c>
      <c r="I251" s="5">
        <v>1399</v>
      </c>
      <c r="J251" s="3" t="s">
        <v>11</v>
      </c>
    </row>
    <row r="252" spans="1:10" x14ac:dyDescent="0.35">
      <c r="A252" s="3">
        <v>103410134</v>
      </c>
      <c r="B252" s="3" t="s">
        <v>56</v>
      </c>
      <c r="C252" s="3" t="str">
        <f t="shared" si="6"/>
        <v>2022-07-07</v>
      </c>
      <c r="D252" s="3" t="s">
        <v>9</v>
      </c>
      <c r="E252" s="3" t="s">
        <v>5</v>
      </c>
      <c r="F252" s="3" t="s">
        <v>10</v>
      </c>
      <c r="G252" s="3" t="s">
        <v>57</v>
      </c>
      <c r="H252" s="3" t="s">
        <v>58</v>
      </c>
      <c r="I252" s="4">
        <v>1110.55</v>
      </c>
      <c r="J252" s="3" t="s">
        <v>11</v>
      </c>
    </row>
    <row r="253" spans="1:10" x14ac:dyDescent="0.35">
      <c r="A253" s="3">
        <v>103410128</v>
      </c>
      <c r="B253" s="3" t="s">
        <v>59</v>
      </c>
      <c r="C253" s="3" t="str">
        <f t="shared" si="6"/>
        <v>2022-07-07</v>
      </c>
      <c r="D253" s="3" t="s">
        <v>9</v>
      </c>
      <c r="E253" s="3" t="s">
        <v>5</v>
      </c>
      <c r="F253" s="3" t="s">
        <v>12</v>
      </c>
      <c r="G253" s="3" t="s">
        <v>60</v>
      </c>
      <c r="H253" s="3" t="s">
        <v>61</v>
      </c>
      <c r="I253" s="5">
        <v>1299</v>
      </c>
      <c r="J253" s="3" t="s">
        <v>11</v>
      </c>
    </row>
    <row r="254" spans="1:10" x14ac:dyDescent="0.35">
      <c r="A254" s="3">
        <v>103410000</v>
      </c>
      <c r="B254" s="3" t="s">
        <v>62</v>
      </c>
      <c r="C254" s="3" t="str">
        <f t="shared" si="6"/>
        <v>2022-07-07</v>
      </c>
      <c r="D254" s="3" t="s">
        <v>9</v>
      </c>
      <c r="E254" s="3" t="s">
        <v>5</v>
      </c>
      <c r="F254" s="3" t="s">
        <v>10</v>
      </c>
      <c r="G254" s="3" t="s">
        <v>63</v>
      </c>
      <c r="H254" s="3" t="s">
        <v>64</v>
      </c>
      <c r="I254" s="5">
        <v>9898</v>
      </c>
      <c r="J254" s="3" t="s">
        <v>11</v>
      </c>
    </row>
    <row r="255" spans="1:10" x14ac:dyDescent="0.35">
      <c r="A255" s="3">
        <v>103410123</v>
      </c>
      <c r="B255" s="3" t="s">
        <v>65</v>
      </c>
      <c r="C255" s="3" t="str">
        <f t="shared" si="6"/>
        <v>2022-07-07</v>
      </c>
      <c r="D255" s="3" t="s">
        <v>9</v>
      </c>
      <c r="E255" s="3" t="s">
        <v>5</v>
      </c>
      <c r="F255" s="3" t="s">
        <v>10</v>
      </c>
      <c r="G255" s="3" t="s">
        <v>66</v>
      </c>
      <c r="H255" s="3" t="s">
        <v>67</v>
      </c>
      <c r="I255" s="4">
        <v>2699.1</v>
      </c>
      <c r="J255" s="3" t="s">
        <v>11</v>
      </c>
    </row>
    <row r="256" spans="1:10" x14ac:dyDescent="0.35">
      <c r="A256" s="3">
        <v>103410121</v>
      </c>
      <c r="B256" s="3" t="s">
        <v>68</v>
      </c>
      <c r="C256" s="3" t="str">
        <f t="shared" si="6"/>
        <v>2022-07-07</v>
      </c>
      <c r="D256" s="3" t="s">
        <v>9</v>
      </c>
      <c r="E256" s="3" t="s">
        <v>5</v>
      </c>
      <c r="F256" s="3" t="s">
        <v>10</v>
      </c>
      <c r="G256" s="3" t="s">
        <v>69</v>
      </c>
      <c r="H256" s="3" t="s">
        <v>70</v>
      </c>
      <c r="I256" s="4">
        <v>4273.29</v>
      </c>
      <c r="J256" s="3" t="s">
        <v>11</v>
      </c>
    </row>
    <row r="257" spans="1:10" x14ac:dyDescent="0.35">
      <c r="A257" s="3">
        <v>103409996</v>
      </c>
      <c r="B257" s="3" t="s">
        <v>71</v>
      </c>
      <c r="C257" s="3" t="str">
        <f t="shared" si="6"/>
        <v>2022-07-07</v>
      </c>
      <c r="D257" s="3" t="s">
        <v>9</v>
      </c>
      <c r="E257" s="3" t="s">
        <v>5</v>
      </c>
      <c r="F257" s="3" t="s">
        <v>10</v>
      </c>
      <c r="G257" s="3" t="s">
        <v>72</v>
      </c>
      <c r="H257" s="3" t="s">
        <v>73</v>
      </c>
      <c r="I257" s="5">
        <v>2919</v>
      </c>
      <c r="J257" s="3" t="s">
        <v>11</v>
      </c>
    </row>
    <row r="258" spans="1:10" x14ac:dyDescent="0.35">
      <c r="A258" s="3">
        <v>103409995</v>
      </c>
      <c r="B258" s="3" t="s">
        <v>74</v>
      </c>
      <c r="C258" s="3" t="str">
        <f t="shared" si="6"/>
        <v>2022-07-07</v>
      </c>
      <c r="D258" s="3" t="s">
        <v>9</v>
      </c>
      <c r="E258" s="3" t="s">
        <v>5</v>
      </c>
      <c r="F258" s="3" t="s">
        <v>12</v>
      </c>
      <c r="G258" s="3" t="s">
        <v>75</v>
      </c>
      <c r="H258" s="3" t="s">
        <v>76</v>
      </c>
      <c r="I258" s="5">
        <v>1379</v>
      </c>
      <c r="J258" s="3" t="s">
        <v>11</v>
      </c>
    </row>
    <row r="259" spans="1:10" x14ac:dyDescent="0.35">
      <c r="A259" s="3">
        <v>103409991</v>
      </c>
      <c r="B259" s="3" t="s">
        <v>77</v>
      </c>
      <c r="C259" s="3" t="str">
        <f t="shared" ref="C259:C322" si="7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78</v>
      </c>
      <c r="H259" s="3" t="s">
        <v>79</v>
      </c>
      <c r="I259" s="3">
        <v>512.04999999999995</v>
      </c>
      <c r="J259" s="3" t="s">
        <v>11</v>
      </c>
    </row>
    <row r="260" spans="1:10" x14ac:dyDescent="0.35">
      <c r="A260" s="3">
        <v>103410117</v>
      </c>
      <c r="B260" s="3" t="s">
        <v>80</v>
      </c>
      <c r="C260" s="3" t="str">
        <f t="shared" si="7"/>
        <v>2022-07-07</v>
      </c>
      <c r="D260" s="3" t="s">
        <v>9</v>
      </c>
      <c r="E260" s="3" t="s">
        <v>5</v>
      </c>
      <c r="F260" s="3" t="s">
        <v>10</v>
      </c>
      <c r="G260" s="3" t="s">
        <v>81</v>
      </c>
      <c r="H260" s="3" t="s">
        <v>82</v>
      </c>
      <c r="I260" s="4">
        <v>2029.72</v>
      </c>
      <c r="J260" s="3" t="s">
        <v>11</v>
      </c>
    </row>
    <row r="261" spans="1:10" x14ac:dyDescent="0.35">
      <c r="A261" s="3">
        <v>103410113</v>
      </c>
      <c r="B261" s="3" t="s">
        <v>83</v>
      </c>
      <c r="C261" s="3" t="str">
        <f t="shared" si="7"/>
        <v>2022-07-07</v>
      </c>
      <c r="D261" s="3" t="s">
        <v>9</v>
      </c>
      <c r="E261" s="3" t="s">
        <v>5</v>
      </c>
      <c r="F261" s="3" t="s">
        <v>12</v>
      </c>
      <c r="G261" s="3" t="s">
        <v>84</v>
      </c>
      <c r="H261" s="3" t="s">
        <v>85</v>
      </c>
      <c r="I261" s="4">
        <v>3521.65</v>
      </c>
      <c r="J261" s="3" t="s">
        <v>11</v>
      </c>
    </row>
    <row r="262" spans="1:10" x14ac:dyDescent="0.35">
      <c r="A262" s="3">
        <v>103410109</v>
      </c>
      <c r="B262" s="3" t="s">
        <v>86</v>
      </c>
      <c r="C262" s="3" t="str">
        <f t="shared" si="7"/>
        <v>2022-07-07</v>
      </c>
      <c r="D262" s="3" t="s">
        <v>9</v>
      </c>
      <c r="E262" s="3" t="s">
        <v>5</v>
      </c>
      <c r="F262" s="3" t="s">
        <v>10</v>
      </c>
      <c r="G262" s="3" t="s">
        <v>87</v>
      </c>
      <c r="H262" s="3" t="s">
        <v>88</v>
      </c>
      <c r="I262" s="3">
        <v>768.55</v>
      </c>
      <c r="J262" s="3" t="s">
        <v>11</v>
      </c>
    </row>
    <row r="263" spans="1:10" x14ac:dyDescent="0.35">
      <c r="A263" s="3">
        <v>103409985</v>
      </c>
      <c r="B263" s="3" t="s">
        <v>89</v>
      </c>
      <c r="C263" s="3" t="str">
        <f t="shared" si="7"/>
        <v>2022-07-07</v>
      </c>
      <c r="D263" s="3" t="s">
        <v>9</v>
      </c>
      <c r="E263" s="3" t="s">
        <v>5</v>
      </c>
      <c r="F263" s="3" t="s">
        <v>12</v>
      </c>
      <c r="G263" s="3" t="s">
        <v>90</v>
      </c>
      <c r="H263" s="3" t="s">
        <v>91</v>
      </c>
      <c r="I263" s="3">
        <v>740.05</v>
      </c>
      <c r="J263" s="3" t="s">
        <v>11</v>
      </c>
    </row>
    <row r="264" spans="1:10" x14ac:dyDescent="0.35">
      <c r="A264" s="3">
        <v>103410100</v>
      </c>
      <c r="B264" s="3" t="s">
        <v>92</v>
      </c>
      <c r="C264" s="3" t="str">
        <f t="shared" si="7"/>
        <v>2022-07-07</v>
      </c>
      <c r="D264" s="3" t="s">
        <v>9</v>
      </c>
      <c r="E264" s="3" t="s">
        <v>5</v>
      </c>
      <c r="F264" s="3" t="s">
        <v>10</v>
      </c>
      <c r="G264" s="3" t="s">
        <v>93</v>
      </c>
      <c r="H264" s="3" t="s">
        <v>94</v>
      </c>
      <c r="I264" s="4">
        <v>3704.05</v>
      </c>
      <c r="J264" s="3" t="s">
        <v>11</v>
      </c>
    </row>
    <row r="265" spans="1:10" x14ac:dyDescent="0.35">
      <c r="A265" s="3">
        <v>103410099</v>
      </c>
      <c r="B265" s="3" t="s">
        <v>95</v>
      </c>
      <c r="C265" s="3" t="str">
        <f t="shared" si="7"/>
        <v>2022-07-07</v>
      </c>
      <c r="D265" s="3" t="s">
        <v>9</v>
      </c>
      <c r="E265" s="3" t="s">
        <v>5</v>
      </c>
      <c r="F265" s="3" t="s">
        <v>10</v>
      </c>
      <c r="G265" s="3" t="s">
        <v>96</v>
      </c>
      <c r="H265" s="3" t="s">
        <v>97</v>
      </c>
      <c r="I265" s="4">
        <v>1196.05</v>
      </c>
      <c r="J265" s="3" t="s">
        <v>11</v>
      </c>
    </row>
    <row r="266" spans="1:10" x14ac:dyDescent="0.35">
      <c r="A266" s="3">
        <v>103409982</v>
      </c>
      <c r="B266" s="3" t="s">
        <v>98</v>
      </c>
      <c r="C266" s="3" t="str">
        <f t="shared" si="7"/>
        <v>2022-07-07</v>
      </c>
      <c r="D266" s="3" t="s">
        <v>9</v>
      </c>
      <c r="E266" s="3" t="s">
        <v>5</v>
      </c>
      <c r="F266" s="3" t="s">
        <v>10</v>
      </c>
      <c r="G266" s="3" t="s">
        <v>99</v>
      </c>
      <c r="H266" s="3" t="s">
        <v>100</v>
      </c>
      <c r="I266" s="3">
        <v>797.05</v>
      </c>
      <c r="J266" s="3" t="s">
        <v>11</v>
      </c>
    </row>
    <row r="267" spans="1:10" x14ac:dyDescent="0.35">
      <c r="A267" s="3">
        <v>103410096</v>
      </c>
      <c r="B267" s="3" t="s">
        <v>101</v>
      </c>
      <c r="C267" s="3" t="str">
        <f t="shared" si="7"/>
        <v>2022-07-07</v>
      </c>
      <c r="D267" s="3" t="s">
        <v>9</v>
      </c>
      <c r="E267" s="3" t="s">
        <v>5</v>
      </c>
      <c r="F267" s="3" t="s">
        <v>10</v>
      </c>
      <c r="G267" s="3" t="s">
        <v>33</v>
      </c>
      <c r="H267" s="3" t="s">
        <v>34</v>
      </c>
      <c r="I267" s="5">
        <v>1369</v>
      </c>
      <c r="J267" s="3" t="s">
        <v>11</v>
      </c>
    </row>
    <row r="268" spans="1:10" x14ac:dyDescent="0.35">
      <c r="A268" s="3">
        <v>103409981</v>
      </c>
      <c r="B268" s="3" t="s">
        <v>102</v>
      </c>
      <c r="C268" s="3" t="str">
        <f t="shared" si="7"/>
        <v>2022-07-07</v>
      </c>
      <c r="D268" s="3" t="s">
        <v>9</v>
      </c>
      <c r="E268" s="3" t="s">
        <v>5</v>
      </c>
      <c r="F268" s="3" t="s">
        <v>12</v>
      </c>
      <c r="G268" s="3" t="s">
        <v>103</v>
      </c>
      <c r="H268" s="3" t="s">
        <v>104</v>
      </c>
      <c r="I268" s="3">
        <v>635.54999999999995</v>
      </c>
      <c r="J268" s="3" t="s">
        <v>11</v>
      </c>
    </row>
    <row r="269" spans="1:10" x14ac:dyDescent="0.35">
      <c r="A269" s="3">
        <v>103410084</v>
      </c>
      <c r="B269" s="3" t="s">
        <v>105</v>
      </c>
      <c r="C269" s="3" t="str">
        <f t="shared" si="7"/>
        <v>2022-07-07</v>
      </c>
      <c r="D269" s="3" t="s">
        <v>9</v>
      </c>
      <c r="E269" s="3" t="s">
        <v>5</v>
      </c>
      <c r="F269" s="3" t="s">
        <v>10</v>
      </c>
      <c r="G269" s="3" t="s">
        <v>106</v>
      </c>
      <c r="H269" s="3" t="s">
        <v>107</v>
      </c>
      <c r="I269" s="5">
        <v>2199</v>
      </c>
      <c r="J269" s="3" t="s">
        <v>11</v>
      </c>
    </row>
    <row r="270" spans="1:10" x14ac:dyDescent="0.35">
      <c r="A270" s="3">
        <v>103410082</v>
      </c>
      <c r="B270" s="3" t="s">
        <v>108</v>
      </c>
      <c r="C270" s="3" t="str">
        <f t="shared" si="7"/>
        <v>2022-07-07</v>
      </c>
      <c r="D270" s="3" t="s">
        <v>9</v>
      </c>
      <c r="E270" s="3" t="s">
        <v>5</v>
      </c>
      <c r="F270" s="3" t="s">
        <v>10</v>
      </c>
      <c r="G270" s="3" t="s">
        <v>109</v>
      </c>
      <c r="H270" s="3" t="s">
        <v>110</v>
      </c>
      <c r="I270" s="5">
        <v>1199</v>
      </c>
      <c r="J270" s="3" t="s">
        <v>11</v>
      </c>
    </row>
    <row r="271" spans="1:10" x14ac:dyDescent="0.35">
      <c r="A271" s="3">
        <v>103409975</v>
      </c>
      <c r="B271" s="3" t="s">
        <v>111</v>
      </c>
      <c r="C271" s="3" t="str">
        <f t="shared" si="7"/>
        <v>2022-07-07</v>
      </c>
      <c r="D271" s="3" t="s">
        <v>9</v>
      </c>
      <c r="E271" s="3" t="s">
        <v>5</v>
      </c>
      <c r="F271" s="3" t="s">
        <v>10</v>
      </c>
      <c r="G271" s="3" t="s">
        <v>112</v>
      </c>
      <c r="H271" s="3" t="s">
        <v>113</v>
      </c>
      <c r="I271" s="4">
        <v>5229.75</v>
      </c>
      <c r="J271" s="3" t="s">
        <v>11</v>
      </c>
    </row>
    <row r="272" spans="1:10" x14ac:dyDescent="0.35">
      <c r="A272" s="3">
        <v>103410080</v>
      </c>
      <c r="B272" s="3" t="s">
        <v>114</v>
      </c>
      <c r="C272" s="3" t="str">
        <f t="shared" si="7"/>
        <v>2022-07-07</v>
      </c>
      <c r="D272" s="3" t="s">
        <v>9</v>
      </c>
      <c r="E272" s="3" t="s">
        <v>5</v>
      </c>
      <c r="F272" s="3" t="s">
        <v>10</v>
      </c>
      <c r="G272" s="3" t="s">
        <v>115</v>
      </c>
      <c r="H272" s="3" t="s">
        <v>116</v>
      </c>
      <c r="I272" s="5">
        <v>1678</v>
      </c>
      <c r="J272" s="3" t="s">
        <v>11</v>
      </c>
    </row>
    <row r="273" spans="1:10" x14ac:dyDescent="0.35">
      <c r="A273" s="3">
        <v>103410077</v>
      </c>
      <c r="B273" s="3" t="s">
        <v>117</v>
      </c>
      <c r="C273" s="3" t="str">
        <f t="shared" si="7"/>
        <v>2022-07-07</v>
      </c>
      <c r="D273" s="3" t="s">
        <v>9</v>
      </c>
      <c r="E273" s="3" t="s">
        <v>5</v>
      </c>
      <c r="F273" s="3" t="s">
        <v>10</v>
      </c>
      <c r="G273" s="3" t="s">
        <v>118</v>
      </c>
      <c r="H273" s="3" t="s">
        <v>119</v>
      </c>
      <c r="I273" s="3">
        <v>740.05</v>
      </c>
      <c r="J273" s="3" t="s">
        <v>11</v>
      </c>
    </row>
    <row r="274" spans="1:10" x14ac:dyDescent="0.35">
      <c r="A274" s="3">
        <v>103410074</v>
      </c>
      <c r="B274" s="3" t="s">
        <v>120</v>
      </c>
      <c r="C274" s="3" t="str">
        <f t="shared" si="7"/>
        <v>2022-07-07</v>
      </c>
      <c r="D274" s="3" t="s">
        <v>9</v>
      </c>
      <c r="E274" s="3" t="s">
        <v>5</v>
      </c>
      <c r="F274" s="3" t="s">
        <v>10</v>
      </c>
      <c r="G274" s="3" t="s">
        <v>121</v>
      </c>
      <c r="H274" s="3" t="s">
        <v>122</v>
      </c>
      <c r="I274" s="5">
        <v>3499</v>
      </c>
      <c r="J274" s="3" t="s">
        <v>11</v>
      </c>
    </row>
    <row r="275" spans="1:10" x14ac:dyDescent="0.35">
      <c r="A275" s="3">
        <v>103410068</v>
      </c>
      <c r="B275" s="3" t="s">
        <v>123</v>
      </c>
      <c r="C275" s="3" t="str">
        <f t="shared" si="7"/>
        <v>2022-07-07</v>
      </c>
      <c r="D275" s="3" t="s">
        <v>9</v>
      </c>
      <c r="E275" s="3" t="s">
        <v>5</v>
      </c>
      <c r="F275" s="3" t="s">
        <v>10</v>
      </c>
      <c r="G275" s="3" t="s">
        <v>124</v>
      </c>
      <c r="H275" s="3" t="s">
        <v>125</v>
      </c>
      <c r="I275" s="5">
        <v>1399</v>
      </c>
      <c r="J275" s="3" t="s">
        <v>11</v>
      </c>
    </row>
    <row r="276" spans="1:10" x14ac:dyDescent="0.35">
      <c r="A276" s="3">
        <v>103410067</v>
      </c>
      <c r="B276" s="3" t="s">
        <v>126</v>
      </c>
      <c r="C276" s="3" t="str">
        <f t="shared" si="7"/>
        <v>2022-07-07</v>
      </c>
      <c r="D276" s="3" t="s">
        <v>9</v>
      </c>
      <c r="E276" s="3" t="s">
        <v>5</v>
      </c>
      <c r="F276" s="3" t="s">
        <v>12</v>
      </c>
      <c r="G276" s="3" t="s">
        <v>127</v>
      </c>
      <c r="H276" s="3" t="s">
        <v>128</v>
      </c>
      <c r="I276" s="5">
        <v>9999</v>
      </c>
      <c r="J276" s="3" t="s">
        <v>11</v>
      </c>
    </row>
    <row r="277" spans="1:10" x14ac:dyDescent="0.35">
      <c r="A277" s="3">
        <v>103409971</v>
      </c>
      <c r="B277" s="3" t="s">
        <v>129</v>
      </c>
      <c r="C277" s="3" t="str">
        <f t="shared" si="7"/>
        <v>2022-07-07</v>
      </c>
      <c r="D277" s="3" t="s">
        <v>9</v>
      </c>
      <c r="E277" s="3" t="s">
        <v>5</v>
      </c>
      <c r="F277" s="3" t="s">
        <v>10</v>
      </c>
      <c r="G277" s="3" t="s">
        <v>130</v>
      </c>
      <c r="H277" s="3" t="s">
        <v>131</v>
      </c>
      <c r="I277" s="5">
        <v>2269</v>
      </c>
      <c r="J277" s="3" t="s">
        <v>11</v>
      </c>
    </row>
    <row r="278" spans="1:10" x14ac:dyDescent="0.35">
      <c r="A278" s="3">
        <v>103409970</v>
      </c>
      <c r="B278" s="3" t="s">
        <v>132</v>
      </c>
      <c r="C278" s="3" t="str">
        <f t="shared" si="7"/>
        <v>2022-07-07</v>
      </c>
      <c r="D278" s="3" t="s">
        <v>9</v>
      </c>
      <c r="E278" s="3" t="s">
        <v>5</v>
      </c>
      <c r="F278" s="3" t="s">
        <v>10</v>
      </c>
      <c r="G278" s="3" t="s">
        <v>133</v>
      </c>
      <c r="H278" s="3" t="s">
        <v>134</v>
      </c>
      <c r="I278" s="3">
        <v>768.55</v>
      </c>
      <c r="J278" s="3" t="s">
        <v>11</v>
      </c>
    </row>
    <row r="279" spans="1:10" x14ac:dyDescent="0.35">
      <c r="A279" s="3">
        <v>103409964</v>
      </c>
      <c r="B279" s="3" t="s">
        <v>135</v>
      </c>
      <c r="C279" s="3" t="str">
        <f t="shared" si="7"/>
        <v>2022-07-07</v>
      </c>
      <c r="D279" s="3" t="s">
        <v>9</v>
      </c>
      <c r="E279" s="3" t="s">
        <v>5</v>
      </c>
      <c r="F279" s="3" t="s">
        <v>10</v>
      </c>
      <c r="G279" s="3" t="s">
        <v>136</v>
      </c>
      <c r="H279" s="3" t="s">
        <v>137</v>
      </c>
      <c r="I279" s="4">
        <v>3304.1</v>
      </c>
      <c r="J279" s="3" t="s">
        <v>11</v>
      </c>
    </row>
    <row r="280" spans="1:10" x14ac:dyDescent="0.35">
      <c r="A280" s="3">
        <v>103409962</v>
      </c>
      <c r="B280" s="3" t="s">
        <v>138</v>
      </c>
      <c r="C280" s="3" t="str">
        <f t="shared" si="7"/>
        <v>2022-07-07</v>
      </c>
      <c r="D280" s="3" t="s">
        <v>9</v>
      </c>
      <c r="E280" s="3" t="s">
        <v>5</v>
      </c>
      <c r="F280" s="3" t="s">
        <v>12</v>
      </c>
      <c r="G280" s="3" t="s">
        <v>139</v>
      </c>
      <c r="H280" s="3" t="s">
        <v>140</v>
      </c>
      <c r="I280" s="5">
        <v>1838</v>
      </c>
      <c r="J280" s="3" t="s">
        <v>11</v>
      </c>
    </row>
    <row r="281" spans="1:10" x14ac:dyDescent="0.35">
      <c r="A281" s="3">
        <v>103409961</v>
      </c>
      <c r="B281" s="3" t="s">
        <v>141</v>
      </c>
      <c r="C281" s="3" t="str">
        <f t="shared" si="7"/>
        <v>2022-07-07</v>
      </c>
      <c r="D281" s="3" t="s">
        <v>9</v>
      </c>
      <c r="E281" s="3" t="s">
        <v>5</v>
      </c>
      <c r="F281" s="3" t="s">
        <v>12</v>
      </c>
      <c r="G281" s="3" t="s">
        <v>142</v>
      </c>
      <c r="H281" s="3" t="s">
        <v>143</v>
      </c>
      <c r="I281" s="4">
        <v>6174.05</v>
      </c>
      <c r="J281" s="3" t="s">
        <v>11</v>
      </c>
    </row>
    <row r="282" spans="1:10" x14ac:dyDescent="0.35">
      <c r="A282" s="3">
        <v>103409954</v>
      </c>
      <c r="B282" s="3" t="s">
        <v>144</v>
      </c>
      <c r="C282" s="3" t="str">
        <f t="shared" si="7"/>
        <v>2022-07-07</v>
      </c>
      <c r="D282" s="3" t="s">
        <v>9</v>
      </c>
      <c r="E282" s="3" t="s">
        <v>5</v>
      </c>
      <c r="F282" s="3" t="s">
        <v>12</v>
      </c>
      <c r="G282" s="3" t="s">
        <v>145</v>
      </c>
      <c r="H282" s="3" t="s">
        <v>146</v>
      </c>
      <c r="I282" s="4">
        <v>2345.5500000000002</v>
      </c>
      <c r="J282" s="3" t="s">
        <v>11</v>
      </c>
    </row>
    <row r="283" spans="1:10" x14ac:dyDescent="0.35">
      <c r="A283" s="3">
        <v>103409953</v>
      </c>
      <c r="B283" s="3" t="s">
        <v>147</v>
      </c>
      <c r="C283" s="3" t="str">
        <f t="shared" si="7"/>
        <v>2022-07-07</v>
      </c>
      <c r="D283" s="3" t="s">
        <v>9</v>
      </c>
      <c r="E283" s="3" t="s">
        <v>5</v>
      </c>
      <c r="F283" s="3" t="s">
        <v>10</v>
      </c>
      <c r="G283" s="3" t="s">
        <v>148</v>
      </c>
      <c r="H283" s="3" t="s">
        <v>149</v>
      </c>
      <c r="I283" s="4">
        <v>1799.1</v>
      </c>
      <c r="J283" s="3" t="s">
        <v>11</v>
      </c>
    </row>
    <row r="284" spans="1:10" x14ac:dyDescent="0.35">
      <c r="A284" s="3">
        <v>103409945</v>
      </c>
      <c r="B284" s="3" t="s">
        <v>150</v>
      </c>
      <c r="C284" s="3" t="str">
        <f t="shared" si="7"/>
        <v>2022-07-07</v>
      </c>
      <c r="D284" s="3" t="s">
        <v>9</v>
      </c>
      <c r="E284" s="3" t="s">
        <v>5</v>
      </c>
      <c r="F284" s="3" t="s">
        <v>12</v>
      </c>
      <c r="G284" s="3" t="s">
        <v>151</v>
      </c>
      <c r="H284" s="3" t="s">
        <v>152</v>
      </c>
      <c r="I284" s="5">
        <v>4899</v>
      </c>
      <c r="J284" s="3" t="s">
        <v>11</v>
      </c>
    </row>
    <row r="285" spans="1:10" x14ac:dyDescent="0.35">
      <c r="A285" s="3">
        <v>103409762</v>
      </c>
      <c r="B285" s="3" t="s">
        <v>4754</v>
      </c>
      <c r="C285" s="3" t="str">
        <f t="shared" si="7"/>
        <v>2022-07-07</v>
      </c>
      <c r="D285" s="3" t="s">
        <v>9</v>
      </c>
      <c r="E285" s="3" t="s">
        <v>5</v>
      </c>
      <c r="F285" s="3" t="s">
        <v>10</v>
      </c>
      <c r="G285" s="3" t="s">
        <v>121</v>
      </c>
      <c r="H285" s="3" t="s">
        <v>122</v>
      </c>
      <c r="I285" s="3">
        <v>417.05</v>
      </c>
      <c r="J285" s="3" t="s">
        <v>13</v>
      </c>
    </row>
    <row r="286" spans="1:10" x14ac:dyDescent="0.35">
      <c r="A286" s="3">
        <v>103409941</v>
      </c>
      <c r="B286" s="3" t="s">
        <v>153</v>
      </c>
      <c r="C286" s="3" t="str">
        <f t="shared" si="7"/>
        <v>2022-07-07</v>
      </c>
      <c r="D286" s="3" t="s">
        <v>9</v>
      </c>
      <c r="E286" s="3" t="s">
        <v>5</v>
      </c>
      <c r="F286" s="3" t="s">
        <v>10</v>
      </c>
      <c r="G286" s="3" t="s">
        <v>154</v>
      </c>
      <c r="H286" s="3" t="s">
        <v>155</v>
      </c>
      <c r="I286" s="3">
        <v>569.04999999999995</v>
      </c>
      <c r="J286" s="3" t="s">
        <v>11</v>
      </c>
    </row>
    <row r="287" spans="1:10" x14ac:dyDescent="0.35">
      <c r="A287" s="3">
        <v>103409757</v>
      </c>
      <c r="B287" s="3" t="s">
        <v>156</v>
      </c>
      <c r="C287" s="3" t="str">
        <f t="shared" si="7"/>
        <v>2022-07-07</v>
      </c>
      <c r="D287" s="3" t="s">
        <v>9</v>
      </c>
      <c r="E287" s="3" t="s">
        <v>5</v>
      </c>
      <c r="F287" s="3" t="s">
        <v>10</v>
      </c>
      <c r="G287" s="3" t="s">
        <v>157</v>
      </c>
      <c r="H287" s="3" t="s">
        <v>158</v>
      </c>
      <c r="I287" s="4">
        <v>4008.05</v>
      </c>
      <c r="J287" s="3" t="s">
        <v>11</v>
      </c>
    </row>
    <row r="288" spans="1:10" x14ac:dyDescent="0.35">
      <c r="A288" s="3">
        <v>103409926</v>
      </c>
      <c r="B288" s="3" t="s">
        <v>159</v>
      </c>
      <c r="C288" s="3" t="str">
        <f t="shared" si="7"/>
        <v>2022-07-07</v>
      </c>
      <c r="D288" s="3" t="s">
        <v>9</v>
      </c>
      <c r="E288" s="3" t="s">
        <v>5</v>
      </c>
      <c r="F288" s="3" t="s">
        <v>10</v>
      </c>
      <c r="G288" s="3" t="s">
        <v>160</v>
      </c>
      <c r="H288" s="3" t="s">
        <v>161</v>
      </c>
      <c r="I288" s="5">
        <v>1249</v>
      </c>
      <c r="J288" s="3" t="s">
        <v>11</v>
      </c>
    </row>
    <row r="289" spans="1:10" x14ac:dyDescent="0.35">
      <c r="A289" s="3">
        <v>103409923</v>
      </c>
      <c r="B289" s="3" t="s">
        <v>162</v>
      </c>
      <c r="C289" s="3" t="str">
        <f t="shared" si="7"/>
        <v>2022-07-07</v>
      </c>
      <c r="D289" s="3" t="s">
        <v>9</v>
      </c>
      <c r="E289" s="3" t="s">
        <v>5</v>
      </c>
      <c r="F289" s="3" t="s">
        <v>10</v>
      </c>
      <c r="G289" s="3" t="s">
        <v>163</v>
      </c>
      <c r="H289" s="3" t="s">
        <v>164</v>
      </c>
      <c r="I289" s="5">
        <v>2999</v>
      </c>
      <c r="J289" s="3" t="s">
        <v>11</v>
      </c>
    </row>
    <row r="290" spans="1:10" x14ac:dyDescent="0.35">
      <c r="A290" s="3">
        <v>103409755</v>
      </c>
      <c r="B290" s="3" t="s">
        <v>165</v>
      </c>
      <c r="C290" s="3" t="str">
        <f t="shared" si="7"/>
        <v>2022-07-07</v>
      </c>
      <c r="D290" s="3" t="s">
        <v>9</v>
      </c>
      <c r="E290" s="3" t="s">
        <v>5</v>
      </c>
      <c r="F290" s="3" t="s">
        <v>10</v>
      </c>
      <c r="G290" s="3" t="s">
        <v>166</v>
      </c>
      <c r="H290" s="3" t="s">
        <v>167</v>
      </c>
      <c r="I290" s="5">
        <v>1539</v>
      </c>
      <c r="J290" s="3" t="s">
        <v>11</v>
      </c>
    </row>
    <row r="291" spans="1:10" x14ac:dyDescent="0.35">
      <c r="A291" s="3">
        <v>103409754</v>
      </c>
      <c r="B291" s="3" t="s">
        <v>168</v>
      </c>
      <c r="C291" s="3" t="str">
        <f t="shared" si="7"/>
        <v>2022-07-07</v>
      </c>
      <c r="D291" s="3" t="s">
        <v>9</v>
      </c>
      <c r="E291" s="3" t="s">
        <v>5</v>
      </c>
      <c r="F291" s="3" t="s">
        <v>10</v>
      </c>
      <c r="G291" s="3" t="s">
        <v>169</v>
      </c>
      <c r="H291" s="3" t="s">
        <v>170</v>
      </c>
      <c r="I291" s="4">
        <v>1994.05</v>
      </c>
      <c r="J291" s="3" t="s">
        <v>11</v>
      </c>
    </row>
    <row r="292" spans="1:10" x14ac:dyDescent="0.35">
      <c r="A292" s="3">
        <v>103409915</v>
      </c>
      <c r="B292" s="3" t="s">
        <v>171</v>
      </c>
      <c r="C292" s="3" t="str">
        <f t="shared" si="7"/>
        <v>2022-07-07</v>
      </c>
      <c r="D292" s="3" t="s">
        <v>9</v>
      </c>
      <c r="E292" s="3" t="s">
        <v>5</v>
      </c>
      <c r="F292" s="3" t="s">
        <v>10</v>
      </c>
      <c r="G292" s="3" t="s">
        <v>172</v>
      </c>
      <c r="H292" s="3" t="s">
        <v>173</v>
      </c>
      <c r="I292" s="4">
        <v>4008.05</v>
      </c>
      <c r="J292" s="3" t="s">
        <v>11</v>
      </c>
    </row>
    <row r="293" spans="1:10" x14ac:dyDescent="0.35">
      <c r="A293" s="3">
        <v>103409911</v>
      </c>
      <c r="B293" s="3" t="s">
        <v>174</v>
      </c>
      <c r="C293" s="3" t="str">
        <f t="shared" si="7"/>
        <v>2022-07-07</v>
      </c>
      <c r="D293" s="3" t="s">
        <v>9</v>
      </c>
      <c r="E293" s="3" t="s">
        <v>5</v>
      </c>
      <c r="F293" s="3" t="s">
        <v>10</v>
      </c>
      <c r="G293" s="3" t="s">
        <v>175</v>
      </c>
      <c r="H293" s="3" t="s">
        <v>176</v>
      </c>
      <c r="I293" s="4">
        <v>1310.05</v>
      </c>
      <c r="J293" s="3" t="s">
        <v>11</v>
      </c>
    </row>
    <row r="294" spans="1:10" x14ac:dyDescent="0.35">
      <c r="A294" s="3">
        <v>103409752</v>
      </c>
      <c r="B294" s="3" t="s">
        <v>177</v>
      </c>
      <c r="C294" s="3" t="str">
        <f t="shared" si="7"/>
        <v>2022-07-07</v>
      </c>
      <c r="D294" s="3" t="s">
        <v>9</v>
      </c>
      <c r="E294" s="3" t="s">
        <v>5</v>
      </c>
      <c r="F294" s="3" t="s">
        <v>10</v>
      </c>
      <c r="G294" s="3" t="s">
        <v>178</v>
      </c>
      <c r="H294" s="3" t="s">
        <v>179</v>
      </c>
      <c r="I294" s="4">
        <v>3134.05</v>
      </c>
      <c r="J294" s="3" t="s">
        <v>11</v>
      </c>
    </row>
    <row r="295" spans="1:10" x14ac:dyDescent="0.35">
      <c r="A295" s="3">
        <v>103409909</v>
      </c>
      <c r="B295" s="3" t="s">
        <v>180</v>
      </c>
      <c r="C295" s="3" t="str">
        <f t="shared" si="7"/>
        <v>2022-07-07</v>
      </c>
      <c r="D295" s="3" t="s">
        <v>9</v>
      </c>
      <c r="E295" s="3" t="s">
        <v>5</v>
      </c>
      <c r="F295" s="3" t="s">
        <v>10</v>
      </c>
      <c r="G295" s="3" t="s">
        <v>181</v>
      </c>
      <c r="H295" s="3" t="s">
        <v>182</v>
      </c>
      <c r="I295" s="3">
        <v>521.54999999999995</v>
      </c>
      <c r="J295" s="3" t="s">
        <v>11</v>
      </c>
    </row>
    <row r="296" spans="1:10" x14ac:dyDescent="0.35">
      <c r="A296" s="3">
        <v>103409907</v>
      </c>
      <c r="B296" s="3" t="s">
        <v>183</v>
      </c>
      <c r="C296" s="3" t="str">
        <f t="shared" si="7"/>
        <v>2022-07-07</v>
      </c>
      <c r="D296" s="3" t="s">
        <v>9</v>
      </c>
      <c r="E296" s="3" t="s">
        <v>5</v>
      </c>
      <c r="F296" s="3" t="s">
        <v>10</v>
      </c>
      <c r="G296" s="3" t="s">
        <v>184</v>
      </c>
      <c r="H296" s="3" t="s">
        <v>185</v>
      </c>
      <c r="I296" s="4">
        <v>1451.6</v>
      </c>
      <c r="J296" s="3" t="s">
        <v>11</v>
      </c>
    </row>
    <row r="297" spans="1:10" x14ac:dyDescent="0.35">
      <c r="A297" s="3">
        <v>103409906</v>
      </c>
      <c r="B297" s="3" t="s">
        <v>186</v>
      </c>
      <c r="C297" s="3" t="str">
        <f t="shared" si="7"/>
        <v>2022-07-07</v>
      </c>
      <c r="D297" s="3" t="s">
        <v>9</v>
      </c>
      <c r="E297" s="3" t="s">
        <v>5</v>
      </c>
      <c r="F297" s="3" t="s">
        <v>10</v>
      </c>
      <c r="G297" s="3" t="s">
        <v>187</v>
      </c>
      <c r="H297" s="3" t="s">
        <v>188</v>
      </c>
      <c r="I297" s="4">
        <v>1025.05</v>
      </c>
      <c r="J297" s="3" t="s">
        <v>11</v>
      </c>
    </row>
    <row r="298" spans="1:10" x14ac:dyDescent="0.35">
      <c r="A298" s="3">
        <v>103409904</v>
      </c>
      <c r="B298" s="3" t="s">
        <v>189</v>
      </c>
      <c r="C298" s="3" t="str">
        <f t="shared" si="7"/>
        <v>2022-07-07</v>
      </c>
      <c r="D298" s="3" t="s">
        <v>9</v>
      </c>
      <c r="E298" s="3" t="s">
        <v>5</v>
      </c>
      <c r="F298" s="3" t="s">
        <v>10</v>
      </c>
      <c r="G298" s="3" t="s">
        <v>190</v>
      </c>
      <c r="H298" s="3" t="s">
        <v>191</v>
      </c>
      <c r="I298" s="4">
        <v>1157.0999999999999</v>
      </c>
      <c r="J298" s="3" t="s">
        <v>11</v>
      </c>
    </row>
    <row r="299" spans="1:10" x14ac:dyDescent="0.35">
      <c r="A299" s="3">
        <v>103409902</v>
      </c>
      <c r="B299" s="3" t="s">
        <v>192</v>
      </c>
      <c r="C299" s="3" t="str">
        <f t="shared" si="7"/>
        <v>2022-07-07</v>
      </c>
      <c r="D299" s="3" t="s">
        <v>9</v>
      </c>
      <c r="E299" s="3" t="s">
        <v>5</v>
      </c>
      <c r="F299" s="3" t="s">
        <v>10</v>
      </c>
      <c r="G299" s="3" t="s">
        <v>193</v>
      </c>
      <c r="H299" s="3" t="s">
        <v>194</v>
      </c>
      <c r="I299" s="4">
        <v>1110.6400000000001</v>
      </c>
      <c r="J299" s="3" t="s">
        <v>11</v>
      </c>
    </row>
    <row r="300" spans="1:10" x14ac:dyDescent="0.35">
      <c r="A300" s="3">
        <v>103409749</v>
      </c>
      <c r="B300" s="3" t="s">
        <v>195</v>
      </c>
      <c r="C300" s="3" t="str">
        <f t="shared" si="7"/>
        <v>2022-07-07</v>
      </c>
      <c r="D300" s="3" t="s">
        <v>9</v>
      </c>
      <c r="E300" s="3" t="s">
        <v>5</v>
      </c>
      <c r="F300" s="3" t="s">
        <v>10</v>
      </c>
      <c r="G300" s="3" t="s">
        <v>196</v>
      </c>
      <c r="H300" s="3" t="s">
        <v>197</v>
      </c>
      <c r="I300" s="4">
        <v>2634.4</v>
      </c>
      <c r="J300" s="3" t="s">
        <v>11</v>
      </c>
    </row>
    <row r="301" spans="1:10" x14ac:dyDescent="0.35">
      <c r="A301" s="3">
        <v>103409748</v>
      </c>
      <c r="B301" s="3" t="s">
        <v>198</v>
      </c>
      <c r="C301" s="3" t="str">
        <f t="shared" si="7"/>
        <v>2022-07-07</v>
      </c>
      <c r="D301" s="3" t="s">
        <v>9</v>
      </c>
      <c r="E301" s="3" t="s">
        <v>5</v>
      </c>
      <c r="F301" s="3" t="s">
        <v>10</v>
      </c>
      <c r="G301" s="3" t="s">
        <v>199</v>
      </c>
      <c r="H301" s="3" t="s">
        <v>200</v>
      </c>
      <c r="I301" s="4">
        <v>4616.1400000000003</v>
      </c>
      <c r="J301" s="3" t="s">
        <v>11</v>
      </c>
    </row>
    <row r="302" spans="1:10" x14ac:dyDescent="0.35">
      <c r="A302" s="3">
        <v>103409746</v>
      </c>
      <c r="B302" s="3" t="s">
        <v>201</v>
      </c>
      <c r="C302" s="3" t="str">
        <f t="shared" si="7"/>
        <v>2022-07-07</v>
      </c>
      <c r="D302" s="3" t="s">
        <v>9</v>
      </c>
      <c r="E302" s="3" t="s">
        <v>5</v>
      </c>
      <c r="F302" s="3" t="s">
        <v>12</v>
      </c>
      <c r="G302" s="3" t="s">
        <v>202</v>
      </c>
      <c r="H302" s="3" t="s">
        <v>203</v>
      </c>
      <c r="I302" s="3">
        <v>797.05</v>
      </c>
      <c r="J302" s="3" t="s">
        <v>11</v>
      </c>
    </row>
    <row r="303" spans="1:10" x14ac:dyDescent="0.35">
      <c r="A303" s="3">
        <v>103409897</v>
      </c>
      <c r="B303" s="3" t="s">
        <v>204</v>
      </c>
      <c r="C303" s="3" t="str">
        <f t="shared" si="7"/>
        <v>2022-07-07</v>
      </c>
      <c r="D303" s="3" t="s">
        <v>9</v>
      </c>
      <c r="E303" s="3" t="s">
        <v>5</v>
      </c>
      <c r="F303" s="3" t="s">
        <v>10</v>
      </c>
      <c r="G303" s="3" t="s">
        <v>205</v>
      </c>
      <c r="H303" s="3" t="s">
        <v>206</v>
      </c>
      <c r="I303" s="4">
        <v>3574.45</v>
      </c>
      <c r="J303" s="3" t="s">
        <v>11</v>
      </c>
    </row>
    <row r="304" spans="1:10" x14ac:dyDescent="0.35">
      <c r="A304" s="3">
        <v>103409744</v>
      </c>
      <c r="B304" s="3" t="s">
        <v>207</v>
      </c>
      <c r="C304" s="3" t="str">
        <f t="shared" si="7"/>
        <v>2022-07-07</v>
      </c>
      <c r="D304" s="3" t="s">
        <v>9</v>
      </c>
      <c r="E304" s="3" t="s">
        <v>5</v>
      </c>
      <c r="F304" s="3" t="s">
        <v>10</v>
      </c>
      <c r="G304" s="3" t="s">
        <v>208</v>
      </c>
      <c r="H304" s="3" t="s">
        <v>209</v>
      </c>
      <c r="I304" s="4">
        <v>3324.05</v>
      </c>
      <c r="J304" s="3" t="s">
        <v>11</v>
      </c>
    </row>
    <row r="305" spans="1:10" x14ac:dyDescent="0.35">
      <c r="A305" s="3">
        <v>103409893</v>
      </c>
      <c r="B305" s="3" t="s">
        <v>210</v>
      </c>
      <c r="C305" s="3" t="str">
        <f t="shared" si="7"/>
        <v>2022-07-07</v>
      </c>
      <c r="D305" s="3" t="s">
        <v>9</v>
      </c>
      <c r="E305" s="3" t="s">
        <v>5</v>
      </c>
      <c r="F305" s="3" t="s">
        <v>10</v>
      </c>
      <c r="G305" s="3" t="s">
        <v>211</v>
      </c>
      <c r="H305" s="3" t="s">
        <v>212</v>
      </c>
      <c r="I305" s="4">
        <v>4984.6499999999996</v>
      </c>
      <c r="J305" s="3" t="s">
        <v>11</v>
      </c>
    </row>
    <row r="306" spans="1:10" x14ac:dyDescent="0.35">
      <c r="A306" s="3">
        <v>103409741</v>
      </c>
      <c r="B306" s="3" t="s">
        <v>213</v>
      </c>
      <c r="C306" s="3" t="str">
        <f t="shared" si="7"/>
        <v>2022-07-07</v>
      </c>
      <c r="D306" s="3" t="s">
        <v>9</v>
      </c>
      <c r="E306" s="3" t="s">
        <v>5</v>
      </c>
      <c r="F306" s="3" t="s">
        <v>10</v>
      </c>
      <c r="G306" s="3" t="s">
        <v>160</v>
      </c>
      <c r="H306" s="3" t="s">
        <v>161</v>
      </c>
      <c r="I306" s="5">
        <v>1259</v>
      </c>
      <c r="J306" s="3" t="s">
        <v>11</v>
      </c>
    </row>
    <row r="307" spans="1:10" x14ac:dyDescent="0.35">
      <c r="A307" s="3">
        <v>103409739</v>
      </c>
      <c r="B307" s="3" t="s">
        <v>214</v>
      </c>
      <c r="C307" s="3" t="str">
        <f t="shared" si="7"/>
        <v>2022-07-07</v>
      </c>
      <c r="D307" s="3" t="s">
        <v>9</v>
      </c>
      <c r="E307" s="3" t="s">
        <v>5</v>
      </c>
      <c r="F307" s="3" t="s">
        <v>10</v>
      </c>
      <c r="G307" s="3" t="s">
        <v>215</v>
      </c>
      <c r="H307" s="3" t="s">
        <v>216</v>
      </c>
      <c r="I307" s="4">
        <v>6839.05</v>
      </c>
      <c r="J307" s="3" t="s">
        <v>11</v>
      </c>
    </row>
    <row r="308" spans="1:10" x14ac:dyDescent="0.35">
      <c r="A308" s="3">
        <v>103409886</v>
      </c>
      <c r="B308" s="3" t="s">
        <v>217</v>
      </c>
      <c r="C308" s="3" t="str">
        <f t="shared" si="7"/>
        <v>2022-07-07</v>
      </c>
      <c r="D308" s="3" t="s">
        <v>9</v>
      </c>
      <c r="E308" s="3" t="s">
        <v>5</v>
      </c>
      <c r="F308" s="3" t="s">
        <v>10</v>
      </c>
      <c r="G308" s="3" t="s">
        <v>218</v>
      </c>
      <c r="H308" s="3" t="s">
        <v>219</v>
      </c>
      <c r="I308" s="4">
        <v>2041.55</v>
      </c>
      <c r="J308" s="3" t="s">
        <v>11</v>
      </c>
    </row>
    <row r="309" spans="1:10" x14ac:dyDescent="0.35">
      <c r="A309" s="3">
        <v>103409885</v>
      </c>
      <c r="B309" s="3" t="s">
        <v>220</v>
      </c>
      <c r="C309" s="3" t="str">
        <f t="shared" si="7"/>
        <v>2022-07-07</v>
      </c>
      <c r="D309" s="3" t="s">
        <v>9</v>
      </c>
      <c r="E309" s="3" t="s">
        <v>5</v>
      </c>
      <c r="F309" s="3" t="s">
        <v>10</v>
      </c>
      <c r="G309" s="3" t="s">
        <v>221</v>
      </c>
      <c r="H309" s="3" t="s">
        <v>222</v>
      </c>
      <c r="I309" s="5">
        <v>1049</v>
      </c>
      <c r="J309" s="3" t="s">
        <v>11</v>
      </c>
    </row>
    <row r="310" spans="1:10" x14ac:dyDescent="0.35">
      <c r="A310" s="3">
        <v>103409729</v>
      </c>
      <c r="B310" s="3" t="s">
        <v>223</v>
      </c>
      <c r="C310" s="3" t="str">
        <f t="shared" si="7"/>
        <v>2022-07-07</v>
      </c>
      <c r="D310" s="3" t="s">
        <v>9</v>
      </c>
      <c r="E310" s="3" t="s">
        <v>5</v>
      </c>
      <c r="F310" s="3" t="s">
        <v>10</v>
      </c>
      <c r="G310" s="3" t="s">
        <v>19</v>
      </c>
      <c r="H310" s="3" t="s">
        <v>224</v>
      </c>
      <c r="I310" s="5">
        <v>4799</v>
      </c>
      <c r="J310" s="3" t="s">
        <v>11</v>
      </c>
    </row>
    <row r="311" spans="1:10" x14ac:dyDescent="0.35">
      <c r="A311" s="3">
        <v>103409875</v>
      </c>
      <c r="B311" s="3" t="s">
        <v>225</v>
      </c>
      <c r="C311" s="3" t="str">
        <f t="shared" si="7"/>
        <v>2022-07-07</v>
      </c>
      <c r="D311" s="3" t="s">
        <v>9</v>
      </c>
      <c r="E311" s="3" t="s">
        <v>5</v>
      </c>
      <c r="F311" s="3" t="s">
        <v>10</v>
      </c>
      <c r="G311" s="3" t="s">
        <v>226</v>
      </c>
      <c r="H311" s="3" t="s">
        <v>227</v>
      </c>
      <c r="I311" s="5">
        <v>4799</v>
      </c>
      <c r="J311" s="3" t="s">
        <v>11</v>
      </c>
    </row>
    <row r="312" spans="1:10" x14ac:dyDescent="0.35">
      <c r="A312" s="3">
        <v>103409871</v>
      </c>
      <c r="B312" s="3" t="s">
        <v>228</v>
      </c>
      <c r="C312" s="3" t="str">
        <f t="shared" si="7"/>
        <v>2022-07-07</v>
      </c>
      <c r="D312" s="3" t="s">
        <v>9</v>
      </c>
      <c r="E312" s="3" t="s">
        <v>5</v>
      </c>
      <c r="F312" s="3" t="s">
        <v>10</v>
      </c>
      <c r="G312" s="3" t="s">
        <v>229</v>
      </c>
      <c r="H312" s="3" t="s">
        <v>230</v>
      </c>
      <c r="I312" s="3">
        <v>489</v>
      </c>
      <c r="J312" s="3" t="s">
        <v>11</v>
      </c>
    </row>
    <row r="313" spans="1:10" x14ac:dyDescent="0.35">
      <c r="A313" s="3">
        <v>103409722</v>
      </c>
      <c r="B313" s="3" t="s">
        <v>231</v>
      </c>
      <c r="C313" s="3" t="str">
        <f t="shared" si="7"/>
        <v>2022-07-07</v>
      </c>
      <c r="D313" s="3" t="s">
        <v>9</v>
      </c>
      <c r="E313" s="3" t="s">
        <v>5</v>
      </c>
      <c r="F313" s="3" t="s">
        <v>12</v>
      </c>
      <c r="G313" s="3" t="s">
        <v>232</v>
      </c>
      <c r="H313" s="3" t="s">
        <v>233</v>
      </c>
      <c r="I313" s="3">
        <v>674.1</v>
      </c>
      <c r="J313" s="3" t="s">
        <v>11</v>
      </c>
    </row>
    <row r="314" spans="1:10" x14ac:dyDescent="0.35">
      <c r="A314" s="3">
        <v>103409868</v>
      </c>
      <c r="B314" s="3" t="s">
        <v>234</v>
      </c>
      <c r="C314" s="3" t="str">
        <f t="shared" si="7"/>
        <v>2022-07-07</v>
      </c>
      <c r="D314" s="3" t="s">
        <v>9</v>
      </c>
      <c r="E314" s="3" t="s">
        <v>5</v>
      </c>
      <c r="F314" s="3" t="s">
        <v>10</v>
      </c>
      <c r="G314" s="3" t="s">
        <v>235</v>
      </c>
      <c r="H314" s="3" t="s">
        <v>236</v>
      </c>
      <c r="I314" s="4">
        <v>1899.05</v>
      </c>
      <c r="J314" s="3" t="s">
        <v>11</v>
      </c>
    </row>
    <row r="315" spans="1:10" x14ac:dyDescent="0.35">
      <c r="A315" s="3">
        <v>103409721</v>
      </c>
      <c r="B315" s="3" t="s">
        <v>237</v>
      </c>
      <c r="C315" s="3" t="str">
        <f t="shared" si="7"/>
        <v>2022-07-07</v>
      </c>
      <c r="D315" s="3" t="s">
        <v>9</v>
      </c>
      <c r="E315" s="3" t="s">
        <v>5</v>
      </c>
      <c r="F315" s="3" t="s">
        <v>10</v>
      </c>
      <c r="G315" s="3" t="s">
        <v>238</v>
      </c>
      <c r="H315" s="3" t="s">
        <v>239</v>
      </c>
      <c r="I315" s="5">
        <v>1868</v>
      </c>
      <c r="J315" s="3" t="s">
        <v>11</v>
      </c>
    </row>
    <row r="316" spans="1:10" x14ac:dyDescent="0.35">
      <c r="A316" s="3">
        <v>103409720</v>
      </c>
      <c r="B316" s="3" t="s">
        <v>240</v>
      </c>
      <c r="C316" s="3" t="str">
        <f t="shared" si="7"/>
        <v>2022-07-07</v>
      </c>
      <c r="D316" s="3" t="s">
        <v>9</v>
      </c>
      <c r="E316" s="3" t="s">
        <v>5</v>
      </c>
      <c r="F316" s="3" t="s">
        <v>10</v>
      </c>
      <c r="G316" s="3" t="s">
        <v>241</v>
      </c>
      <c r="H316" s="3" t="s">
        <v>242</v>
      </c>
      <c r="I316" s="4">
        <v>3532.1</v>
      </c>
      <c r="J316" s="3" t="s">
        <v>11</v>
      </c>
    </row>
    <row r="317" spans="1:10" x14ac:dyDescent="0.35">
      <c r="A317" s="3">
        <v>103409718</v>
      </c>
      <c r="B317" s="3" t="s">
        <v>243</v>
      </c>
      <c r="C317" s="3" t="str">
        <f t="shared" si="7"/>
        <v>2022-07-07</v>
      </c>
      <c r="D317" s="3" t="s">
        <v>9</v>
      </c>
      <c r="E317" s="3" t="s">
        <v>5</v>
      </c>
      <c r="F317" s="3" t="s">
        <v>10</v>
      </c>
      <c r="G317" s="3" t="s">
        <v>244</v>
      </c>
      <c r="H317" s="3" t="s">
        <v>245</v>
      </c>
      <c r="I317" s="5">
        <v>1189</v>
      </c>
      <c r="J317" s="3" t="s">
        <v>11</v>
      </c>
    </row>
    <row r="318" spans="1:10" x14ac:dyDescent="0.35">
      <c r="A318" s="3">
        <v>103409859</v>
      </c>
      <c r="B318" s="3" t="s">
        <v>246</v>
      </c>
      <c r="C318" s="3" t="str">
        <f t="shared" si="7"/>
        <v>2022-07-07</v>
      </c>
      <c r="D318" s="3" t="s">
        <v>9</v>
      </c>
      <c r="E318" s="3" t="s">
        <v>5</v>
      </c>
      <c r="F318" s="3" t="s">
        <v>10</v>
      </c>
      <c r="G318" s="3" t="s">
        <v>247</v>
      </c>
      <c r="H318" s="3" t="s">
        <v>248</v>
      </c>
      <c r="I318" s="5">
        <v>2999</v>
      </c>
      <c r="J318" s="3" t="s">
        <v>11</v>
      </c>
    </row>
    <row r="319" spans="1:10" x14ac:dyDescent="0.35">
      <c r="A319" s="3">
        <v>103409715</v>
      </c>
      <c r="B319" s="3" t="s">
        <v>249</v>
      </c>
      <c r="C319" s="3" t="str">
        <f t="shared" si="7"/>
        <v>2022-07-07</v>
      </c>
      <c r="D319" s="3" t="s">
        <v>9</v>
      </c>
      <c r="E319" s="3" t="s">
        <v>5</v>
      </c>
      <c r="F319" s="3" t="s">
        <v>10</v>
      </c>
      <c r="G319" s="3" t="s">
        <v>250</v>
      </c>
      <c r="H319" s="3" t="s">
        <v>251</v>
      </c>
      <c r="I319" s="5">
        <v>1299</v>
      </c>
      <c r="J319" s="3" t="s">
        <v>11</v>
      </c>
    </row>
    <row r="320" spans="1:10" x14ac:dyDescent="0.35">
      <c r="A320" s="3">
        <v>103409853</v>
      </c>
      <c r="B320" s="3" t="s">
        <v>252</v>
      </c>
      <c r="C320" s="3" t="str">
        <f t="shared" si="7"/>
        <v>2022-07-07</v>
      </c>
      <c r="D320" s="3" t="s">
        <v>9</v>
      </c>
      <c r="E320" s="3" t="s">
        <v>5</v>
      </c>
      <c r="F320" s="3" t="s">
        <v>10</v>
      </c>
      <c r="G320" s="3" t="s">
        <v>253</v>
      </c>
      <c r="H320" s="3" t="s">
        <v>254</v>
      </c>
      <c r="I320" s="4">
        <v>2155.5500000000002</v>
      </c>
      <c r="J320" s="3" t="s">
        <v>11</v>
      </c>
    </row>
    <row r="321" spans="1:10" x14ac:dyDescent="0.35">
      <c r="A321" s="3">
        <v>103409709</v>
      </c>
      <c r="B321" s="3" t="s">
        <v>255</v>
      </c>
      <c r="C321" s="3" t="str">
        <f t="shared" si="7"/>
        <v>2022-07-07</v>
      </c>
      <c r="D321" s="3" t="s">
        <v>9</v>
      </c>
      <c r="E321" s="3" t="s">
        <v>5</v>
      </c>
      <c r="F321" s="3" t="s">
        <v>10</v>
      </c>
      <c r="G321" s="3" t="s">
        <v>256</v>
      </c>
      <c r="H321" s="3" t="s">
        <v>257</v>
      </c>
      <c r="I321" s="4">
        <v>2279.0500000000002</v>
      </c>
      <c r="J321" s="3" t="s">
        <v>11</v>
      </c>
    </row>
    <row r="322" spans="1:10" x14ac:dyDescent="0.35">
      <c r="A322" s="3">
        <v>103409846</v>
      </c>
      <c r="B322" s="3" t="s">
        <v>258</v>
      </c>
      <c r="C322" s="3" t="str">
        <f t="shared" si="7"/>
        <v>2022-07-07</v>
      </c>
      <c r="D322" s="3" t="s">
        <v>9</v>
      </c>
      <c r="E322" s="3" t="s">
        <v>5</v>
      </c>
      <c r="F322" s="3" t="s">
        <v>10</v>
      </c>
      <c r="G322" s="3" t="s">
        <v>259</v>
      </c>
      <c r="H322" s="3" t="s">
        <v>260</v>
      </c>
      <c r="I322" s="4">
        <v>3077.14</v>
      </c>
      <c r="J322" s="3" t="s">
        <v>11</v>
      </c>
    </row>
    <row r="323" spans="1:10" x14ac:dyDescent="0.35">
      <c r="A323" s="3">
        <v>103409845</v>
      </c>
      <c r="B323" s="3" t="s">
        <v>261</v>
      </c>
      <c r="C323" s="3" t="str">
        <f t="shared" ref="C323:C386" si="8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262</v>
      </c>
      <c r="H323" s="3" t="s">
        <v>263</v>
      </c>
      <c r="I323" s="3">
        <v>629</v>
      </c>
      <c r="J323" s="3" t="s">
        <v>11</v>
      </c>
    </row>
    <row r="324" spans="1:10" x14ac:dyDescent="0.35">
      <c r="A324" s="3">
        <v>103409842</v>
      </c>
      <c r="B324" s="3" t="s">
        <v>264</v>
      </c>
      <c r="C324" s="3" t="str">
        <f t="shared" si="8"/>
        <v>2022-07-07</v>
      </c>
      <c r="D324" s="3" t="s">
        <v>9</v>
      </c>
      <c r="E324" s="3" t="s">
        <v>5</v>
      </c>
      <c r="F324" s="3" t="s">
        <v>10</v>
      </c>
      <c r="G324" s="3" t="s">
        <v>265</v>
      </c>
      <c r="H324" s="3" t="s">
        <v>266</v>
      </c>
      <c r="I324" s="3">
        <v>419</v>
      </c>
      <c r="J324" s="3" t="s">
        <v>11</v>
      </c>
    </row>
    <row r="325" spans="1:10" x14ac:dyDescent="0.35">
      <c r="A325" s="3">
        <v>103409839</v>
      </c>
      <c r="B325" s="3" t="s">
        <v>267</v>
      </c>
      <c r="C325" s="3" t="str">
        <f t="shared" si="8"/>
        <v>2022-07-07</v>
      </c>
      <c r="D325" s="3" t="s">
        <v>9</v>
      </c>
      <c r="E325" s="3" t="s">
        <v>5</v>
      </c>
      <c r="F325" s="3" t="s">
        <v>10</v>
      </c>
      <c r="G325" s="3" t="s">
        <v>268</v>
      </c>
      <c r="H325" s="3" t="s">
        <v>269</v>
      </c>
      <c r="I325" s="4">
        <v>2849.05</v>
      </c>
      <c r="J325" s="3" t="s">
        <v>11</v>
      </c>
    </row>
    <row r="326" spans="1:10" x14ac:dyDescent="0.35">
      <c r="A326" s="3">
        <v>103409706</v>
      </c>
      <c r="B326" s="3" t="s">
        <v>270</v>
      </c>
      <c r="C326" s="3" t="str">
        <f t="shared" si="8"/>
        <v>2022-07-07</v>
      </c>
      <c r="D326" s="3" t="s">
        <v>9</v>
      </c>
      <c r="E326" s="3" t="s">
        <v>5</v>
      </c>
      <c r="F326" s="3" t="s">
        <v>10</v>
      </c>
      <c r="G326" s="3" t="s">
        <v>271</v>
      </c>
      <c r="H326" s="3" t="s">
        <v>272</v>
      </c>
      <c r="I326" s="3">
        <v>269</v>
      </c>
      <c r="J326" s="3" t="s">
        <v>11</v>
      </c>
    </row>
    <row r="327" spans="1:10" x14ac:dyDescent="0.35">
      <c r="A327" s="3">
        <v>103409834</v>
      </c>
      <c r="B327" s="3" t="s">
        <v>273</v>
      </c>
      <c r="C327" s="3" t="str">
        <f t="shared" si="8"/>
        <v>2022-07-07</v>
      </c>
      <c r="D327" s="3" t="s">
        <v>9</v>
      </c>
      <c r="E327" s="3" t="s">
        <v>5</v>
      </c>
      <c r="F327" s="3" t="s">
        <v>10</v>
      </c>
      <c r="G327" s="3" t="s">
        <v>274</v>
      </c>
      <c r="H327" s="3" t="s">
        <v>275</v>
      </c>
      <c r="I327" s="3">
        <v>969</v>
      </c>
      <c r="J327" s="3" t="s">
        <v>11</v>
      </c>
    </row>
    <row r="328" spans="1:10" x14ac:dyDescent="0.35">
      <c r="A328" s="3">
        <v>103409833</v>
      </c>
      <c r="B328" s="3" t="s">
        <v>276</v>
      </c>
      <c r="C328" s="3" t="str">
        <f t="shared" si="8"/>
        <v>2022-07-07</v>
      </c>
      <c r="D328" s="3" t="s">
        <v>9</v>
      </c>
      <c r="E328" s="3" t="s">
        <v>5</v>
      </c>
      <c r="F328" s="3" t="s">
        <v>10</v>
      </c>
      <c r="G328" s="3" t="s">
        <v>277</v>
      </c>
      <c r="H328" s="3" t="s">
        <v>278</v>
      </c>
      <c r="I328" s="3">
        <v>699</v>
      </c>
      <c r="J328" s="3" t="s">
        <v>11</v>
      </c>
    </row>
    <row r="329" spans="1:10" x14ac:dyDescent="0.35">
      <c r="A329" s="3">
        <v>103409818</v>
      </c>
      <c r="B329" s="3" t="s">
        <v>279</v>
      </c>
      <c r="C329" s="3" t="str">
        <f t="shared" si="8"/>
        <v>2022-07-07</v>
      </c>
      <c r="D329" s="3" t="s">
        <v>9</v>
      </c>
      <c r="E329" s="3" t="s">
        <v>5</v>
      </c>
      <c r="F329" s="3" t="s">
        <v>10</v>
      </c>
      <c r="G329" s="3" t="s">
        <v>280</v>
      </c>
      <c r="H329" s="3" t="s">
        <v>281</v>
      </c>
      <c r="I329" s="3">
        <v>969</v>
      </c>
      <c r="J329" s="3" t="s">
        <v>11</v>
      </c>
    </row>
    <row r="330" spans="1:10" x14ac:dyDescent="0.35">
      <c r="A330" s="3">
        <v>103409817</v>
      </c>
      <c r="B330" s="3" t="s">
        <v>282</v>
      </c>
      <c r="C330" s="3" t="str">
        <f t="shared" si="8"/>
        <v>2022-07-07</v>
      </c>
      <c r="D330" s="3" t="s">
        <v>9</v>
      </c>
      <c r="E330" s="3" t="s">
        <v>5</v>
      </c>
      <c r="F330" s="3" t="s">
        <v>12</v>
      </c>
      <c r="G330" s="3" t="s">
        <v>283</v>
      </c>
      <c r="H330" s="3" t="s">
        <v>284</v>
      </c>
      <c r="I330" s="3">
        <v>899</v>
      </c>
      <c r="J330" s="3" t="s">
        <v>11</v>
      </c>
    </row>
    <row r="331" spans="1:10" x14ac:dyDescent="0.35">
      <c r="A331" s="3">
        <v>103409699</v>
      </c>
      <c r="B331" s="3" t="s">
        <v>4755</v>
      </c>
      <c r="C331" s="3" t="str">
        <f t="shared" si="8"/>
        <v>2022-07-07</v>
      </c>
      <c r="D331" s="3" t="s">
        <v>9</v>
      </c>
      <c r="E331" s="3" t="s">
        <v>5</v>
      </c>
      <c r="F331" s="3" t="s">
        <v>10</v>
      </c>
      <c r="G331" s="3" t="s">
        <v>4756</v>
      </c>
      <c r="H331" s="3" t="s">
        <v>4757</v>
      </c>
      <c r="I331" s="4">
        <v>2089.0500000000002</v>
      </c>
      <c r="J331" s="3" t="s">
        <v>13</v>
      </c>
    </row>
    <row r="332" spans="1:10" x14ac:dyDescent="0.35">
      <c r="A332" s="3">
        <v>103409698</v>
      </c>
      <c r="B332" s="3" t="s">
        <v>285</v>
      </c>
      <c r="C332" s="3" t="str">
        <f t="shared" si="8"/>
        <v>2022-07-07</v>
      </c>
      <c r="D332" s="3" t="s">
        <v>9</v>
      </c>
      <c r="E332" s="3" t="s">
        <v>5</v>
      </c>
      <c r="F332" s="3" t="s">
        <v>10</v>
      </c>
      <c r="G332" s="3" t="s">
        <v>286</v>
      </c>
      <c r="H332" s="3" t="s">
        <v>287</v>
      </c>
      <c r="I332" s="5">
        <v>1499</v>
      </c>
      <c r="J332" s="3" t="s">
        <v>11</v>
      </c>
    </row>
    <row r="333" spans="1:10" x14ac:dyDescent="0.35">
      <c r="A333" s="3">
        <v>103409810</v>
      </c>
      <c r="B333" s="3" t="s">
        <v>288</v>
      </c>
      <c r="C333" s="3" t="str">
        <f t="shared" si="8"/>
        <v>2022-07-07</v>
      </c>
      <c r="D333" s="3" t="s">
        <v>9</v>
      </c>
      <c r="E333" s="3" t="s">
        <v>5</v>
      </c>
      <c r="F333" s="3" t="s">
        <v>10</v>
      </c>
      <c r="G333" s="3" t="s">
        <v>289</v>
      </c>
      <c r="H333" s="3" t="s">
        <v>290</v>
      </c>
      <c r="I333" s="4">
        <v>3134.05</v>
      </c>
      <c r="J333" s="3" t="s">
        <v>11</v>
      </c>
    </row>
    <row r="334" spans="1:10" x14ac:dyDescent="0.35">
      <c r="A334" s="3">
        <v>103409697</v>
      </c>
      <c r="B334" s="3" t="s">
        <v>291</v>
      </c>
      <c r="C334" s="3" t="str">
        <f t="shared" si="8"/>
        <v>2022-07-07</v>
      </c>
      <c r="D334" s="3" t="s">
        <v>9</v>
      </c>
      <c r="E334" s="3" t="s">
        <v>5</v>
      </c>
      <c r="F334" s="3" t="s">
        <v>10</v>
      </c>
      <c r="G334" s="3" t="s">
        <v>292</v>
      </c>
      <c r="H334" s="3" t="s">
        <v>293</v>
      </c>
      <c r="I334" s="4">
        <v>2345.6</v>
      </c>
      <c r="J334" s="3" t="s">
        <v>11</v>
      </c>
    </row>
    <row r="335" spans="1:10" x14ac:dyDescent="0.35">
      <c r="A335" s="3">
        <v>103409805</v>
      </c>
      <c r="B335" s="3" t="s">
        <v>294</v>
      </c>
      <c r="C335" s="3" t="str">
        <f t="shared" si="8"/>
        <v>2022-07-07</v>
      </c>
      <c r="D335" s="3" t="s">
        <v>9</v>
      </c>
      <c r="E335" s="3" t="s">
        <v>5</v>
      </c>
      <c r="F335" s="3" t="s">
        <v>10</v>
      </c>
      <c r="G335" s="3" t="s">
        <v>295</v>
      </c>
      <c r="H335" s="3" t="s">
        <v>296</v>
      </c>
      <c r="I335" s="3">
        <v>749</v>
      </c>
      <c r="J335" s="3" t="s">
        <v>11</v>
      </c>
    </row>
    <row r="336" spans="1:10" x14ac:dyDescent="0.35">
      <c r="A336" s="3">
        <v>103409691</v>
      </c>
      <c r="B336" s="3" t="s">
        <v>297</v>
      </c>
      <c r="C336" s="3" t="str">
        <f t="shared" si="8"/>
        <v>2022-07-07</v>
      </c>
      <c r="D336" s="3" t="s">
        <v>9</v>
      </c>
      <c r="E336" s="3" t="s">
        <v>5</v>
      </c>
      <c r="F336" s="3" t="s">
        <v>10</v>
      </c>
      <c r="G336" s="3" t="s">
        <v>298</v>
      </c>
      <c r="H336" s="3" t="s">
        <v>299</v>
      </c>
      <c r="I336" s="4">
        <v>1414.55</v>
      </c>
      <c r="J336" s="3" t="s">
        <v>11</v>
      </c>
    </row>
    <row r="337" spans="1:10" x14ac:dyDescent="0.35">
      <c r="A337" s="3">
        <v>103409690</v>
      </c>
      <c r="B337" s="3" t="s">
        <v>300</v>
      </c>
      <c r="C337" s="3" t="str">
        <f t="shared" si="8"/>
        <v>2022-07-07</v>
      </c>
      <c r="D337" s="3" t="s">
        <v>9</v>
      </c>
      <c r="E337" s="3" t="s">
        <v>5</v>
      </c>
      <c r="F337" s="3" t="s">
        <v>10</v>
      </c>
      <c r="G337" s="3" t="s">
        <v>301</v>
      </c>
      <c r="H337" s="3" t="s">
        <v>302</v>
      </c>
      <c r="I337" s="3">
        <v>579</v>
      </c>
      <c r="J337" s="3" t="s">
        <v>11</v>
      </c>
    </row>
    <row r="338" spans="1:10" x14ac:dyDescent="0.35">
      <c r="A338" s="3">
        <v>103409801</v>
      </c>
      <c r="B338" s="3" t="s">
        <v>303</v>
      </c>
      <c r="C338" s="3" t="str">
        <f t="shared" si="8"/>
        <v>2022-07-07</v>
      </c>
      <c r="D338" s="3" t="s">
        <v>9</v>
      </c>
      <c r="E338" s="3" t="s">
        <v>5</v>
      </c>
      <c r="F338" s="3" t="s">
        <v>10</v>
      </c>
      <c r="G338" s="3" t="s">
        <v>304</v>
      </c>
      <c r="H338" s="3" t="s">
        <v>305</v>
      </c>
      <c r="I338" s="3">
        <v>571.99</v>
      </c>
      <c r="J338" s="3" t="s">
        <v>11</v>
      </c>
    </row>
    <row r="339" spans="1:10" x14ac:dyDescent="0.35">
      <c r="A339" s="3">
        <v>103409688</v>
      </c>
      <c r="B339" s="3" t="s">
        <v>306</v>
      </c>
      <c r="C339" s="3" t="str">
        <f t="shared" si="8"/>
        <v>2022-07-07</v>
      </c>
      <c r="D339" s="3" t="s">
        <v>9</v>
      </c>
      <c r="E339" s="3" t="s">
        <v>5</v>
      </c>
      <c r="F339" s="3" t="s">
        <v>12</v>
      </c>
      <c r="G339" s="3" t="s">
        <v>307</v>
      </c>
      <c r="H339" s="3" t="s">
        <v>308</v>
      </c>
      <c r="I339" s="5">
        <v>4998</v>
      </c>
      <c r="J339" s="3" t="s">
        <v>11</v>
      </c>
    </row>
    <row r="340" spans="1:10" x14ac:dyDescent="0.35">
      <c r="A340" s="3">
        <v>103409797</v>
      </c>
      <c r="B340" s="3" t="s">
        <v>309</v>
      </c>
      <c r="C340" s="3" t="str">
        <f t="shared" si="8"/>
        <v>2022-07-07</v>
      </c>
      <c r="D340" s="3" t="s">
        <v>9</v>
      </c>
      <c r="E340" s="3" t="s">
        <v>5</v>
      </c>
      <c r="F340" s="3" t="s">
        <v>10</v>
      </c>
      <c r="G340" s="3" t="s">
        <v>310</v>
      </c>
      <c r="H340" s="3" t="s">
        <v>311</v>
      </c>
      <c r="I340" s="4">
        <v>4418.6400000000003</v>
      </c>
      <c r="J340" s="3" t="s">
        <v>11</v>
      </c>
    </row>
    <row r="341" spans="1:10" x14ac:dyDescent="0.35">
      <c r="A341" s="3">
        <v>103409793</v>
      </c>
      <c r="B341" s="3" t="s">
        <v>312</v>
      </c>
      <c r="C341" s="3" t="str">
        <f t="shared" si="8"/>
        <v>2022-07-07</v>
      </c>
      <c r="D341" s="3" t="s">
        <v>9</v>
      </c>
      <c r="E341" s="3" t="s">
        <v>5</v>
      </c>
      <c r="F341" s="3" t="s">
        <v>10</v>
      </c>
      <c r="G341" s="3" t="s">
        <v>313</v>
      </c>
      <c r="H341" s="3" t="s">
        <v>314</v>
      </c>
      <c r="I341" s="5">
        <v>2449</v>
      </c>
      <c r="J341" s="3" t="s">
        <v>11</v>
      </c>
    </row>
    <row r="342" spans="1:10" x14ac:dyDescent="0.35">
      <c r="A342" s="3">
        <v>103409681</v>
      </c>
      <c r="B342" s="3" t="s">
        <v>315</v>
      </c>
      <c r="C342" s="3" t="str">
        <f t="shared" si="8"/>
        <v>2022-07-07</v>
      </c>
      <c r="D342" s="3" t="s">
        <v>9</v>
      </c>
      <c r="E342" s="3" t="s">
        <v>5</v>
      </c>
      <c r="F342" s="3" t="s">
        <v>10</v>
      </c>
      <c r="G342" s="3" t="s">
        <v>316</v>
      </c>
      <c r="H342" s="3" t="s">
        <v>317</v>
      </c>
      <c r="I342" s="5">
        <v>2048</v>
      </c>
      <c r="J342" s="3" t="s">
        <v>11</v>
      </c>
    </row>
    <row r="343" spans="1:10" x14ac:dyDescent="0.35">
      <c r="A343" s="3">
        <v>103409678</v>
      </c>
      <c r="B343" s="3" t="s">
        <v>4758</v>
      </c>
      <c r="C343" s="3" t="str">
        <f t="shared" si="8"/>
        <v>2022-07-07</v>
      </c>
      <c r="D343" s="3" t="s">
        <v>9</v>
      </c>
      <c r="E343" s="3" t="s">
        <v>5</v>
      </c>
      <c r="F343" s="3" t="s">
        <v>10</v>
      </c>
      <c r="G343" s="3" t="s">
        <v>4759</v>
      </c>
      <c r="H343" s="3" t="s">
        <v>4760</v>
      </c>
      <c r="I343" s="4">
        <v>2849.05</v>
      </c>
      <c r="J343" s="3" t="s">
        <v>13</v>
      </c>
    </row>
    <row r="344" spans="1:10" x14ac:dyDescent="0.35">
      <c r="A344" s="3">
        <v>103409784</v>
      </c>
      <c r="B344" s="3" t="s">
        <v>318</v>
      </c>
      <c r="C344" s="3" t="str">
        <f t="shared" si="8"/>
        <v>2022-07-07</v>
      </c>
      <c r="D344" s="3" t="s">
        <v>9</v>
      </c>
      <c r="E344" s="3" t="s">
        <v>5</v>
      </c>
      <c r="F344" s="3" t="s">
        <v>10</v>
      </c>
      <c r="G344" s="3" t="s">
        <v>319</v>
      </c>
      <c r="H344" s="3" t="s">
        <v>320</v>
      </c>
      <c r="I344" s="5">
        <v>2399</v>
      </c>
      <c r="J344" s="3" t="s">
        <v>11</v>
      </c>
    </row>
    <row r="345" spans="1:10" x14ac:dyDescent="0.35">
      <c r="A345" s="3">
        <v>103409673</v>
      </c>
      <c r="B345" s="3" t="s">
        <v>321</v>
      </c>
      <c r="C345" s="3" t="str">
        <f t="shared" si="8"/>
        <v>2022-07-07</v>
      </c>
      <c r="D345" s="3" t="s">
        <v>9</v>
      </c>
      <c r="E345" s="3" t="s">
        <v>5</v>
      </c>
      <c r="F345" s="3" t="s">
        <v>10</v>
      </c>
      <c r="G345" s="3" t="s">
        <v>322</v>
      </c>
      <c r="H345" s="3" t="s">
        <v>323</v>
      </c>
      <c r="I345" s="5">
        <v>3899</v>
      </c>
      <c r="J345" s="3" t="s">
        <v>11</v>
      </c>
    </row>
    <row r="346" spans="1:10" x14ac:dyDescent="0.35">
      <c r="A346" s="3">
        <v>103409775</v>
      </c>
      <c r="B346" s="3" t="s">
        <v>324</v>
      </c>
      <c r="C346" s="3" t="str">
        <f t="shared" si="8"/>
        <v>2022-07-07</v>
      </c>
      <c r="D346" s="3" t="s">
        <v>9</v>
      </c>
      <c r="E346" s="3" t="s">
        <v>5</v>
      </c>
      <c r="F346" s="3" t="s">
        <v>10</v>
      </c>
      <c r="G346" s="3" t="s">
        <v>325</v>
      </c>
      <c r="H346" s="3" t="s">
        <v>326</v>
      </c>
      <c r="I346" s="5">
        <v>2099</v>
      </c>
      <c r="J346" s="3" t="s">
        <v>11</v>
      </c>
    </row>
    <row r="347" spans="1:10" x14ac:dyDescent="0.35">
      <c r="A347" s="3">
        <v>103409769</v>
      </c>
      <c r="B347" s="3" t="s">
        <v>327</v>
      </c>
      <c r="C347" s="3" t="str">
        <f t="shared" si="8"/>
        <v>2022-07-07</v>
      </c>
      <c r="D347" s="3" t="s">
        <v>9</v>
      </c>
      <c r="E347" s="3" t="s">
        <v>5</v>
      </c>
      <c r="F347" s="3" t="s">
        <v>10</v>
      </c>
      <c r="G347" s="3" t="s">
        <v>328</v>
      </c>
      <c r="H347" s="3" t="s">
        <v>329</v>
      </c>
      <c r="I347" s="3">
        <v>493.05</v>
      </c>
      <c r="J347" s="3" t="s">
        <v>11</v>
      </c>
    </row>
    <row r="348" spans="1:10" x14ac:dyDescent="0.35">
      <c r="A348" s="3">
        <v>103409661</v>
      </c>
      <c r="B348" s="3" t="s">
        <v>330</v>
      </c>
      <c r="C348" s="3" t="str">
        <f t="shared" si="8"/>
        <v>2022-07-07</v>
      </c>
      <c r="D348" s="3" t="s">
        <v>9</v>
      </c>
      <c r="E348" s="3" t="s">
        <v>5</v>
      </c>
      <c r="F348" s="3" t="s">
        <v>10</v>
      </c>
      <c r="G348" s="3" t="s">
        <v>331</v>
      </c>
      <c r="H348" s="3" t="s">
        <v>332</v>
      </c>
      <c r="I348" s="3">
        <v>329</v>
      </c>
      <c r="J348" s="3" t="s">
        <v>11</v>
      </c>
    </row>
    <row r="349" spans="1:10" x14ac:dyDescent="0.35">
      <c r="A349" s="3">
        <v>103409657</v>
      </c>
      <c r="B349" s="3" t="s">
        <v>333</v>
      </c>
      <c r="C349" s="3" t="str">
        <f t="shared" si="8"/>
        <v>2022-07-07</v>
      </c>
      <c r="D349" s="3" t="s">
        <v>9</v>
      </c>
      <c r="E349" s="3" t="s">
        <v>5</v>
      </c>
      <c r="F349" s="3" t="s">
        <v>10</v>
      </c>
      <c r="G349" s="3" t="s">
        <v>334</v>
      </c>
      <c r="H349" s="3" t="s">
        <v>335</v>
      </c>
      <c r="I349" s="5">
        <v>3499</v>
      </c>
      <c r="J349" s="3" t="s">
        <v>11</v>
      </c>
    </row>
    <row r="350" spans="1:10" x14ac:dyDescent="0.35">
      <c r="A350" s="3">
        <v>103409656</v>
      </c>
      <c r="B350" s="3" t="s">
        <v>336</v>
      </c>
      <c r="C350" s="3" t="str">
        <f t="shared" si="8"/>
        <v>2022-07-07</v>
      </c>
      <c r="D350" s="3" t="s">
        <v>9</v>
      </c>
      <c r="E350" s="3" t="s">
        <v>5</v>
      </c>
      <c r="F350" s="3" t="s">
        <v>10</v>
      </c>
      <c r="G350" s="3" t="s">
        <v>337</v>
      </c>
      <c r="H350" s="3" t="s">
        <v>338</v>
      </c>
      <c r="I350" s="5">
        <v>4899</v>
      </c>
      <c r="J350" s="3" t="s">
        <v>11</v>
      </c>
    </row>
    <row r="351" spans="1:10" x14ac:dyDescent="0.35">
      <c r="A351" s="3">
        <v>103409557</v>
      </c>
      <c r="B351" s="3" t="s">
        <v>339</v>
      </c>
      <c r="C351" s="3" t="str">
        <f t="shared" si="8"/>
        <v>2022-07-07</v>
      </c>
      <c r="D351" s="3" t="s">
        <v>9</v>
      </c>
      <c r="E351" s="3" t="s">
        <v>5</v>
      </c>
      <c r="F351" s="3" t="s">
        <v>10</v>
      </c>
      <c r="G351" s="3" t="s">
        <v>340</v>
      </c>
      <c r="H351" s="3" t="s">
        <v>341</v>
      </c>
      <c r="I351" s="3">
        <v>675.97</v>
      </c>
      <c r="J351" s="3" t="s">
        <v>11</v>
      </c>
    </row>
    <row r="352" spans="1:10" x14ac:dyDescent="0.35">
      <c r="A352" s="3">
        <v>103409653</v>
      </c>
      <c r="B352" s="3" t="s">
        <v>342</v>
      </c>
      <c r="C352" s="3" t="str">
        <f t="shared" si="8"/>
        <v>2022-07-07</v>
      </c>
      <c r="D352" s="3" t="s">
        <v>9</v>
      </c>
      <c r="E352" s="3" t="s">
        <v>5</v>
      </c>
      <c r="F352" s="3" t="s">
        <v>10</v>
      </c>
      <c r="G352" s="3" t="s">
        <v>343</v>
      </c>
      <c r="H352" s="3" t="s">
        <v>344</v>
      </c>
      <c r="I352" s="3">
        <v>559</v>
      </c>
      <c r="J352" s="3" t="s">
        <v>11</v>
      </c>
    </row>
    <row r="353" spans="1:10" x14ac:dyDescent="0.35">
      <c r="A353" s="3">
        <v>103409651</v>
      </c>
      <c r="B353" s="3" t="s">
        <v>345</v>
      </c>
      <c r="C353" s="3" t="str">
        <f t="shared" si="8"/>
        <v>2022-07-07</v>
      </c>
      <c r="D353" s="3" t="s">
        <v>9</v>
      </c>
      <c r="E353" s="3" t="s">
        <v>5</v>
      </c>
      <c r="F353" s="3" t="s">
        <v>10</v>
      </c>
      <c r="G353" s="3" t="s">
        <v>346</v>
      </c>
      <c r="H353" s="3" t="s">
        <v>347</v>
      </c>
      <c r="I353" s="4">
        <v>3889.39</v>
      </c>
      <c r="J353" s="3" t="s">
        <v>11</v>
      </c>
    </row>
    <row r="354" spans="1:10" x14ac:dyDescent="0.35">
      <c r="A354" s="3">
        <v>103409650</v>
      </c>
      <c r="B354" s="3" t="s">
        <v>348</v>
      </c>
      <c r="C354" s="3" t="str">
        <f t="shared" si="8"/>
        <v>2022-07-07</v>
      </c>
      <c r="D354" s="3" t="s">
        <v>9</v>
      </c>
      <c r="E354" s="3" t="s">
        <v>5</v>
      </c>
      <c r="F354" s="3" t="s">
        <v>10</v>
      </c>
      <c r="G354" s="3" t="s">
        <v>349</v>
      </c>
      <c r="H354" s="3" t="s">
        <v>350</v>
      </c>
      <c r="I354" s="4">
        <v>1448.1</v>
      </c>
      <c r="J354" s="3" t="s">
        <v>11</v>
      </c>
    </row>
    <row r="355" spans="1:10" x14ac:dyDescent="0.35">
      <c r="A355" s="3">
        <v>103409549</v>
      </c>
      <c r="B355" s="3" t="s">
        <v>351</v>
      </c>
      <c r="C355" s="3" t="str">
        <f t="shared" si="8"/>
        <v>2022-07-07</v>
      </c>
      <c r="D355" s="3" t="s">
        <v>9</v>
      </c>
      <c r="E355" s="3" t="s">
        <v>5</v>
      </c>
      <c r="F355" s="3" t="s">
        <v>12</v>
      </c>
      <c r="G355" s="3" t="s">
        <v>352</v>
      </c>
      <c r="H355" s="3" t="s">
        <v>353</v>
      </c>
      <c r="I355" s="5">
        <v>1169</v>
      </c>
      <c r="J355" s="3" t="s">
        <v>11</v>
      </c>
    </row>
    <row r="356" spans="1:10" x14ac:dyDescent="0.35">
      <c r="A356" s="3">
        <v>103409548</v>
      </c>
      <c r="B356" s="3" t="s">
        <v>354</v>
      </c>
      <c r="C356" s="3" t="str">
        <f t="shared" si="8"/>
        <v>2022-07-07</v>
      </c>
      <c r="D356" s="3" t="s">
        <v>9</v>
      </c>
      <c r="E356" s="3" t="s">
        <v>5</v>
      </c>
      <c r="F356" s="3" t="s">
        <v>12</v>
      </c>
      <c r="G356" s="3" t="s">
        <v>355</v>
      </c>
      <c r="H356" s="3" t="s">
        <v>356</v>
      </c>
      <c r="I356" s="5">
        <v>2749</v>
      </c>
      <c r="J356" s="3" t="s">
        <v>11</v>
      </c>
    </row>
    <row r="357" spans="1:10" x14ac:dyDescent="0.35">
      <c r="A357" s="3">
        <v>103409647</v>
      </c>
      <c r="B357" s="3" t="s">
        <v>357</v>
      </c>
      <c r="C357" s="3" t="str">
        <f t="shared" si="8"/>
        <v>2022-07-07</v>
      </c>
      <c r="D357" s="3" t="s">
        <v>9</v>
      </c>
      <c r="E357" s="3" t="s">
        <v>5</v>
      </c>
      <c r="F357" s="3" t="s">
        <v>10</v>
      </c>
      <c r="G357" s="3" t="s">
        <v>358</v>
      </c>
      <c r="H357" s="3" t="s">
        <v>359</v>
      </c>
      <c r="I357" s="4">
        <v>2991.64</v>
      </c>
      <c r="J357" s="3" t="s">
        <v>11</v>
      </c>
    </row>
    <row r="358" spans="1:10" x14ac:dyDescent="0.35">
      <c r="A358" s="3">
        <v>103409644</v>
      </c>
      <c r="B358" s="3" t="s">
        <v>360</v>
      </c>
      <c r="C358" s="3" t="str">
        <f t="shared" si="8"/>
        <v>2022-07-07</v>
      </c>
      <c r="D358" s="3" t="s">
        <v>9</v>
      </c>
      <c r="E358" s="3" t="s">
        <v>5</v>
      </c>
      <c r="F358" s="3" t="s">
        <v>10</v>
      </c>
      <c r="G358" s="3" t="s">
        <v>361</v>
      </c>
      <c r="H358" s="3" t="s">
        <v>362</v>
      </c>
      <c r="I358" s="4">
        <v>3656.55</v>
      </c>
      <c r="J358" s="3" t="s">
        <v>11</v>
      </c>
    </row>
    <row r="359" spans="1:10" x14ac:dyDescent="0.35">
      <c r="A359" s="3">
        <v>103409639</v>
      </c>
      <c r="B359" s="3" t="s">
        <v>363</v>
      </c>
      <c r="C359" s="3" t="str">
        <f t="shared" si="8"/>
        <v>2022-07-07</v>
      </c>
      <c r="D359" s="3" t="s">
        <v>9</v>
      </c>
      <c r="E359" s="3" t="s">
        <v>5</v>
      </c>
      <c r="F359" s="3" t="s">
        <v>10</v>
      </c>
      <c r="G359" s="3" t="s">
        <v>364</v>
      </c>
      <c r="H359" s="3" t="s">
        <v>365</v>
      </c>
      <c r="I359" s="5">
        <v>3599</v>
      </c>
      <c r="J359" s="3" t="s">
        <v>11</v>
      </c>
    </row>
    <row r="360" spans="1:10" x14ac:dyDescent="0.35">
      <c r="A360" s="3">
        <v>103409637</v>
      </c>
      <c r="B360" s="3" t="s">
        <v>366</v>
      </c>
      <c r="C360" s="3" t="str">
        <f t="shared" si="8"/>
        <v>2022-07-07</v>
      </c>
      <c r="D360" s="3" t="s">
        <v>9</v>
      </c>
      <c r="E360" s="3" t="s">
        <v>5</v>
      </c>
      <c r="F360" s="3" t="s">
        <v>12</v>
      </c>
      <c r="G360" s="3" t="s">
        <v>367</v>
      </c>
      <c r="H360" s="3" t="s">
        <v>368</v>
      </c>
      <c r="I360" s="4">
        <v>4102.1000000000004</v>
      </c>
      <c r="J360" s="3" t="s">
        <v>11</v>
      </c>
    </row>
    <row r="361" spans="1:10" x14ac:dyDescent="0.35">
      <c r="A361" s="3">
        <v>103409635</v>
      </c>
      <c r="B361" s="3" t="s">
        <v>369</v>
      </c>
      <c r="C361" s="3" t="str">
        <f t="shared" si="8"/>
        <v>2022-07-07</v>
      </c>
      <c r="D361" s="3" t="s">
        <v>9</v>
      </c>
      <c r="E361" s="3" t="s">
        <v>5</v>
      </c>
      <c r="F361" s="3" t="s">
        <v>10</v>
      </c>
      <c r="G361" s="3" t="s">
        <v>370</v>
      </c>
      <c r="H361" s="3" t="s">
        <v>371</v>
      </c>
      <c r="I361" s="3">
        <v>937.7</v>
      </c>
      <c r="J361" s="3" t="s">
        <v>11</v>
      </c>
    </row>
    <row r="362" spans="1:10" x14ac:dyDescent="0.35">
      <c r="A362" s="3">
        <v>103409538</v>
      </c>
      <c r="B362" s="3" t="s">
        <v>372</v>
      </c>
      <c r="C362" s="3" t="str">
        <f t="shared" si="8"/>
        <v>2022-07-07</v>
      </c>
      <c r="D362" s="3" t="s">
        <v>9</v>
      </c>
      <c r="E362" s="3" t="s">
        <v>5</v>
      </c>
      <c r="F362" s="3" t="s">
        <v>12</v>
      </c>
      <c r="G362" s="3" t="s">
        <v>373</v>
      </c>
      <c r="H362" s="3" t="s">
        <v>374</v>
      </c>
      <c r="I362" s="3">
        <v>669</v>
      </c>
      <c r="J362" s="3" t="s">
        <v>11</v>
      </c>
    </row>
    <row r="363" spans="1:10" x14ac:dyDescent="0.35">
      <c r="A363" s="3">
        <v>103409537</v>
      </c>
      <c r="B363" s="3" t="s">
        <v>375</v>
      </c>
      <c r="C363" s="3" t="str">
        <f t="shared" si="8"/>
        <v>2022-07-07</v>
      </c>
      <c r="D363" s="3" t="s">
        <v>9</v>
      </c>
      <c r="E363" s="3" t="s">
        <v>5</v>
      </c>
      <c r="F363" s="3" t="s">
        <v>10</v>
      </c>
      <c r="G363" s="3" t="s">
        <v>376</v>
      </c>
      <c r="H363" s="3" t="s">
        <v>377</v>
      </c>
      <c r="I363" s="4">
        <v>6636.7</v>
      </c>
      <c r="J363" s="3" t="s">
        <v>11</v>
      </c>
    </row>
    <row r="364" spans="1:10" x14ac:dyDescent="0.35">
      <c r="A364" s="3">
        <v>103409616</v>
      </c>
      <c r="B364" s="3" t="s">
        <v>378</v>
      </c>
      <c r="C364" s="3" t="str">
        <f t="shared" si="8"/>
        <v>2022-07-07</v>
      </c>
      <c r="D364" s="3" t="s">
        <v>9</v>
      </c>
      <c r="E364" s="3" t="s">
        <v>5</v>
      </c>
      <c r="F364" s="3" t="s">
        <v>10</v>
      </c>
      <c r="G364" s="3" t="s">
        <v>379</v>
      </c>
      <c r="H364" s="3" t="s">
        <v>380</v>
      </c>
      <c r="I364" s="4">
        <v>3490.87</v>
      </c>
      <c r="J364" s="3" t="s">
        <v>11</v>
      </c>
    </row>
    <row r="365" spans="1:10" x14ac:dyDescent="0.35">
      <c r="A365" s="3">
        <v>103409615</v>
      </c>
      <c r="B365" s="3" t="s">
        <v>381</v>
      </c>
      <c r="C365" s="3" t="str">
        <f t="shared" si="8"/>
        <v>2022-07-07</v>
      </c>
      <c r="D365" s="3" t="s">
        <v>9</v>
      </c>
      <c r="E365" s="3" t="s">
        <v>5</v>
      </c>
      <c r="F365" s="3" t="s">
        <v>10</v>
      </c>
      <c r="G365" s="3" t="s">
        <v>382</v>
      </c>
      <c r="H365" s="3" t="s">
        <v>383</v>
      </c>
      <c r="I365" s="4">
        <v>2960.2</v>
      </c>
      <c r="J365" s="3" t="s">
        <v>11</v>
      </c>
    </row>
    <row r="366" spans="1:10" x14ac:dyDescent="0.35">
      <c r="A366" s="3">
        <v>103409608</v>
      </c>
      <c r="B366" s="3" t="s">
        <v>384</v>
      </c>
      <c r="C366" s="3" t="str">
        <f t="shared" si="8"/>
        <v>2022-07-07</v>
      </c>
      <c r="D366" s="3" t="s">
        <v>9</v>
      </c>
      <c r="E366" s="3" t="s">
        <v>5</v>
      </c>
      <c r="F366" s="3" t="s">
        <v>10</v>
      </c>
      <c r="G366" s="3" t="s">
        <v>385</v>
      </c>
      <c r="H366" s="3" t="s">
        <v>386</v>
      </c>
      <c r="I366" s="5">
        <v>1349</v>
      </c>
      <c r="J366" s="3" t="s">
        <v>11</v>
      </c>
    </row>
    <row r="367" spans="1:10" x14ac:dyDescent="0.35">
      <c r="A367" s="3">
        <v>103409521</v>
      </c>
      <c r="B367" s="3" t="s">
        <v>387</v>
      </c>
      <c r="C367" s="3" t="str">
        <f t="shared" si="8"/>
        <v>2022-07-07</v>
      </c>
      <c r="D367" s="3" t="s">
        <v>9</v>
      </c>
      <c r="E367" s="3" t="s">
        <v>5</v>
      </c>
      <c r="F367" s="3" t="s">
        <v>10</v>
      </c>
      <c r="G367" s="3" t="s">
        <v>388</v>
      </c>
      <c r="H367" s="3" t="s">
        <v>389</v>
      </c>
      <c r="I367" s="5">
        <v>2249</v>
      </c>
      <c r="J367" s="3" t="s">
        <v>11</v>
      </c>
    </row>
    <row r="368" spans="1:10" x14ac:dyDescent="0.35">
      <c r="A368" s="3">
        <v>103409517</v>
      </c>
      <c r="B368" s="3" t="s">
        <v>390</v>
      </c>
      <c r="C368" s="3" t="str">
        <f t="shared" si="8"/>
        <v>2022-07-07</v>
      </c>
      <c r="D368" s="3" t="s">
        <v>9</v>
      </c>
      <c r="E368" s="3" t="s">
        <v>5</v>
      </c>
      <c r="F368" s="3" t="s">
        <v>12</v>
      </c>
      <c r="G368" s="3" t="s">
        <v>391</v>
      </c>
      <c r="H368" s="3" t="s">
        <v>392</v>
      </c>
      <c r="I368" s="3">
        <v>489</v>
      </c>
      <c r="J368" s="3" t="s">
        <v>11</v>
      </c>
    </row>
    <row r="369" spans="1:10" x14ac:dyDescent="0.35">
      <c r="A369" s="3">
        <v>103409514</v>
      </c>
      <c r="B369" s="3" t="s">
        <v>393</v>
      </c>
      <c r="C369" s="3" t="str">
        <f t="shared" si="8"/>
        <v>2022-07-07</v>
      </c>
      <c r="D369" s="3" t="s">
        <v>9</v>
      </c>
      <c r="E369" s="3" t="s">
        <v>5</v>
      </c>
      <c r="F369" s="3" t="s">
        <v>12</v>
      </c>
      <c r="G369" s="3" t="s">
        <v>394</v>
      </c>
      <c r="H369" s="3" t="s">
        <v>395</v>
      </c>
      <c r="I369" s="3">
        <v>369</v>
      </c>
      <c r="J369" s="3" t="s">
        <v>11</v>
      </c>
    </row>
    <row r="370" spans="1:10" x14ac:dyDescent="0.35">
      <c r="A370" s="3">
        <v>103409604</v>
      </c>
      <c r="B370" s="3" t="s">
        <v>396</v>
      </c>
      <c r="C370" s="3" t="str">
        <f t="shared" si="8"/>
        <v>2022-07-07</v>
      </c>
      <c r="D370" s="3" t="s">
        <v>9</v>
      </c>
      <c r="E370" s="3" t="s">
        <v>5</v>
      </c>
      <c r="F370" s="3" t="s">
        <v>12</v>
      </c>
      <c r="G370" s="3" t="s">
        <v>397</v>
      </c>
      <c r="H370" s="3" t="s">
        <v>398</v>
      </c>
      <c r="I370" s="4">
        <v>2041.55</v>
      </c>
      <c r="J370" s="3" t="s">
        <v>11</v>
      </c>
    </row>
    <row r="371" spans="1:10" x14ac:dyDescent="0.35">
      <c r="A371" s="3">
        <v>103409595</v>
      </c>
      <c r="B371" s="3" t="s">
        <v>399</v>
      </c>
      <c r="C371" s="3" t="str">
        <f t="shared" si="8"/>
        <v>2022-07-07</v>
      </c>
      <c r="D371" s="3" t="s">
        <v>9</v>
      </c>
      <c r="E371" s="3" t="s">
        <v>5</v>
      </c>
      <c r="F371" s="3" t="s">
        <v>10</v>
      </c>
      <c r="G371" s="3" t="s">
        <v>400</v>
      </c>
      <c r="H371" s="3" t="s">
        <v>401</v>
      </c>
      <c r="I371" s="4">
        <v>1994.05</v>
      </c>
      <c r="J371" s="3" t="s">
        <v>11</v>
      </c>
    </row>
    <row r="372" spans="1:10" x14ac:dyDescent="0.35">
      <c r="A372" s="3">
        <v>103409509</v>
      </c>
      <c r="B372" s="3" t="s">
        <v>402</v>
      </c>
      <c r="C372" s="3" t="str">
        <f t="shared" si="8"/>
        <v>2022-07-07</v>
      </c>
      <c r="D372" s="3" t="s">
        <v>9</v>
      </c>
      <c r="E372" s="3" t="s">
        <v>5</v>
      </c>
      <c r="F372" s="3" t="s">
        <v>10</v>
      </c>
      <c r="G372" s="3" t="s">
        <v>403</v>
      </c>
      <c r="H372" s="3" t="s">
        <v>404</v>
      </c>
      <c r="I372" s="5">
        <v>1617</v>
      </c>
      <c r="J372" s="3" t="s">
        <v>11</v>
      </c>
    </row>
    <row r="373" spans="1:10" x14ac:dyDescent="0.35">
      <c r="A373" s="3">
        <v>103409508</v>
      </c>
      <c r="B373" s="3" t="s">
        <v>405</v>
      </c>
      <c r="C373" s="3" t="str">
        <f t="shared" si="8"/>
        <v>2022-07-07</v>
      </c>
      <c r="D373" s="3" t="s">
        <v>9</v>
      </c>
      <c r="E373" s="3" t="s">
        <v>5</v>
      </c>
      <c r="F373" s="3" t="s">
        <v>10</v>
      </c>
      <c r="G373" s="3" t="s">
        <v>406</v>
      </c>
      <c r="H373" s="3" t="s">
        <v>407</v>
      </c>
      <c r="I373" s="4">
        <v>5735.15</v>
      </c>
      <c r="J373" s="3" t="s">
        <v>11</v>
      </c>
    </row>
    <row r="374" spans="1:10" x14ac:dyDescent="0.35">
      <c r="A374" s="3">
        <v>103409594</v>
      </c>
      <c r="B374" s="3" t="s">
        <v>408</v>
      </c>
      <c r="C374" s="3" t="str">
        <f t="shared" si="8"/>
        <v>2022-07-07</v>
      </c>
      <c r="D374" s="3" t="s">
        <v>9</v>
      </c>
      <c r="E374" s="3" t="s">
        <v>5</v>
      </c>
      <c r="F374" s="3" t="s">
        <v>10</v>
      </c>
      <c r="G374" s="3" t="s">
        <v>409</v>
      </c>
      <c r="H374" s="3" t="s">
        <v>410</v>
      </c>
      <c r="I374" s="4">
        <v>2051.14</v>
      </c>
      <c r="J374" s="3" t="s">
        <v>11</v>
      </c>
    </row>
    <row r="375" spans="1:10" x14ac:dyDescent="0.35">
      <c r="A375" s="3">
        <v>103409585</v>
      </c>
      <c r="B375" s="3" t="s">
        <v>411</v>
      </c>
      <c r="C375" s="3" t="str">
        <f t="shared" si="8"/>
        <v>2022-07-07</v>
      </c>
      <c r="D375" s="3" t="s">
        <v>9</v>
      </c>
      <c r="E375" s="3" t="s">
        <v>5</v>
      </c>
      <c r="F375" s="3" t="s">
        <v>10</v>
      </c>
      <c r="G375" s="3" t="s">
        <v>412</v>
      </c>
      <c r="H375" s="3" t="s">
        <v>413</v>
      </c>
      <c r="I375" s="4">
        <v>2658.1</v>
      </c>
      <c r="J375" s="3" t="s">
        <v>13</v>
      </c>
    </row>
    <row r="376" spans="1:10" x14ac:dyDescent="0.35">
      <c r="A376" s="3">
        <v>103409500</v>
      </c>
      <c r="B376" s="3" t="s">
        <v>414</v>
      </c>
      <c r="C376" s="3" t="str">
        <f t="shared" si="8"/>
        <v>2022-07-07</v>
      </c>
      <c r="D376" s="3" t="s">
        <v>9</v>
      </c>
      <c r="E376" s="3" t="s">
        <v>5</v>
      </c>
      <c r="F376" s="3" t="s">
        <v>12</v>
      </c>
      <c r="G376" s="3" t="s">
        <v>415</v>
      </c>
      <c r="H376" s="3" t="s">
        <v>416</v>
      </c>
      <c r="I376" s="4">
        <v>2611.5500000000002</v>
      </c>
      <c r="J376" s="3" t="s">
        <v>11</v>
      </c>
    </row>
    <row r="377" spans="1:10" x14ac:dyDescent="0.35">
      <c r="A377" s="3">
        <v>103409579</v>
      </c>
      <c r="B377" s="3" t="s">
        <v>417</v>
      </c>
      <c r="C377" s="3" t="str">
        <f t="shared" si="8"/>
        <v>2022-07-07</v>
      </c>
      <c r="D377" s="3" t="s">
        <v>9</v>
      </c>
      <c r="E377" s="3" t="s">
        <v>5</v>
      </c>
      <c r="F377" s="3" t="s">
        <v>10</v>
      </c>
      <c r="G377" s="3" t="s">
        <v>418</v>
      </c>
      <c r="H377" s="3" t="s">
        <v>419</v>
      </c>
      <c r="I377" s="3">
        <v>495.04</v>
      </c>
      <c r="J377" s="3" t="s">
        <v>11</v>
      </c>
    </row>
    <row r="378" spans="1:10" x14ac:dyDescent="0.35">
      <c r="A378" s="3">
        <v>103409487</v>
      </c>
      <c r="B378" s="3" t="s">
        <v>420</v>
      </c>
      <c r="C378" s="3" t="str">
        <f t="shared" si="8"/>
        <v>2022-07-06</v>
      </c>
      <c r="D378" s="3" t="s">
        <v>9</v>
      </c>
      <c r="E378" s="3" t="s">
        <v>5</v>
      </c>
      <c r="F378" s="3" t="s">
        <v>10</v>
      </c>
      <c r="G378" s="3" t="s">
        <v>421</v>
      </c>
      <c r="H378" s="3" t="s">
        <v>422</v>
      </c>
      <c r="I378" s="4">
        <v>2350.39</v>
      </c>
      <c r="J378" s="3" t="s">
        <v>11</v>
      </c>
    </row>
    <row r="379" spans="1:10" x14ac:dyDescent="0.35">
      <c r="A379" s="3">
        <v>103409461</v>
      </c>
      <c r="B379" s="3" t="s">
        <v>423</v>
      </c>
      <c r="C379" s="3" t="str">
        <f t="shared" si="8"/>
        <v>2022-07-06</v>
      </c>
      <c r="D379" s="3" t="s">
        <v>9</v>
      </c>
      <c r="E379" s="3" t="s">
        <v>5</v>
      </c>
      <c r="F379" s="3" t="s">
        <v>10</v>
      </c>
      <c r="G379" s="3" t="s">
        <v>424</v>
      </c>
      <c r="H379" s="3" t="s">
        <v>425</v>
      </c>
      <c r="I379" s="4">
        <v>1347.1</v>
      </c>
      <c r="J379" s="3" t="s">
        <v>11</v>
      </c>
    </row>
    <row r="380" spans="1:10" x14ac:dyDescent="0.35">
      <c r="A380" s="3">
        <v>103409460</v>
      </c>
      <c r="B380" s="3" t="s">
        <v>426</v>
      </c>
      <c r="C380" s="3" t="str">
        <f t="shared" si="8"/>
        <v>2022-07-06</v>
      </c>
      <c r="D380" s="3" t="s">
        <v>9</v>
      </c>
      <c r="E380" s="3" t="s">
        <v>5</v>
      </c>
      <c r="F380" s="3" t="s">
        <v>10</v>
      </c>
      <c r="G380" s="3" t="s">
        <v>427</v>
      </c>
      <c r="H380" s="3" t="s">
        <v>428</v>
      </c>
      <c r="I380" s="3">
        <v>639</v>
      </c>
      <c r="J380" s="3" t="s">
        <v>11</v>
      </c>
    </row>
    <row r="381" spans="1:10" x14ac:dyDescent="0.35">
      <c r="A381" s="3">
        <v>103409458</v>
      </c>
      <c r="B381" s="3" t="s">
        <v>429</v>
      </c>
      <c r="C381" s="3" t="str">
        <f t="shared" si="8"/>
        <v>2022-07-06</v>
      </c>
      <c r="D381" s="3" t="s">
        <v>9</v>
      </c>
      <c r="E381" s="3" t="s">
        <v>5</v>
      </c>
      <c r="F381" s="3" t="s">
        <v>10</v>
      </c>
      <c r="G381" s="3" t="s">
        <v>430</v>
      </c>
      <c r="H381" s="3" t="s">
        <v>431</v>
      </c>
      <c r="I381" s="3">
        <v>113.05</v>
      </c>
      <c r="J381" s="3" t="s">
        <v>11</v>
      </c>
    </row>
    <row r="382" spans="1:10" x14ac:dyDescent="0.35">
      <c r="A382" s="3">
        <v>103409457</v>
      </c>
      <c r="B382" s="3" t="s">
        <v>432</v>
      </c>
      <c r="C382" s="3" t="str">
        <f t="shared" si="8"/>
        <v>2022-07-06</v>
      </c>
      <c r="D382" s="3" t="s">
        <v>9</v>
      </c>
      <c r="E382" s="3" t="s">
        <v>5</v>
      </c>
      <c r="F382" s="3" t="s">
        <v>10</v>
      </c>
      <c r="G382" s="3" t="s">
        <v>433</v>
      </c>
      <c r="H382" s="3" t="s">
        <v>434</v>
      </c>
      <c r="I382" s="3">
        <v>92.15</v>
      </c>
      <c r="J382" s="3" t="s">
        <v>11</v>
      </c>
    </row>
    <row r="383" spans="1:10" x14ac:dyDescent="0.35">
      <c r="A383" s="3">
        <v>103409474</v>
      </c>
      <c r="B383" s="3" t="s">
        <v>435</v>
      </c>
      <c r="C383" s="3" t="str">
        <f t="shared" si="8"/>
        <v>2022-07-06</v>
      </c>
      <c r="D383" s="3" t="s">
        <v>9</v>
      </c>
      <c r="E383" s="3" t="s">
        <v>5</v>
      </c>
      <c r="F383" s="3" t="s">
        <v>12</v>
      </c>
      <c r="G383" s="3" t="s">
        <v>436</v>
      </c>
      <c r="H383" s="3" t="s">
        <v>437</v>
      </c>
      <c r="I383" s="5">
        <v>1499</v>
      </c>
      <c r="J383" s="3" t="s">
        <v>11</v>
      </c>
    </row>
    <row r="384" spans="1:10" x14ac:dyDescent="0.35">
      <c r="A384" s="3">
        <v>103409469</v>
      </c>
      <c r="B384" s="3" t="s">
        <v>438</v>
      </c>
      <c r="C384" s="3" t="str">
        <f t="shared" si="8"/>
        <v>2022-07-06</v>
      </c>
      <c r="D384" s="3" t="s">
        <v>9</v>
      </c>
      <c r="E384" s="3" t="s">
        <v>5</v>
      </c>
      <c r="F384" s="3" t="s">
        <v>10</v>
      </c>
      <c r="G384" s="3" t="s">
        <v>439</v>
      </c>
      <c r="H384" s="3" t="s">
        <v>440</v>
      </c>
      <c r="I384" s="3">
        <v>899</v>
      </c>
      <c r="J384" s="3" t="s">
        <v>11</v>
      </c>
    </row>
    <row r="385" spans="1:10" x14ac:dyDescent="0.35">
      <c r="A385" s="3">
        <v>103409465</v>
      </c>
      <c r="B385" s="3" t="s">
        <v>441</v>
      </c>
      <c r="C385" s="3" t="str">
        <f t="shared" si="8"/>
        <v>2022-07-06</v>
      </c>
      <c r="D385" s="3" t="s">
        <v>9</v>
      </c>
      <c r="E385" s="3" t="s">
        <v>5</v>
      </c>
      <c r="F385" s="3" t="s">
        <v>10</v>
      </c>
      <c r="G385" s="3" t="s">
        <v>442</v>
      </c>
      <c r="H385" s="3" t="s">
        <v>443</v>
      </c>
      <c r="I385" s="3">
        <v>799</v>
      </c>
      <c r="J385" s="3" t="s">
        <v>11</v>
      </c>
    </row>
    <row r="386" spans="1:10" x14ac:dyDescent="0.35">
      <c r="A386" s="3">
        <v>103409449</v>
      </c>
      <c r="B386" s="3" t="s">
        <v>444</v>
      </c>
      <c r="C386" s="3" t="str">
        <f t="shared" si="8"/>
        <v>2022-07-06</v>
      </c>
      <c r="D386" s="3" t="s">
        <v>9</v>
      </c>
      <c r="E386" s="3" t="s">
        <v>5</v>
      </c>
      <c r="F386" s="3" t="s">
        <v>10</v>
      </c>
      <c r="G386" s="3" t="s">
        <v>445</v>
      </c>
      <c r="H386" s="3" t="s">
        <v>446</v>
      </c>
      <c r="I386" s="4">
        <v>3656.55</v>
      </c>
      <c r="J386" s="3" t="s">
        <v>11</v>
      </c>
    </row>
    <row r="387" spans="1:10" x14ac:dyDescent="0.35">
      <c r="A387" s="3">
        <v>103409443</v>
      </c>
      <c r="B387" s="3" t="s">
        <v>447</v>
      </c>
      <c r="C387" s="3" t="str">
        <f t="shared" ref="C387:C450" si="9">LEFT(B387,FIND("T",B387)-1)</f>
        <v>2022-07-06</v>
      </c>
      <c r="D387" s="3" t="s">
        <v>9</v>
      </c>
      <c r="E387" s="3" t="s">
        <v>5</v>
      </c>
      <c r="F387" s="3" t="s">
        <v>10</v>
      </c>
      <c r="G387" s="3" t="s">
        <v>448</v>
      </c>
      <c r="H387" s="3" t="s">
        <v>449</v>
      </c>
      <c r="I387" s="4">
        <v>2339.1</v>
      </c>
      <c r="J387" s="3" t="s">
        <v>11</v>
      </c>
    </row>
    <row r="388" spans="1:10" x14ac:dyDescent="0.35">
      <c r="A388" s="3">
        <v>103409442</v>
      </c>
      <c r="B388" s="3" t="s">
        <v>450</v>
      </c>
      <c r="C388" s="3" t="str">
        <f t="shared" si="9"/>
        <v>2022-07-06</v>
      </c>
      <c r="D388" s="3" t="s">
        <v>9</v>
      </c>
      <c r="E388" s="3" t="s">
        <v>5</v>
      </c>
      <c r="F388" s="3" t="s">
        <v>10</v>
      </c>
      <c r="G388" s="3" t="s">
        <v>451</v>
      </c>
      <c r="H388" s="3" t="s">
        <v>452</v>
      </c>
      <c r="I388" s="4">
        <v>1517.15</v>
      </c>
      <c r="J388" s="3" t="s">
        <v>11</v>
      </c>
    </row>
    <row r="389" spans="1:10" x14ac:dyDescent="0.35">
      <c r="A389" s="3">
        <v>103409439</v>
      </c>
      <c r="B389" s="3" t="s">
        <v>453</v>
      </c>
      <c r="C389" s="3" t="str">
        <f t="shared" si="9"/>
        <v>2022-07-06</v>
      </c>
      <c r="D389" s="3" t="s">
        <v>9</v>
      </c>
      <c r="E389" s="3" t="s">
        <v>5</v>
      </c>
      <c r="F389" s="3" t="s">
        <v>10</v>
      </c>
      <c r="G389" s="3" t="s">
        <v>454</v>
      </c>
      <c r="H389" s="3" t="s">
        <v>455</v>
      </c>
      <c r="I389" s="4">
        <v>2773.05</v>
      </c>
      <c r="J389" s="3" t="s">
        <v>11</v>
      </c>
    </row>
    <row r="390" spans="1:10" x14ac:dyDescent="0.35">
      <c r="A390" s="3">
        <v>103409359</v>
      </c>
      <c r="B390" s="3" t="s">
        <v>456</v>
      </c>
      <c r="C390" s="3" t="str">
        <f t="shared" si="9"/>
        <v>2022-07-06</v>
      </c>
      <c r="D390" s="3" t="s">
        <v>9</v>
      </c>
      <c r="E390" s="3" t="s">
        <v>5</v>
      </c>
      <c r="F390" s="3" t="s">
        <v>10</v>
      </c>
      <c r="G390" s="3" t="s">
        <v>457</v>
      </c>
      <c r="H390" s="3" t="s">
        <v>458</v>
      </c>
      <c r="I390" s="4">
        <v>6839.05</v>
      </c>
      <c r="J390" s="3" t="s">
        <v>11</v>
      </c>
    </row>
    <row r="391" spans="1:10" x14ac:dyDescent="0.35">
      <c r="A391" s="3">
        <v>103409358</v>
      </c>
      <c r="B391" s="3" t="s">
        <v>459</v>
      </c>
      <c r="C391" s="3" t="str">
        <f t="shared" si="9"/>
        <v>2022-07-06</v>
      </c>
      <c r="D391" s="3" t="s">
        <v>9</v>
      </c>
      <c r="E391" s="3" t="s">
        <v>5</v>
      </c>
      <c r="F391" s="3" t="s">
        <v>10</v>
      </c>
      <c r="G391" s="3" t="s">
        <v>460</v>
      </c>
      <c r="H391" s="3" t="s">
        <v>461</v>
      </c>
      <c r="I391" s="5">
        <v>1269</v>
      </c>
      <c r="J391" s="3" t="s">
        <v>11</v>
      </c>
    </row>
    <row r="392" spans="1:10" x14ac:dyDescent="0.35">
      <c r="A392" s="3">
        <v>103409437</v>
      </c>
      <c r="B392" s="3" t="s">
        <v>462</v>
      </c>
      <c r="C392" s="3" t="str">
        <f t="shared" si="9"/>
        <v>2022-07-06</v>
      </c>
      <c r="D392" s="3" t="s">
        <v>9</v>
      </c>
      <c r="E392" s="3" t="s">
        <v>5</v>
      </c>
      <c r="F392" s="3" t="s">
        <v>10</v>
      </c>
      <c r="G392" s="3" t="s">
        <v>463</v>
      </c>
      <c r="H392" s="3" t="s">
        <v>464</v>
      </c>
      <c r="I392" s="4">
        <v>2773.05</v>
      </c>
      <c r="J392" s="3" t="s">
        <v>11</v>
      </c>
    </row>
    <row r="393" spans="1:10" x14ac:dyDescent="0.35">
      <c r="A393" s="3">
        <v>103409354</v>
      </c>
      <c r="B393" s="3" t="s">
        <v>465</v>
      </c>
      <c r="C393" s="3" t="str">
        <f t="shared" si="9"/>
        <v>2022-07-06</v>
      </c>
      <c r="D393" s="3" t="s">
        <v>9</v>
      </c>
      <c r="E393" s="3" t="s">
        <v>5</v>
      </c>
      <c r="F393" s="3" t="s">
        <v>10</v>
      </c>
      <c r="G393" s="3" t="s">
        <v>466</v>
      </c>
      <c r="H393" s="3" t="s">
        <v>467</v>
      </c>
      <c r="I393" s="4">
        <v>1649.29</v>
      </c>
      <c r="J393" s="3" t="s">
        <v>11</v>
      </c>
    </row>
    <row r="394" spans="1:10" x14ac:dyDescent="0.35">
      <c r="A394" s="3">
        <v>103409353</v>
      </c>
      <c r="B394" s="3" t="s">
        <v>468</v>
      </c>
      <c r="C394" s="3" t="str">
        <f t="shared" si="9"/>
        <v>2022-07-06</v>
      </c>
      <c r="D394" s="3" t="s">
        <v>9</v>
      </c>
      <c r="E394" s="3" t="s">
        <v>5</v>
      </c>
      <c r="F394" s="3" t="s">
        <v>10</v>
      </c>
      <c r="G394" s="3" t="s">
        <v>460</v>
      </c>
      <c r="H394" s="3" t="s">
        <v>461</v>
      </c>
      <c r="I394" s="5">
        <v>1169</v>
      </c>
      <c r="J394" s="3" t="s">
        <v>11</v>
      </c>
    </row>
    <row r="395" spans="1:10" x14ac:dyDescent="0.35">
      <c r="A395" s="3">
        <v>103409432</v>
      </c>
      <c r="B395" s="3" t="s">
        <v>469</v>
      </c>
      <c r="C395" s="3" t="str">
        <f t="shared" si="9"/>
        <v>2022-07-06</v>
      </c>
      <c r="D395" s="3" t="s">
        <v>9</v>
      </c>
      <c r="E395" s="3" t="s">
        <v>5</v>
      </c>
      <c r="F395" s="3" t="s">
        <v>10</v>
      </c>
      <c r="G395" s="3" t="s">
        <v>470</v>
      </c>
      <c r="H395" s="3" t="s">
        <v>471</v>
      </c>
      <c r="I395" s="4">
        <v>1025.1400000000001</v>
      </c>
      <c r="J395" s="3" t="s">
        <v>11</v>
      </c>
    </row>
    <row r="396" spans="1:10" x14ac:dyDescent="0.35">
      <c r="A396" s="3">
        <v>103409341</v>
      </c>
      <c r="B396" s="3" t="s">
        <v>472</v>
      </c>
      <c r="C396" s="3" t="str">
        <f t="shared" si="9"/>
        <v>2022-07-06</v>
      </c>
      <c r="D396" s="3" t="s">
        <v>9</v>
      </c>
      <c r="E396" s="3" t="s">
        <v>5</v>
      </c>
      <c r="F396" s="3" t="s">
        <v>10</v>
      </c>
      <c r="G396" s="3" t="s">
        <v>473</v>
      </c>
      <c r="H396" s="3" t="s">
        <v>474</v>
      </c>
      <c r="I396" s="4">
        <v>3656.55</v>
      </c>
      <c r="J396" s="3" t="s">
        <v>11</v>
      </c>
    </row>
    <row r="397" spans="1:10" x14ac:dyDescent="0.35">
      <c r="A397" s="3">
        <v>103409339</v>
      </c>
      <c r="B397" s="3" t="s">
        <v>475</v>
      </c>
      <c r="C397" s="3" t="str">
        <f t="shared" si="9"/>
        <v>2022-07-06</v>
      </c>
      <c r="D397" s="3" t="s">
        <v>9</v>
      </c>
      <c r="E397" s="3" t="s">
        <v>5</v>
      </c>
      <c r="F397" s="3" t="s">
        <v>10</v>
      </c>
      <c r="G397" s="3" t="s">
        <v>476</v>
      </c>
      <c r="H397" s="3" t="s">
        <v>477</v>
      </c>
      <c r="I397" s="5">
        <v>2799</v>
      </c>
      <c r="J397" s="3" t="s">
        <v>11</v>
      </c>
    </row>
    <row r="398" spans="1:10" x14ac:dyDescent="0.35">
      <c r="A398" s="3">
        <v>103409337</v>
      </c>
      <c r="B398" s="3" t="s">
        <v>478</v>
      </c>
      <c r="C398" s="3" t="str">
        <f t="shared" si="9"/>
        <v>2022-07-06</v>
      </c>
      <c r="D398" s="3" t="s">
        <v>9</v>
      </c>
      <c r="E398" s="3" t="s">
        <v>5</v>
      </c>
      <c r="F398" s="3" t="s">
        <v>10</v>
      </c>
      <c r="G398" s="3" t="s">
        <v>479</v>
      </c>
      <c r="H398" s="3" t="s">
        <v>480</v>
      </c>
      <c r="I398" s="4">
        <v>3419.14</v>
      </c>
      <c r="J398" s="3" t="s">
        <v>11</v>
      </c>
    </row>
    <row r="399" spans="1:10" x14ac:dyDescent="0.35">
      <c r="A399" s="3">
        <v>103409334</v>
      </c>
      <c r="B399" s="3" t="s">
        <v>481</v>
      </c>
      <c r="C399" s="3" t="str">
        <f t="shared" si="9"/>
        <v>2022-07-06</v>
      </c>
      <c r="D399" s="3" t="s">
        <v>9</v>
      </c>
      <c r="E399" s="3" t="s">
        <v>5</v>
      </c>
      <c r="F399" s="3" t="s">
        <v>12</v>
      </c>
      <c r="G399" s="3" t="s">
        <v>482</v>
      </c>
      <c r="H399" s="3" t="s">
        <v>483</v>
      </c>
      <c r="I399" s="5">
        <v>4474</v>
      </c>
      <c r="J399" s="3" t="s">
        <v>11</v>
      </c>
    </row>
    <row r="400" spans="1:10" x14ac:dyDescent="0.35">
      <c r="A400" s="3">
        <v>103409422</v>
      </c>
      <c r="B400" s="3" t="s">
        <v>484</v>
      </c>
      <c r="C400" s="3" t="str">
        <f t="shared" si="9"/>
        <v>2022-07-06</v>
      </c>
      <c r="D400" s="3" t="s">
        <v>9</v>
      </c>
      <c r="E400" s="3" t="s">
        <v>5</v>
      </c>
      <c r="F400" s="3" t="s">
        <v>10</v>
      </c>
      <c r="G400" s="3" t="s">
        <v>485</v>
      </c>
      <c r="H400" s="3" t="s">
        <v>486</v>
      </c>
      <c r="I400" s="5">
        <v>6353</v>
      </c>
      <c r="J400" s="3" t="s">
        <v>11</v>
      </c>
    </row>
    <row r="401" spans="1:10" x14ac:dyDescent="0.35">
      <c r="A401" s="3">
        <v>103409421</v>
      </c>
      <c r="B401" s="3" t="s">
        <v>487</v>
      </c>
      <c r="C401" s="3" t="str">
        <f t="shared" si="9"/>
        <v>2022-07-06</v>
      </c>
      <c r="D401" s="3" t="s">
        <v>9</v>
      </c>
      <c r="E401" s="3" t="s">
        <v>5</v>
      </c>
      <c r="F401" s="3" t="s">
        <v>10</v>
      </c>
      <c r="G401" s="3" t="s">
        <v>488</v>
      </c>
      <c r="H401" s="3" t="s">
        <v>489</v>
      </c>
      <c r="I401" s="4">
        <v>2977.35</v>
      </c>
      <c r="J401" s="3" t="s">
        <v>11</v>
      </c>
    </row>
    <row r="402" spans="1:10" x14ac:dyDescent="0.35">
      <c r="A402" s="3">
        <v>103409331</v>
      </c>
      <c r="B402" s="3" t="s">
        <v>490</v>
      </c>
      <c r="C402" s="3" t="str">
        <f t="shared" si="9"/>
        <v>2022-07-06</v>
      </c>
      <c r="D402" s="3" t="s">
        <v>9</v>
      </c>
      <c r="E402" s="3" t="s">
        <v>5</v>
      </c>
      <c r="F402" s="3" t="s">
        <v>10</v>
      </c>
      <c r="G402" s="3" t="s">
        <v>479</v>
      </c>
      <c r="H402" s="3" t="s">
        <v>480</v>
      </c>
      <c r="I402" s="4">
        <v>4274.1400000000003</v>
      </c>
      <c r="J402" s="3" t="s">
        <v>11</v>
      </c>
    </row>
    <row r="403" spans="1:10" x14ac:dyDescent="0.35">
      <c r="A403" s="3">
        <v>103409418</v>
      </c>
      <c r="B403" s="3" t="s">
        <v>491</v>
      </c>
      <c r="C403" s="3" t="str">
        <f t="shared" si="9"/>
        <v>2022-07-06</v>
      </c>
      <c r="D403" s="3" t="s">
        <v>9</v>
      </c>
      <c r="E403" s="3" t="s">
        <v>5</v>
      </c>
      <c r="F403" s="3" t="s">
        <v>10</v>
      </c>
      <c r="G403" s="3" t="s">
        <v>492</v>
      </c>
      <c r="H403" s="3" t="s">
        <v>493</v>
      </c>
      <c r="I403" s="5">
        <v>1169</v>
      </c>
      <c r="J403" s="3" t="s">
        <v>11</v>
      </c>
    </row>
    <row r="404" spans="1:10" x14ac:dyDescent="0.35">
      <c r="A404" s="3">
        <v>103409416</v>
      </c>
      <c r="B404" s="3" t="s">
        <v>494</v>
      </c>
      <c r="C404" s="3" t="str">
        <f t="shared" si="9"/>
        <v>2022-07-06</v>
      </c>
      <c r="D404" s="3" t="s">
        <v>9</v>
      </c>
      <c r="E404" s="3" t="s">
        <v>5</v>
      </c>
      <c r="F404" s="3" t="s">
        <v>10</v>
      </c>
      <c r="G404" s="3" t="s">
        <v>495</v>
      </c>
      <c r="H404" s="3" t="s">
        <v>496</v>
      </c>
      <c r="I404" s="4">
        <v>3988.1</v>
      </c>
      <c r="J404" s="3" t="s">
        <v>11</v>
      </c>
    </row>
    <row r="405" spans="1:10" x14ac:dyDescent="0.35">
      <c r="A405" s="3">
        <v>103409407</v>
      </c>
      <c r="B405" s="3" t="s">
        <v>497</v>
      </c>
      <c r="C405" s="3" t="str">
        <f t="shared" si="9"/>
        <v>2022-07-06</v>
      </c>
      <c r="D405" s="3" t="s">
        <v>9</v>
      </c>
      <c r="E405" s="3" t="s">
        <v>5</v>
      </c>
      <c r="F405" s="3" t="s">
        <v>10</v>
      </c>
      <c r="G405" s="3" t="s">
        <v>498</v>
      </c>
      <c r="H405" s="3" t="s">
        <v>499</v>
      </c>
      <c r="I405" s="3">
        <v>426.55</v>
      </c>
      <c r="J405" s="3" t="s">
        <v>11</v>
      </c>
    </row>
    <row r="406" spans="1:10" x14ac:dyDescent="0.35">
      <c r="A406" s="3">
        <v>103409325</v>
      </c>
      <c r="B406" s="3" t="s">
        <v>500</v>
      </c>
      <c r="C406" s="3" t="str">
        <f t="shared" si="9"/>
        <v>2022-07-06</v>
      </c>
      <c r="D406" s="3" t="s">
        <v>9</v>
      </c>
      <c r="E406" s="3" t="s">
        <v>5</v>
      </c>
      <c r="F406" s="3" t="s">
        <v>12</v>
      </c>
      <c r="G406" s="3" t="s">
        <v>501</v>
      </c>
      <c r="H406" s="3" t="s">
        <v>502</v>
      </c>
      <c r="I406" s="3">
        <v>819</v>
      </c>
      <c r="J406" s="3" t="s">
        <v>11</v>
      </c>
    </row>
    <row r="407" spans="1:10" x14ac:dyDescent="0.35">
      <c r="A407" s="3">
        <v>103409324</v>
      </c>
      <c r="B407" s="3" t="s">
        <v>503</v>
      </c>
      <c r="C407" s="3" t="str">
        <f t="shared" si="9"/>
        <v>2022-07-06</v>
      </c>
      <c r="D407" s="3" t="s">
        <v>9</v>
      </c>
      <c r="E407" s="3" t="s">
        <v>5</v>
      </c>
      <c r="F407" s="3" t="s">
        <v>10</v>
      </c>
      <c r="G407" s="3" t="s">
        <v>504</v>
      </c>
      <c r="H407" s="3" t="s">
        <v>505</v>
      </c>
      <c r="I407" s="4">
        <v>4048.5</v>
      </c>
      <c r="J407" s="3" t="s">
        <v>11</v>
      </c>
    </row>
    <row r="408" spans="1:10" x14ac:dyDescent="0.35">
      <c r="A408" s="3">
        <v>103409403</v>
      </c>
      <c r="B408" s="3" t="s">
        <v>506</v>
      </c>
      <c r="C408" s="3" t="str">
        <f t="shared" si="9"/>
        <v>2022-07-06</v>
      </c>
      <c r="D408" s="3" t="s">
        <v>9</v>
      </c>
      <c r="E408" s="3" t="s">
        <v>5</v>
      </c>
      <c r="F408" s="3" t="s">
        <v>10</v>
      </c>
      <c r="G408" s="3" t="s">
        <v>507</v>
      </c>
      <c r="H408" s="3" t="s">
        <v>508</v>
      </c>
      <c r="I408" s="4">
        <v>3761.14</v>
      </c>
      <c r="J408" s="3" t="s">
        <v>11</v>
      </c>
    </row>
    <row r="409" spans="1:10" x14ac:dyDescent="0.35">
      <c r="A409" s="3">
        <v>103409321</v>
      </c>
      <c r="B409" s="3" t="s">
        <v>509</v>
      </c>
      <c r="C409" s="3" t="str">
        <f t="shared" si="9"/>
        <v>2022-07-06</v>
      </c>
      <c r="D409" s="3" t="s">
        <v>9</v>
      </c>
      <c r="E409" s="3" t="s">
        <v>5</v>
      </c>
      <c r="F409" s="3" t="s">
        <v>10</v>
      </c>
      <c r="G409" s="3" t="s">
        <v>510</v>
      </c>
      <c r="H409" s="3" t="s">
        <v>511</v>
      </c>
      <c r="I409" s="5">
        <v>8808</v>
      </c>
      <c r="J409" s="3" t="s">
        <v>11</v>
      </c>
    </row>
    <row r="410" spans="1:10" x14ac:dyDescent="0.35">
      <c r="A410" s="3">
        <v>103409320</v>
      </c>
      <c r="B410" s="3" t="s">
        <v>512</v>
      </c>
      <c r="C410" s="3" t="str">
        <f t="shared" si="9"/>
        <v>2022-07-06</v>
      </c>
      <c r="D410" s="3" t="s">
        <v>9</v>
      </c>
      <c r="E410" s="3" t="s">
        <v>5</v>
      </c>
      <c r="F410" s="3" t="s">
        <v>10</v>
      </c>
      <c r="G410" s="3" t="s">
        <v>513</v>
      </c>
      <c r="H410" s="3" t="s">
        <v>514</v>
      </c>
      <c r="I410" s="4">
        <v>3039.05</v>
      </c>
      <c r="J410" s="3" t="s">
        <v>11</v>
      </c>
    </row>
    <row r="411" spans="1:10" x14ac:dyDescent="0.35">
      <c r="A411" s="3">
        <v>103409394</v>
      </c>
      <c r="B411" s="3" t="s">
        <v>515</v>
      </c>
      <c r="C411" s="3" t="str">
        <f t="shared" si="9"/>
        <v>2022-07-06</v>
      </c>
      <c r="D411" s="3" t="s">
        <v>9</v>
      </c>
      <c r="E411" s="3" t="s">
        <v>5</v>
      </c>
      <c r="F411" s="3" t="s">
        <v>12</v>
      </c>
      <c r="G411" s="3" t="s">
        <v>516</v>
      </c>
      <c r="H411" s="3" t="s">
        <v>517</v>
      </c>
      <c r="I411" s="4">
        <v>3324.05</v>
      </c>
      <c r="J411" s="3" t="s">
        <v>11</v>
      </c>
    </row>
    <row r="412" spans="1:10" x14ac:dyDescent="0.35">
      <c r="A412" s="3">
        <v>103409390</v>
      </c>
      <c r="B412" s="3" t="s">
        <v>518</v>
      </c>
      <c r="C412" s="3" t="str">
        <f t="shared" si="9"/>
        <v>2022-07-06</v>
      </c>
      <c r="D412" s="3" t="s">
        <v>9</v>
      </c>
      <c r="E412" s="3" t="s">
        <v>5</v>
      </c>
      <c r="F412" s="3" t="s">
        <v>10</v>
      </c>
      <c r="G412" s="3" t="s">
        <v>519</v>
      </c>
      <c r="H412" s="3" t="s">
        <v>520</v>
      </c>
      <c r="I412" s="5">
        <v>1199</v>
      </c>
      <c r="J412" s="3" t="s">
        <v>11</v>
      </c>
    </row>
    <row r="413" spans="1:10" x14ac:dyDescent="0.35">
      <c r="A413" s="3">
        <v>103409315</v>
      </c>
      <c r="B413" s="3" t="s">
        <v>521</v>
      </c>
      <c r="C413" s="3" t="str">
        <f t="shared" si="9"/>
        <v>2022-07-06</v>
      </c>
      <c r="D413" s="3" t="s">
        <v>9</v>
      </c>
      <c r="E413" s="3" t="s">
        <v>5</v>
      </c>
      <c r="F413" s="3" t="s">
        <v>10</v>
      </c>
      <c r="G413" s="3" t="s">
        <v>522</v>
      </c>
      <c r="H413" s="3" t="s">
        <v>523</v>
      </c>
      <c r="I413" s="5">
        <v>6198</v>
      </c>
      <c r="J413" s="3" t="s">
        <v>11</v>
      </c>
    </row>
    <row r="414" spans="1:10" x14ac:dyDescent="0.35">
      <c r="A414" s="3">
        <v>103409387</v>
      </c>
      <c r="B414" s="3" t="s">
        <v>524</v>
      </c>
      <c r="C414" s="3" t="str">
        <f t="shared" si="9"/>
        <v>2022-07-06</v>
      </c>
      <c r="D414" s="3" t="s">
        <v>9</v>
      </c>
      <c r="E414" s="3" t="s">
        <v>5</v>
      </c>
      <c r="F414" s="3" t="s">
        <v>10</v>
      </c>
      <c r="G414" s="3" t="s">
        <v>525</v>
      </c>
      <c r="H414" s="3" t="s">
        <v>526</v>
      </c>
      <c r="I414" s="5">
        <v>4549</v>
      </c>
      <c r="J414" s="3" t="s">
        <v>11</v>
      </c>
    </row>
    <row r="415" spans="1:10" x14ac:dyDescent="0.35">
      <c r="A415" s="3">
        <v>103409386</v>
      </c>
      <c r="B415" s="3" t="s">
        <v>527</v>
      </c>
      <c r="C415" s="3" t="str">
        <f t="shared" si="9"/>
        <v>2022-07-06</v>
      </c>
      <c r="D415" s="3" t="s">
        <v>9</v>
      </c>
      <c r="E415" s="3" t="s">
        <v>5</v>
      </c>
      <c r="F415" s="3" t="s">
        <v>10</v>
      </c>
      <c r="G415" s="3" t="s">
        <v>528</v>
      </c>
      <c r="H415" s="3" t="s">
        <v>529</v>
      </c>
      <c r="I415" s="4">
        <v>4504.1400000000003</v>
      </c>
      <c r="J415" s="3" t="s">
        <v>11</v>
      </c>
    </row>
    <row r="416" spans="1:10" x14ac:dyDescent="0.35">
      <c r="A416" s="3">
        <v>103409310</v>
      </c>
      <c r="B416" s="3" t="s">
        <v>530</v>
      </c>
      <c r="C416" s="3" t="str">
        <f t="shared" si="9"/>
        <v>2022-07-06</v>
      </c>
      <c r="D416" s="3" t="s">
        <v>9</v>
      </c>
      <c r="E416" s="3" t="s">
        <v>5</v>
      </c>
      <c r="F416" s="3" t="s">
        <v>10</v>
      </c>
      <c r="G416" s="3" t="s">
        <v>531</v>
      </c>
      <c r="H416" s="3" t="s">
        <v>532</v>
      </c>
      <c r="I416" s="4">
        <v>2692.39</v>
      </c>
      <c r="J416" s="3" t="s">
        <v>11</v>
      </c>
    </row>
    <row r="417" spans="1:10" x14ac:dyDescent="0.35">
      <c r="A417" s="3">
        <v>103409383</v>
      </c>
      <c r="B417" s="3" t="s">
        <v>533</v>
      </c>
      <c r="C417" s="3" t="str">
        <f t="shared" si="9"/>
        <v>2022-07-06</v>
      </c>
      <c r="D417" s="3" t="s">
        <v>9</v>
      </c>
      <c r="E417" s="3" t="s">
        <v>5</v>
      </c>
      <c r="F417" s="3" t="s">
        <v>10</v>
      </c>
      <c r="G417" s="3" t="s">
        <v>534</v>
      </c>
      <c r="H417" s="3" t="s">
        <v>535</v>
      </c>
      <c r="I417" s="5">
        <v>1379</v>
      </c>
      <c r="J417" s="3" t="s">
        <v>11</v>
      </c>
    </row>
    <row r="418" spans="1:10" x14ac:dyDescent="0.35">
      <c r="A418" s="3">
        <v>103409307</v>
      </c>
      <c r="B418" s="3" t="s">
        <v>536</v>
      </c>
      <c r="C418" s="3" t="str">
        <f t="shared" si="9"/>
        <v>2022-07-06</v>
      </c>
      <c r="D418" s="3" t="s">
        <v>9</v>
      </c>
      <c r="E418" s="3" t="s">
        <v>5</v>
      </c>
      <c r="F418" s="3" t="s">
        <v>10</v>
      </c>
      <c r="G418" s="3" t="s">
        <v>537</v>
      </c>
      <c r="H418" s="3" t="s">
        <v>538</v>
      </c>
      <c r="I418" s="5">
        <v>1499</v>
      </c>
      <c r="J418" s="3" t="s">
        <v>11</v>
      </c>
    </row>
    <row r="419" spans="1:10" x14ac:dyDescent="0.35">
      <c r="A419" s="3">
        <v>103409306</v>
      </c>
      <c r="B419" s="3" t="s">
        <v>539</v>
      </c>
      <c r="C419" s="3" t="str">
        <f t="shared" si="9"/>
        <v>2022-07-06</v>
      </c>
      <c r="D419" s="3" t="s">
        <v>9</v>
      </c>
      <c r="E419" s="3" t="s">
        <v>5</v>
      </c>
      <c r="F419" s="3" t="s">
        <v>12</v>
      </c>
      <c r="G419" s="3" t="s">
        <v>540</v>
      </c>
      <c r="H419" s="3" t="s">
        <v>541</v>
      </c>
      <c r="I419" s="5">
        <v>1498</v>
      </c>
      <c r="J419" s="3" t="s">
        <v>11</v>
      </c>
    </row>
    <row r="420" spans="1:10" x14ac:dyDescent="0.35">
      <c r="A420" s="3">
        <v>103409298</v>
      </c>
      <c r="B420" s="3" t="s">
        <v>542</v>
      </c>
      <c r="C420" s="3" t="str">
        <f t="shared" si="9"/>
        <v>2022-07-06</v>
      </c>
      <c r="D420" s="3" t="s">
        <v>9</v>
      </c>
      <c r="E420" s="3" t="s">
        <v>5</v>
      </c>
      <c r="F420" s="3" t="s">
        <v>10</v>
      </c>
      <c r="G420" s="3" t="s">
        <v>543</v>
      </c>
      <c r="H420" s="3" t="s">
        <v>544</v>
      </c>
      <c r="I420" s="4">
        <v>2991.55</v>
      </c>
      <c r="J420" s="3" t="s">
        <v>11</v>
      </c>
    </row>
    <row r="421" spans="1:10" x14ac:dyDescent="0.35">
      <c r="A421" s="3">
        <v>103409297</v>
      </c>
      <c r="B421" s="3" t="s">
        <v>545</v>
      </c>
      <c r="C421" s="3" t="str">
        <f t="shared" si="9"/>
        <v>2022-07-06</v>
      </c>
      <c r="D421" s="3" t="s">
        <v>9</v>
      </c>
      <c r="E421" s="3" t="s">
        <v>5</v>
      </c>
      <c r="F421" s="3" t="s">
        <v>10</v>
      </c>
      <c r="G421" s="3" t="s">
        <v>546</v>
      </c>
      <c r="H421" s="3" t="s">
        <v>547</v>
      </c>
      <c r="I421" s="4">
        <v>5556.55</v>
      </c>
      <c r="J421" s="3" t="s">
        <v>11</v>
      </c>
    </row>
    <row r="422" spans="1:10" x14ac:dyDescent="0.35">
      <c r="A422" s="3">
        <v>103409294</v>
      </c>
      <c r="B422" s="3" t="s">
        <v>548</v>
      </c>
      <c r="C422" s="3" t="str">
        <f t="shared" si="9"/>
        <v>2022-07-06</v>
      </c>
      <c r="D422" s="3" t="s">
        <v>9</v>
      </c>
      <c r="E422" s="3" t="s">
        <v>5</v>
      </c>
      <c r="F422" s="3" t="s">
        <v>10</v>
      </c>
      <c r="G422" s="3" t="s">
        <v>549</v>
      </c>
      <c r="H422" s="3" t="s">
        <v>550</v>
      </c>
      <c r="I422" s="4">
        <v>2849.05</v>
      </c>
      <c r="J422" s="3" t="s">
        <v>11</v>
      </c>
    </row>
    <row r="423" spans="1:10" x14ac:dyDescent="0.35">
      <c r="A423" s="3">
        <v>103409373</v>
      </c>
      <c r="B423" s="3" t="s">
        <v>551</v>
      </c>
      <c r="C423" s="3" t="str">
        <f t="shared" si="9"/>
        <v>2022-07-06</v>
      </c>
      <c r="D423" s="3" t="s">
        <v>9</v>
      </c>
      <c r="E423" s="3" t="s">
        <v>5</v>
      </c>
      <c r="F423" s="3" t="s">
        <v>10</v>
      </c>
      <c r="G423" s="3" t="s">
        <v>331</v>
      </c>
      <c r="H423" s="3" t="s">
        <v>332</v>
      </c>
      <c r="I423" s="5">
        <v>3067</v>
      </c>
      <c r="J423" s="3" t="s">
        <v>11</v>
      </c>
    </row>
    <row r="424" spans="1:10" x14ac:dyDescent="0.35">
      <c r="A424" s="3">
        <v>103409291</v>
      </c>
      <c r="B424" s="3" t="s">
        <v>552</v>
      </c>
      <c r="C424" s="3" t="str">
        <f t="shared" si="9"/>
        <v>2022-07-06</v>
      </c>
      <c r="D424" s="3" t="s">
        <v>9</v>
      </c>
      <c r="E424" s="3" t="s">
        <v>5</v>
      </c>
      <c r="F424" s="3" t="s">
        <v>10</v>
      </c>
      <c r="G424" s="3" t="s">
        <v>553</v>
      </c>
      <c r="H424" s="3" t="s">
        <v>554</v>
      </c>
      <c r="I424" s="3">
        <v>464.55</v>
      </c>
      <c r="J424" s="3" t="s">
        <v>11</v>
      </c>
    </row>
    <row r="425" spans="1:10" x14ac:dyDescent="0.35">
      <c r="A425" s="3">
        <v>103409369</v>
      </c>
      <c r="B425" s="3" t="s">
        <v>555</v>
      </c>
      <c r="C425" s="3" t="str">
        <f t="shared" si="9"/>
        <v>2022-07-06</v>
      </c>
      <c r="D425" s="3" t="s">
        <v>9</v>
      </c>
      <c r="E425" s="3" t="s">
        <v>5</v>
      </c>
      <c r="F425" s="3" t="s">
        <v>10</v>
      </c>
      <c r="G425" s="3" t="s">
        <v>556</v>
      </c>
      <c r="H425" s="3" t="s">
        <v>557</v>
      </c>
      <c r="I425" s="3">
        <v>969</v>
      </c>
      <c r="J425" s="3" t="s">
        <v>11</v>
      </c>
    </row>
    <row r="426" spans="1:10" x14ac:dyDescent="0.35">
      <c r="A426" s="3">
        <v>103409366</v>
      </c>
      <c r="B426" s="3" t="s">
        <v>558</v>
      </c>
      <c r="C426" s="3" t="str">
        <f t="shared" si="9"/>
        <v>2022-07-06</v>
      </c>
      <c r="D426" s="3" t="s">
        <v>9</v>
      </c>
      <c r="E426" s="3" t="s">
        <v>5</v>
      </c>
      <c r="F426" s="3" t="s">
        <v>10</v>
      </c>
      <c r="G426" s="3" t="s">
        <v>559</v>
      </c>
      <c r="H426" s="3" t="s">
        <v>560</v>
      </c>
      <c r="I426" s="5">
        <v>1199</v>
      </c>
      <c r="J426" s="3" t="s">
        <v>11</v>
      </c>
    </row>
    <row r="427" spans="1:10" x14ac:dyDescent="0.35">
      <c r="A427" s="3">
        <v>103409289</v>
      </c>
      <c r="B427" s="3" t="s">
        <v>561</v>
      </c>
      <c r="C427" s="3" t="str">
        <f t="shared" si="9"/>
        <v>2022-07-06</v>
      </c>
      <c r="D427" s="3" t="s">
        <v>9</v>
      </c>
      <c r="E427" s="3" t="s">
        <v>5</v>
      </c>
      <c r="F427" s="3" t="s">
        <v>10</v>
      </c>
      <c r="G427" s="3" t="s">
        <v>562</v>
      </c>
      <c r="H427" s="3" t="s">
        <v>563</v>
      </c>
      <c r="I427" s="3">
        <v>811.35</v>
      </c>
      <c r="J427" s="3" t="s">
        <v>11</v>
      </c>
    </row>
    <row r="428" spans="1:10" x14ac:dyDescent="0.35">
      <c r="A428" s="3">
        <v>103409262</v>
      </c>
      <c r="B428" s="3" t="s">
        <v>564</v>
      </c>
      <c r="C428" s="3" t="str">
        <f t="shared" si="9"/>
        <v>2022-07-06</v>
      </c>
      <c r="D428" s="3" t="s">
        <v>9</v>
      </c>
      <c r="E428" s="3" t="s">
        <v>5</v>
      </c>
      <c r="F428" s="3" t="s">
        <v>12</v>
      </c>
      <c r="G428" s="3" t="s">
        <v>565</v>
      </c>
      <c r="H428" s="3" t="s">
        <v>566</v>
      </c>
      <c r="I428" s="3">
        <v>599</v>
      </c>
      <c r="J428" s="3" t="s">
        <v>11</v>
      </c>
    </row>
    <row r="429" spans="1:10" x14ac:dyDescent="0.35">
      <c r="A429" s="3">
        <v>103409287</v>
      </c>
      <c r="B429" s="3" t="s">
        <v>567</v>
      </c>
      <c r="C429" s="3" t="str">
        <f t="shared" si="9"/>
        <v>2022-07-06</v>
      </c>
      <c r="D429" s="3" t="s">
        <v>9</v>
      </c>
      <c r="E429" s="3" t="s">
        <v>5</v>
      </c>
      <c r="F429" s="3" t="s">
        <v>10</v>
      </c>
      <c r="G429" s="3" t="s">
        <v>568</v>
      </c>
      <c r="H429" s="3" t="s">
        <v>569</v>
      </c>
      <c r="I429" s="4">
        <v>1804.1</v>
      </c>
      <c r="J429" s="3" t="s">
        <v>11</v>
      </c>
    </row>
    <row r="430" spans="1:10" x14ac:dyDescent="0.35">
      <c r="A430" s="3">
        <v>103409285</v>
      </c>
      <c r="B430" s="3" t="s">
        <v>570</v>
      </c>
      <c r="C430" s="3" t="str">
        <f t="shared" si="9"/>
        <v>2022-07-06</v>
      </c>
      <c r="D430" s="3" t="s">
        <v>9</v>
      </c>
      <c r="E430" s="3" t="s">
        <v>5</v>
      </c>
      <c r="F430" s="3" t="s">
        <v>10</v>
      </c>
      <c r="G430" s="3" t="s">
        <v>571</v>
      </c>
      <c r="H430" s="3" t="s">
        <v>572</v>
      </c>
      <c r="I430" s="3">
        <v>999</v>
      </c>
      <c r="J430" s="3" t="s">
        <v>11</v>
      </c>
    </row>
    <row r="431" spans="1:10" x14ac:dyDescent="0.35">
      <c r="A431" s="3">
        <v>103409260</v>
      </c>
      <c r="B431" s="3" t="s">
        <v>573</v>
      </c>
      <c r="C431" s="3" t="str">
        <f t="shared" si="9"/>
        <v>2022-07-06</v>
      </c>
      <c r="D431" s="3" t="s">
        <v>9</v>
      </c>
      <c r="E431" s="3" t="s">
        <v>5</v>
      </c>
      <c r="F431" s="3" t="s">
        <v>10</v>
      </c>
      <c r="G431" s="3" t="s">
        <v>574</v>
      </c>
      <c r="H431" s="3" t="s">
        <v>575</v>
      </c>
      <c r="I431" s="5">
        <v>5599</v>
      </c>
      <c r="J431" s="3" t="s">
        <v>11</v>
      </c>
    </row>
    <row r="432" spans="1:10" x14ac:dyDescent="0.35">
      <c r="A432" s="3">
        <v>103409259</v>
      </c>
      <c r="B432" s="3" t="s">
        <v>576</v>
      </c>
      <c r="C432" s="3" t="str">
        <f t="shared" si="9"/>
        <v>2022-07-06</v>
      </c>
      <c r="D432" s="3" t="s">
        <v>9</v>
      </c>
      <c r="E432" s="3" t="s">
        <v>5</v>
      </c>
      <c r="F432" s="3" t="s">
        <v>10</v>
      </c>
      <c r="G432" s="3" t="s">
        <v>577</v>
      </c>
      <c r="H432" s="3" t="s">
        <v>578</v>
      </c>
      <c r="I432" s="4">
        <v>1424.05</v>
      </c>
      <c r="J432" s="3" t="s">
        <v>11</v>
      </c>
    </row>
    <row r="433" spans="1:10" x14ac:dyDescent="0.35">
      <c r="A433" s="3">
        <v>103409284</v>
      </c>
      <c r="B433" s="3" t="s">
        <v>579</v>
      </c>
      <c r="C433" s="3" t="str">
        <f t="shared" si="9"/>
        <v>2022-07-06</v>
      </c>
      <c r="D433" s="3" t="s">
        <v>9</v>
      </c>
      <c r="E433" s="3" t="s">
        <v>5</v>
      </c>
      <c r="F433" s="3" t="s">
        <v>10</v>
      </c>
      <c r="G433" s="3" t="s">
        <v>580</v>
      </c>
      <c r="H433" s="3" t="s">
        <v>581</v>
      </c>
      <c r="I433" s="4">
        <v>8983.2000000000007</v>
      </c>
      <c r="J433" s="3" t="s">
        <v>11</v>
      </c>
    </row>
    <row r="434" spans="1:10" x14ac:dyDescent="0.35">
      <c r="A434" s="3">
        <v>103409283</v>
      </c>
      <c r="B434" s="3" t="s">
        <v>582</v>
      </c>
      <c r="C434" s="3" t="str">
        <f t="shared" si="9"/>
        <v>2022-07-06</v>
      </c>
      <c r="D434" s="3" t="s">
        <v>9</v>
      </c>
      <c r="E434" s="3" t="s">
        <v>5</v>
      </c>
      <c r="F434" s="3" t="s">
        <v>10</v>
      </c>
      <c r="G434" s="3" t="s">
        <v>583</v>
      </c>
      <c r="H434" s="3" t="s">
        <v>584</v>
      </c>
      <c r="I434" s="5">
        <v>2469</v>
      </c>
      <c r="J434" s="3" t="s">
        <v>11</v>
      </c>
    </row>
    <row r="435" spans="1:10" x14ac:dyDescent="0.35">
      <c r="A435" s="3">
        <v>103409277</v>
      </c>
      <c r="B435" s="3" t="s">
        <v>585</v>
      </c>
      <c r="C435" s="3" t="str">
        <f t="shared" si="9"/>
        <v>2022-07-06</v>
      </c>
      <c r="D435" s="3" t="s">
        <v>9</v>
      </c>
      <c r="E435" s="3" t="s">
        <v>5</v>
      </c>
      <c r="F435" s="3" t="s">
        <v>12</v>
      </c>
      <c r="G435" s="3" t="s">
        <v>586</v>
      </c>
      <c r="H435" s="3" t="s">
        <v>587</v>
      </c>
      <c r="I435" s="3">
        <v>825.55</v>
      </c>
      <c r="J435" s="3" t="s">
        <v>11</v>
      </c>
    </row>
    <row r="436" spans="1:10" x14ac:dyDescent="0.35">
      <c r="A436" s="3">
        <v>103409244</v>
      </c>
      <c r="B436" s="3" t="s">
        <v>588</v>
      </c>
      <c r="C436" s="3" t="str">
        <f t="shared" si="9"/>
        <v>2022-07-06</v>
      </c>
      <c r="D436" s="3" t="s">
        <v>9</v>
      </c>
      <c r="E436" s="3" t="s">
        <v>5</v>
      </c>
      <c r="F436" s="3" t="s">
        <v>10</v>
      </c>
      <c r="G436" s="3" t="s">
        <v>589</v>
      </c>
      <c r="H436" s="3" t="s">
        <v>590</v>
      </c>
      <c r="I436" s="4">
        <v>1329.05</v>
      </c>
      <c r="J436" s="3" t="s">
        <v>11</v>
      </c>
    </row>
    <row r="437" spans="1:10" x14ac:dyDescent="0.35">
      <c r="A437" s="3">
        <v>103409273</v>
      </c>
      <c r="B437" s="3" t="s">
        <v>591</v>
      </c>
      <c r="C437" s="3" t="str">
        <f t="shared" si="9"/>
        <v>2022-07-06</v>
      </c>
      <c r="D437" s="3" t="s">
        <v>9</v>
      </c>
      <c r="E437" s="3" t="s">
        <v>5</v>
      </c>
      <c r="F437" s="3" t="s">
        <v>10</v>
      </c>
      <c r="G437" s="3" t="s">
        <v>592</v>
      </c>
      <c r="H437" s="3" t="s">
        <v>593</v>
      </c>
      <c r="I437" s="4">
        <v>1709.05</v>
      </c>
      <c r="J437" s="3" t="s">
        <v>11</v>
      </c>
    </row>
    <row r="438" spans="1:10" x14ac:dyDescent="0.35">
      <c r="A438" s="3">
        <v>103409239</v>
      </c>
      <c r="B438" s="3" t="s">
        <v>594</v>
      </c>
      <c r="C438" s="3" t="str">
        <f t="shared" si="9"/>
        <v>2022-07-06</v>
      </c>
      <c r="D438" s="3" t="s">
        <v>9</v>
      </c>
      <c r="E438" s="3" t="s">
        <v>5</v>
      </c>
      <c r="F438" s="3" t="s">
        <v>10</v>
      </c>
      <c r="G438" s="3" t="s">
        <v>595</v>
      </c>
      <c r="H438" s="3" t="s">
        <v>596</v>
      </c>
      <c r="I438" s="4">
        <v>1899.05</v>
      </c>
      <c r="J438" s="3" t="s">
        <v>11</v>
      </c>
    </row>
    <row r="439" spans="1:10" x14ac:dyDescent="0.35">
      <c r="A439" s="3">
        <v>103409237</v>
      </c>
      <c r="B439" s="3" t="s">
        <v>597</v>
      </c>
      <c r="C439" s="3" t="str">
        <f t="shared" si="9"/>
        <v>2022-07-06</v>
      </c>
      <c r="D439" s="3" t="s">
        <v>9</v>
      </c>
      <c r="E439" s="3" t="s">
        <v>5</v>
      </c>
      <c r="F439" s="3" t="s">
        <v>10</v>
      </c>
      <c r="G439" s="3" t="s">
        <v>598</v>
      </c>
      <c r="H439" s="3" t="s">
        <v>599</v>
      </c>
      <c r="I439" s="5">
        <v>2398</v>
      </c>
      <c r="J439" s="3" t="s">
        <v>11</v>
      </c>
    </row>
    <row r="440" spans="1:10" x14ac:dyDescent="0.35">
      <c r="A440" s="3">
        <v>103409271</v>
      </c>
      <c r="B440" s="3" t="s">
        <v>600</v>
      </c>
      <c r="C440" s="3" t="str">
        <f t="shared" si="9"/>
        <v>2022-07-06</v>
      </c>
      <c r="D440" s="3" t="s">
        <v>9</v>
      </c>
      <c r="E440" s="3" t="s">
        <v>5</v>
      </c>
      <c r="F440" s="3" t="s">
        <v>12</v>
      </c>
      <c r="G440" s="3" t="s">
        <v>601</v>
      </c>
      <c r="H440" s="3" t="s">
        <v>602</v>
      </c>
      <c r="I440" s="5">
        <v>1949</v>
      </c>
      <c r="J440" s="3" t="s">
        <v>11</v>
      </c>
    </row>
    <row r="441" spans="1:10" x14ac:dyDescent="0.35">
      <c r="A441" s="3">
        <v>103409223</v>
      </c>
      <c r="B441" s="3" t="s">
        <v>603</v>
      </c>
      <c r="C441" s="3" t="str">
        <f t="shared" si="9"/>
        <v>2022-07-06</v>
      </c>
      <c r="D441" s="3" t="s">
        <v>9</v>
      </c>
      <c r="E441" s="3" t="s">
        <v>5</v>
      </c>
      <c r="F441" s="3" t="s">
        <v>12</v>
      </c>
      <c r="G441" s="3" t="s">
        <v>604</v>
      </c>
      <c r="H441" s="3" t="s">
        <v>605</v>
      </c>
      <c r="I441" s="5">
        <v>4119</v>
      </c>
      <c r="J441" s="3" t="s">
        <v>11</v>
      </c>
    </row>
    <row r="442" spans="1:10" x14ac:dyDescent="0.35">
      <c r="A442" s="3">
        <v>103409267</v>
      </c>
      <c r="B442" s="3" t="s">
        <v>606</v>
      </c>
      <c r="C442" s="3" t="str">
        <f t="shared" si="9"/>
        <v>2022-07-06</v>
      </c>
      <c r="D442" s="3" t="s">
        <v>9</v>
      </c>
      <c r="E442" s="3" t="s">
        <v>5</v>
      </c>
      <c r="F442" s="3" t="s">
        <v>12</v>
      </c>
      <c r="G442" s="3" t="s">
        <v>607</v>
      </c>
      <c r="H442" s="3" t="s">
        <v>608</v>
      </c>
      <c r="I442" s="5">
        <v>3599</v>
      </c>
      <c r="J442" s="3" t="s">
        <v>11</v>
      </c>
    </row>
    <row r="443" spans="1:10" x14ac:dyDescent="0.35">
      <c r="A443" s="3">
        <v>103409215</v>
      </c>
      <c r="B443" s="3" t="s">
        <v>609</v>
      </c>
      <c r="C443" s="3" t="str">
        <f t="shared" si="9"/>
        <v>2022-07-06</v>
      </c>
      <c r="D443" s="3" t="s">
        <v>9</v>
      </c>
      <c r="E443" s="3" t="s">
        <v>5</v>
      </c>
      <c r="F443" s="3" t="s">
        <v>10</v>
      </c>
      <c r="G443" s="3" t="s">
        <v>610</v>
      </c>
      <c r="H443" s="3" t="s">
        <v>611</v>
      </c>
      <c r="I443" s="4">
        <v>2564.14</v>
      </c>
      <c r="J443" s="3" t="s">
        <v>11</v>
      </c>
    </row>
    <row r="444" spans="1:10" x14ac:dyDescent="0.35">
      <c r="A444" s="3">
        <v>103409211</v>
      </c>
      <c r="B444" s="3" t="s">
        <v>612</v>
      </c>
      <c r="C444" s="3" t="str">
        <f t="shared" si="9"/>
        <v>2022-07-06</v>
      </c>
      <c r="D444" s="3" t="s">
        <v>9</v>
      </c>
      <c r="E444" s="3" t="s">
        <v>5</v>
      </c>
      <c r="F444" s="3" t="s">
        <v>10</v>
      </c>
      <c r="G444" s="3" t="s">
        <v>613</v>
      </c>
      <c r="H444" s="3" t="s">
        <v>614</v>
      </c>
      <c r="I444" s="4">
        <v>3324.05</v>
      </c>
      <c r="J444" s="3" t="s">
        <v>11</v>
      </c>
    </row>
    <row r="445" spans="1:10" x14ac:dyDescent="0.35">
      <c r="A445" s="3">
        <v>103409206</v>
      </c>
      <c r="B445" s="3" t="s">
        <v>615</v>
      </c>
      <c r="C445" s="3" t="str">
        <f t="shared" si="9"/>
        <v>2022-07-06</v>
      </c>
      <c r="D445" s="3" t="s">
        <v>9</v>
      </c>
      <c r="E445" s="3" t="s">
        <v>5</v>
      </c>
      <c r="F445" s="3" t="s">
        <v>10</v>
      </c>
      <c r="G445" s="3" t="s">
        <v>616</v>
      </c>
      <c r="H445" s="3" t="s">
        <v>617</v>
      </c>
      <c r="I445" s="4">
        <v>3324.05</v>
      </c>
      <c r="J445" s="3" t="s">
        <v>11</v>
      </c>
    </row>
    <row r="446" spans="1:10" x14ac:dyDescent="0.35">
      <c r="A446" s="3">
        <v>103409203</v>
      </c>
      <c r="B446" s="3" t="s">
        <v>618</v>
      </c>
      <c r="C446" s="3" t="str">
        <f t="shared" si="9"/>
        <v>2022-07-06</v>
      </c>
      <c r="D446" s="3" t="s">
        <v>9</v>
      </c>
      <c r="E446" s="3" t="s">
        <v>5</v>
      </c>
      <c r="F446" s="3" t="s">
        <v>10</v>
      </c>
      <c r="G446" s="3" t="s">
        <v>619</v>
      </c>
      <c r="H446" s="3" t="s">
        <v>620</v>
      </c>
      <c r="I446" s="4">
        <v>5399.1</v>
      </c>
      <c r="J446" s="3" t="s">
        <v>11</v>
      </c>
    </row>
    <row r="447" spans="1:10" x14ac:dyDescent="0.35">
      <c r="A447" s="3">
        <v>103409156</v>
      </c>
      <c r="B447" s="3" t="s">
        <v>621</v>
      </c>
      <c r="C447" s="3" t="str">
        <f t="shared" si="9"/>
        <v>2022-07-06</v>
      </c>
      <c r="D447" s="3" t="s">
        <v>9</v>
      </c>
      <c r="E447" s="3" t="s">
        <v>5</v>
      </c>
      <c r="F447" s="3" t="s">
        <v>10</v>
      </c>
      <c r="G447" s="3" t="s">
        <v>622</v>
      </c>
      <c r="H447" s="3" t="s">
        <v>623</v>
      </c>
      <c r="I447" s="4">
        <v>1063.05</v>
      </c>
      <c r="J447" s="3" t="s">
        <v>11</v>
      </c>
    </row>
    <row r="448" spans="1:10" x14ac:dyDescent="0.35">
      <c r="A448" s="3">
        <v>103409200</v>
      </c>
      <c r="B448" s="3" t="s">
        <v>624</v>
      </c>
      <c r="C448" s="3" t="str">
        <f t="shared" si="9"/>
        <v>2022-07-06</v>
      </c>
      <c r="D448" s="3" t="s">
        <v>9</v>
      </c>
      <c r="E448" s="3" t="s">
        <v>5</v>
      </c>
      <c r="F448" s="3" t="s">
        <v>10</v>
      </c>
      <c r="G448" s="3" t="s">
        <v>625</v>
      </c>
      <c r="H448" s="3" t="s">
        <v>626</v>
      </c>
      <c r="I448" s="5">
        <v>2799</v>
      </c>
      <c r="J448" s="3" t="s">
        <v>11</v>
      </c>
    </row>
    <row r="449" spans="1:10" x14ac:dyDescent="0.35">
      <c r="A449" s="3">
        <v>103409175</v>
      </c>
      <c r="B449" s="3" t="s">
        <v>627</v>
      </c>
      <c r="C449" s="3" t="str">
        <f t="shared" si="9"/>
        <v>2022-07-06</v>
      </c>
      <c r="D449" s="3" t="s">
        <v>9</v>
      </c>
      <c r="E449" s="3" t="s">
        <v>5</v>
      </c>
      <c r="F449" s="3" t="s">
        <v>10</v>
      </c>
      <c r="G449" s="3" t="s">
        <v>628</v>
      </c>
      <c r="H449" s="3" t="s">
        <v>629</v>
      </c>
      <c r="I449" s="5">
        <v>1259</v>
      </c>
      <c r="J449" s="3" t="s">
        <v>11</v>
      </c>
    </row>
    <row r="450" spans="1:10" x14ac:dyDescent="0.35">
      <c r="A450" s="3">
        <v>103409135</v>
      </c>
      <c r="B450" s="3" t="s">
        <v>630</v>
      </c>
      <c r="C450" s="3" t="str">
        <f t="shared" si="9"/>
        <v>2022-07-06</v>
      </c>
      <c r="D450" s="3" t="s">
        <v>9</v>
      </c>
      <c r="E450" s="3" t="s">
        <v>5</v>
      </c>
      <c r="F450" s="3" t="s">
        <v>10</v>
      </c>
      <c r="G450" s="3" t="s">
        <v>631</v>
      </c>
      <c r="H450" s="3" t="s">
        <v>632</v>
      </c>
      <c r="I450" s="3">
        <v>825.55</v>
      </c>
      <c r="J450" s="3" t="s">
        <v>11</v>
      </c>
    </row>
    <row r="451" spans="1:10" x14ac:dyDescent="0.35">
      <c r="A451" s="3">
        <v>103409171</v>
      </c>
      <c r="B451" s="3" t="s">
        <v>633</v>
      </c>
      <c r="C451" s="3" t="str">
        <f t="shared" ref="C451:C514" si="10">LEFT(B451,FIND("T",B451)-1)</f>
        <v>2022-07-06</v>
      </c>
      <c r="D451" s="3" t="s">
        <v>9</v>
      </c>
      <c r="E451" s="3" t="s">
        <v>5</v>
      </c>
      <c r="F451" s="3" t="s">
        <v>10</v>
      </c>
      <c r="G451" s="3" t="s">
        <v>634</v>
      </c>
      <c r="H451" s="3" t="s">
        <v>635</v>
      </c>
      <c r="I451" s="5">
        <v>4999</v>
      </c>
      <c r="J451" s="3" t="s">
        <v>11</v>
      </c>
    </row>
    <row r="452" spans="1:10" x14ac:dyDescent="0.35">
      <c r="A452" s="3">
        <v>103409170</v>
      </c>
      <c r="B452" s="3" t="s">
        <v>636</v>
      </c>
      <c r="C452" s="3" t="str">
        <f t="shared" si="10"/>
        <v>2022-07-06</v>
      </c>
      <c r="D452" s="3" t="s">
        <v>9</v>
      </c>
      <c r="E452" s="3" t="s">
        <v>5</v>
      </c>
      <c r="F452" s="3" t="s">
        <v>10</v>
      </c>
      <c r="G452" s="3" t="s">
        <v>637</v>
      </c>
      <c r="H452" s="3" t="s">
        <v>638</v>
      </c>
      <c r="I452" s="4">
        <v>1281.55</v>
      </c>
      <c r="J452" s="3" t="s">
        <v>11</v>
      </c>
    </row>
    <row r="453" spans="1:10" x14ac:dyDescent="0.35">
      <c r="A453" s="3">
        <v>103409167</v>
      </c>
      <c r="B453" s="3" t="s">
        <v>639</v>
      </c>
      <c r="C453" s="3" t="str">
        <f t="shared" si="10"/>
        <v>2022-07-06</v>
      </c>
      <c r="D453" s="3" t="s">
        <v>9</v>
      </c>
      <c r="E453" s="3" t="s">
        <v>5</v>
      </c>
      <c r="F453" s="3" t="s">
        <v>10</v>
      </c>
      <c r="G453" s="3" t="s">
        <v>640</v>
      </c>
      <c r="H453" s="3" t="s">
        <v>641</v>
      </c>
      <c r="I453" s="4">
        <v>2749.45</v>
      </c>
      <c r="J453" s="3" t="s">
        <v>11</v>
      </c>
    </row>
    <row r="454" spans="1:10" x14ac:dyDescent="0.35">
      <c r="A454" s="3">
        <v>103409064</v>
      </c>
      <c r="B454" s="3" t="s">
        <v>642</v>
      </c>
      <c r="C454" s="3" t="str">
        <f t="shared" si="10"/>
        <v>2022-07-06</v>
      </c>
      <c r="D454" s="3" t="s">
        <v>9</v>
      </c>
      <c r="E454" s="3" t="s">
        <v>5</v>
      </c>
      <c r="F454" s="3" t="s">
        <v>10</v>
      </c>
      <c r="G454" s="3" t="s">
        <v>643</v>
      </c>
      <c r="H454" s="3" t="s">
        <v>644</v>
      </c>
      <c r="I454" s="5">
        <v>2099</v>
      </c>
      <c r="J454" s="3" t="s">
        <v>11</v>
      </c>
    </row>
    <row r="455" spans="1:10" x14ac:dyDescent="0.35">
      <c r="A455" s="3">
        <v>103409063</v>
      </c>
      <c r="B455" s="3" t="s">
        <v>645</v>
      </c>
      <c r="C455" s="3" t="str">
        <f t="shared" si="10"/>
        <v>2022-07-06</v>
      </c>
      <c r="D455" s="3" t="s">
        <v>9</v>
      </c>
      <c r="E455" s="3" t="s">
        <v>5</v>
      </c>
      <c r="F455" s="3" t="s">
        <v>10</v>
      </c>
      <c r="G455" s="3" t="s">
        <v>646</v>
      </c>
      <c r="H455" s="3" t="s">
        <v>647</v>
      </c>
      <c r="I455" s="3">
        <v>669</v>
      </c>
      <c r="J455" s="3" t="s">
        <v>11</v>
      </c>
    </row>
    <row r="456" spans="1:10" x14ac:dyDescent="0.35">
      <c r="A456" s="3">
        <v>103409131</v>
      </c>
      <c r="B456" s="3" t="s">
        <v>648</v>
      </c>
      <c r="C456" s="3" t="str">
        <f t="shared" si="10"/>
        <v>2022-07-06</v>
      </c>
      <c r="D456" s="3" t="s">
        <v>9</v>
      </c>
      <c r="E456" s="3" t="s">
        <v>5</v>
      </c>
      <c r="F456" s="3" t="s">
        <v>12</v>
      </c>
      <c r="G456" s="3" t="s">
        <v>649</v>
      </c>
      <c r="H456" s="3" t="s">
        <v>650</v>
      </c>
      <c r="I456" s="5">
        <v>1499</v>
      </c>
      <c r="J456" s="3" t="s">
        <v>11</v>
      </c>
    </row>
    <row r="457" spans="1:10" x14ac:dyDescent="0.35">
      <c r="A457" s="3">
        <v>103409059</v>
      </c>
      <c r="B457" s="3" t="s">
        <v>651</v>
      </c>
      <c r="C457" s="3" t="str">
        <f t="shared" si="10"/>
        <v>2022-07-06</v>
      </c>
      <c r="D457" s="3" t="s">
        <v>9</v>
      </c>
      <c r="E457" s="3" t="s">
        <v>5</v>
      </c>
      <c r="F457" s="3" t="s">
        <v>10</v>
      </c>
      <c r="G457" s="3" t="s">
        <v>652</v>
      </c>
      <c r="H457" s="3" t="s">
        <v>653</v>
      </c>
      <c r="I457" s="5">
        <v>1799</v>
      </c>
      <c r="J457" s="3" t="s">
        <v>11</v>
      </c>
    </row>
    <row r="458" spans="1:10" x14ac:dyDescent="0.35">
      <c r="A458" s="3">
        <v>103409129</v>
      </c>
      <c r="B458" s="3" t="s">
        <v>654</v>
      </c>
      <c r="C458" s="3" t="str">
        <f t="shared" si="10"/>
        <v>2022-07-06</v>
      </c>
      <c r="D458" s="3" t="s">
        <v>9</v>
      </c>
      <c r="E458" s="3" t="s">
        <v>5</v>
      </c>
      <c r="F458" s="3" t="s">
        <v>10</v>
      </c>
      <c r="G458" s="3" t="s">
        <v>655</v>
      </c>
      <c r="H458" s="3" t="s">
        <v>656</v>
      </c>
      <c r="I458" s="3">
        <v>819</v>
      </c>
      <c r="J458" s="3" t="s">
        <v>11</v>
      </c>
    </row>
    <row r="459" spans="1:10" x14ac:dyDescent="0.35">
      <c r="A459" s="3">
        <v>103409056</v>
      </c>
      <c r="B459" s="3" t="s">
        <v>657</v>
      </c>
      <c r="C459" s="3" t="str">
        <f t="shared" si="10"/>
        <v>2022-07-06</v>
      </c>
      <c r="D459" s="3" t="s">
        <v>9</v>
      </c>
      <c r="E459" s="3" t="s">
        <v>5</v>
      </c>
      <c r="F459" s="3" t="s">
        <v>10</v>
      </c>
      <c r="G459" s="3" t="s">
        <v>658</v>
      </c>
      <c r="H459" s="3" t="s">
        <v>659</v>
      </c>
      <c r="I459" s="3">
        <v>519</v>
      </c>
      <c r="J459" s="3" t="s">
        <v>11</v>
      </c>
    </row>
    <row r="460" spans="1:10" x14ac:dyDescent="0.35">
      <c r="A460" s="3">
        <v>103409055</v>
      </c>
      <c r="B460" s="3" t="s">
        <v>660</v>
      </c>
      <c r="C460" s="3" t="str">
        <f t="shared" si="10"/>
        <v>2022-07-06</v>
      </c>
      <c r="D460" s="3" t="s">
        <v>9</v>
      </c>
      <c r="E460" s="3" t="s">
        <v>5</v>
      </c>
      <c r="F460" s="3" t="s">
        <v>10</v>
      </c>
      <c r="G460" s="3" t="s">
        <v>661</v>
      </c>
      <c r="H460" s="3" t="s">
        <v>662</v>
      </c>
      <c r="I460" s="5">
        <v>3849</v>
      </c>
      <c r="J460" s="3" t="s">
        <v>11</v>
      </c>
    </row>
    <row r="461" spans="1:10" x14ac:dyDescent="0.35">
      <c r="A461" s="3">
        <v>103409053</v>
      </c>
      <c r="B461" s="3" t="s">
        <v>663</v>
      </c>
      <c r="C461" s="3" t="str">
        <f t="shared" si="10"/>
        <v>2022-07-06</v>
      </c>
      <c r="D461" s="3" t="s">
        <v>9</v>
      </c>
      <c r="E461" s="3" t="s">
        <v>5</v>
      </c>
      <c r="F461" s="3" t="s">
        <v>10</v>
      </c>
      <c r="G461" s="3" t="s">
        <v>664</v>
      </c>
      <c r="H461" s="3" t="s">
        <v>665</v>
      </c>
      <c r="I461" s="4">
        <v>3149.1</v>
      </c>
      <c r="J461" s="3" t="s">
        <v>11</v>
      </c>
    </row>
    <row r="462" spans="1:10" x14ac:dyDescent="0.35">
      <c r="A462" s="3">
        <v>103409127</v>
      </c>
      <c r="B462" s="3" t="s">
        <v>666</v>
      </c>
      <c r="C462" s="3" t="str">
        <f t="shared" si="10"/>
        <v>2022-07-06</v>
      </c>
      <c r="D462" s="3" t="s">
        <v>9</v>
      </c>
      <c r="E462" s="3" t="s">
        <v>5</v>
      </c>
      <c r="F462" s="3" t="s">
        <v>10</v>
      </c>
      <c r="G462" s="3" t="s">
        <v>667</v>
      </c>
      <c r="H462" s="3" t="s">
        <v>668</v>
      </c>
      <c r="I462" s="4">
        <v>1343.82</v>
      </c>
      <c r="J462" s="3" t="s">
        <v>11</v>
      </c>
    </row>
    <row r="463" spans="1:10" x14ac:dyDescent="0.35">
      <c r="A463" s="3">
        <v>103409049</v>
      </c>
      <c r="B463" s="3" t="s">
        <v>669</v>
      </c>
      <c r="C463" s="3" t="str">
        <f t="shared" si="10"/>
        <v>2022-07-06</v>
      </c>
      <c r="D463" s="3" t="s">
        <v>9</v>
      </c>
      <c r="E463" s="3" t="s">
        <v>5</v>
      </c>
      <c r="F463" s="3" t="s">
        <v>10</v>
      </c>
      <c r="G463" s="3" t="s">
        <v>670</v>
      </c>
      <c r="H463" s="3" t="s">
        <v>671</v>
      </c>
      <c r="I463" s="4">
        <v>3324.05</v>
      </c>
      <c r="J463" s="3" t="s">
        <v>11</v>
      </c>
    </row>
    <row r="464" spans="1:10" x14ac:dyDescent="0.35">
      <c r="A464" s="3">
        <v>103409047</v>
      </c>
      <c r="B464" s="3" t="s">
        <v>672</v>
      </c>
      <c r="C464" s="3" t="str">
        <f t="shared" si="10"/>
        <v>2022-07-06</v>
      </c>
      <c r="D464" s="3" t="s">
        <v>9</v>
      </c>
      <c r="E464" s="3" t="s">
        <v>5</v>
      </c>
      <c r="F464" s="3" t="s">
        <v>10</v>
      </c>
      <c r="G464" s="3" t="s">
        <v>673</v>
      </c>
      <c r="H464" s="3" t="s">
        <v>674</v>
      </c>
      <c r="I464" s="4">
        <v>1682.1</v>
      </c>
      <c r="J464" s="3" t="s">
        <v>11</v>
      </c>
    </row>
    <row r="465" spans="1:10" x14ac:dyDescent="0.35">
      <c r="A465" s="3">
        <v>103409045</v>
      </c>
      <c r="B465" s="3" t="s">
        <v>675</v>
      </c>
      <c r="C465" s="3" t="str">
        <f t="shared" si="10"/>
        <v>2022-07-06</v>
      </c>
      <c r="D465" s="3" t="s">
        <v>9</v>
      </c>
      <c r="E465" s="3" t="s">
        <v>5</v>
      </c>
      <c r="F465" s="3" t="s">
        <v>12</v>
      </c>
      <c r="G465" s="3" t="s">
        <v>676</v>
      </c>
      <c r="H465" s="3" t="s">
        <v>677</v>
      </c>
      <c r="I465" s="5">
        <v>3899</v>
      </c>
      <c r="J465" s="3" t="s">
        <v>11</v>
      </c>
    </row>
    <row r="466" spans="1:10" x14ac:dyDescent="0.35">
      <c r="A466" s="3">
        <v>103409122</v>
      </c>
      <c r="B466" s="3" t="s">
        <v>678</v>
      </c>
      <c r="C466" s="3" t="str">
        <f t="shared" si="10"/>
        <v>2022-07-06</v>
      </c>
      <c r="D466" s="3" t="s">
        <v>9</v>
      </c>
      <c r="E466" s="3" t="s">
        <v>5</v>
      </c>
      <c r="F466" s="3" t="s">
        <v>10</v>
      </c>
      <c r="G466" s="3" t="s">
        <v>679</v>
      </c>
      <c r="H466" s="3" t="s">
        <v>680</v>
      </c>
      <c r="I466" s="4">
        <v>4859.1000000000004</v>
      </c>
      <c r="J466" s="3" t="s">
        <v>11</v>
      </c>
    </row>
    <row r="467" spans="1:10" x14ac:dyDescent="0.35">
      <c r="A467" s="3">
        <v>103409121</v>
      </c>
      <c r="B467" s="3" t="s">
        <v>681</v>
      </c>
      <c r="C467" s="3" t="str">
        <f t="shared" si="10"/>
        <v>2022-07-06</v>
      </c>
      <c r="D467" s="3" t="s">
        <v>9</v>
      </c>
      <c r="E467" s="3" t="s">
        <v>5</v>
      </c>
      <c r="F467" s="3" t="s">
        <v>10</v>
      </c>
      <c r="G467" s="3" t="s">
        <v>682</v>
      </c>
      <c r="H467" s="3" t="s">
        <v>683</v>
      </c>
      <c r="I467" s="4">
        <v>1281.55</v>
      </c>
      <c r="J467" s="3" t="s">
        <v>11</v>
      </c>
    </row>
    <row r="468" spans="1:10" x14ac:dyDescent="0.35">
      <c r="A468" s="3">
        <v>103409119</v>
      </c>
      <c r="B468" s="3" t="s">
        <v>684</v>
      </c>
      <c r="C468" s="3" t="str">
        <f t="shared" si="10"/>
        <v>2022-07-06</v>
      </c>
      <c r="D468" s="3" t="s">
        <v>9</v>
      </c>
      <c r="E468" s="3" t="s">
        <v>5</v>
      </c>
      <c r="F468" s="3" t="s">
        <v>10</v>
      </c>
      <c r="G468" s="3" t="s">
        <v>685</v>
      </c>
      <c r="H468" s="3" t="s">
        <v>686</v>
      </c>
      <c r="I468" s="5">
        <v>5849</v>
      </c>
      <c r="J468" s="3" t="s">
        <v>11</v>
      </c>
    </row>
    <row r="469" spans="1:10" x14ac:dyDescent="0.35">
      <c r="A469" s="3">
        <v>103409114</v>
      </c>
      <c r="B469" s="3" t="s">
        <v>687</v>
      </c>
      <c r="C469" s="3" t="str">
        <f t="shared" si="10"/>
        <v>2022-07-06</v>
      </c>
      <c r="D469" s="3" t="s">
        <v>9</v>
      </c>
      <c r="E469" s="3" t="s">
        <v>5</v>
      </c>
      <c r="F469" s="3" t="s">
        <v>10</v>
      </c>
      <c r="G469" s="3" t="s">
        <v>688</v>
      </c>
      <c r="H469" s="3" t="s">
        <v>689</v>
      </c>
      <c r="I469" s="4">
        <v>7061.35</v>
      </c>
      <c r="J469" s="3" t="s">
        <v>11</v>
      </c>
    </row>
    <row r="470" spans="1:10" x14ac:dyDescent="0.35">
      <c r="A470" s="3">
        <v>103409037</v>
      </c>
      <c r="B470" s="3" t="s">
        <v>690</v>
      </c>
      <c r="C470" s="3" t="str">
        <f t="shared" si="10"/>
        <v>2022-07-06</v>
      </c>
      <c r="D470" s="3" t="s">
        <v>9</v>
      </c>
      <c r="E470" s="3" t="s">
        <v>5</v>
      </c>
      <c r="F470" s="3" t="s">
        <v>12</v>
      </c>
      <c r="G470" s="3" t="s">
        <v>691</v>
      </c>
      <c r="H470" s="3" t="s">
        <v>692</v>
      </c>
      <c r="I470" s="5">
        <v>2749</v>
      </c>
      <c r="J470" s="3" t="s">
        <v>11</v>
      </c>
    </row>
    <row r="471" spans="1:10" x14ac:dyDescent="0.35">
      <c r="A471" s="3">
        <v>103409036</v>
      </c>
      <c r="B471" s="3" t="s">
        <v>693</v>
      </c>
      <c r="C471" s="3" t="str">
        <f t="shared" si="10"/>
        <v>2022-07-06</v>
      </c>
      <c r="D471" s="3" t="s">
        <v>9</v>
      </c>
      <c r="E471" s="3" t="s">
        <v>5</v>
      </c>
      <c r="F471" s="3" t="s">
        <v>10</v>
      </c>
      <c r="G471" s="3" t="s">
        <v>694</v>
      </c>
      <c r="H471" s="3" t="s">
        <v>695</v>
      </c>
      <c r="I471" s="4">
        <v>2849.05</v>
      </c>
      <c r="J471" s="3" t="s">
        <v>11</v>
      </c>
    </row>
    <row r="472" spans="1:10" x14ac:dyDescent="0.35">
      <c r="A472" s="3">
        <v>103409113</v>
      </c>
      <c r="B472" s="3" t="s">
        <v>696</v>
      </c>
      <c r="C472" s="3" t="str">
        <f t="shared" si="10"/>
        <v>2022-07-06</v>
      </c>
      <c r="D472" s="3" t="s">
        <v>9</v>
      </c>
      <c r="E472" s="3" t="s">
        <v>5</v>
      </c>
      <c r="F472" s="3" t="s">
        <v>10</v>
      </c>
      <c r="G472" s="3" t="s">
        <v>697</v>
      </c>
      <c r="H472" s="3" t="s">
        <v>698</v>
      </c>
      <c r="I472" s="4">
        <v>2990.6</v>
      </c>
      <c r="J472" s="3" t="s">
        <v>11</v>
      </c>
    </row>
    <row r="473" spans="1:10" x14ac:dyDescent="0.35">
      <c r="A473" s="3">
        <v>103409034</v>
      </c>
      <c r="B473" s="3" t="s">
        <v>699</v>
      </c>
      <c r="C473" s="3" t="str">
        <f t="shared" si="10"/>
        <v>2022-07-06</v>
      </c>
      <c r="D473" s="3" t="s">
        <v>9</v>
      </c>
      <c r="E473" s="3" t="s">
        <v>5</v>
      </c>
      <c r="F473" s="3" t="s">
        <v>12</v>
      </c>
      <c r="G473" s="3" t="s">
        <v>700</v>
      </c>
      <c r="H473" s="3" t="s">
        <v>701</v>
      </c>
      <c r="I473" s="3">
        <v>759.05</v>
      </c>
      <c r="J473" s="3" t="s">
        <v>11</v>
      </c>
    </row>
    <row r="474" spans="1:10" x14ac:dyDescent="0.35">
      <c r="A474" s="3">
        <v>103409105</v>
      </c>
      <c r="B474" s="3" t="s">
        <v>702</v>
      </c>
      <c r="C474" s="3" t="str">
        <f t="shared" si="10"/>
        <v>2022-07-06</v>
      </c>
      <c r="D474" s="3" t="s">
        <v>9</v>
      </c>
      <c r="E474" s="3" t="s">
        <v>5</v>
      </c>
      <c r="F474" s="3" t="s">
        <v>10</v>
      </c>
      <c r="G474" s="3" t="s">
        <v>703</v>
      </c>
      <c r="H474" s="3" t="s">
        <v>704</v>
      </c>
      <c r="I474" s="4">
        <v>1851.55</v>
      </c>
      <c r="J474" s="3" t="s">
        <v>11</v>
      </c>
    </row>
    <row r="475" spans="1:10" x14ac:dyDescent="0.35">
      <c r="A475" s="3">
        <v>103409104</v>
      </c>
      <c r="B475" s="3" t="s">
        <v>705</v>
      </c>
      <c r="C475" s="3" t="str">
        <f t="shared" si="10"/>
        <v>2022-07-06</v>
      </c>
      <c r="D475" s="3" t="s">
        <v>9</v>
      </c>
      <c r="E475" s="3" t="s">
        <v>5</v>
      </c>
      <c r="F475" s="3" t="s">
        <v>10</v>
      </c>
      <c r="G475" s="3" t="s">
        <v>706</v>
      </c>
      <c r="H475" s="3" t="s">
        <v>707</v>
      </c>
      <c r="I475" s="4">
        <v>1310.05</v>
      </c>
      <c r="J475" s="3" t="s">
        <v>11</v>
      </c>
    </row>
    <row r="476" spans="1:10" x14ac:dyDescent="0.35">
      <c r="A476" s="3">
        <v>103409022</v>
      </c>
      <c r="B476" s="3" t="s">
        <v>708</v>
      </c>
      <c r="C476" s="3" t="str">
        <f t="shared" si="10"/>
        <v>2022-07-06</v>
      </c>
      <c r="D476" s="3" t="s">
        <v>9</v>
      </c>
      <c r="E476" s="3" t="s">
        <v>5</v>
      </c>
      <c r="F476" s="3" t="s">
        <v>10</v>
      </c>
      <c r="G476" s="3" t="s">
        <v>709</v>
      </c>
      <c r="H476" s="3" t="s">
        <v>710</v>
      </c>
      <c r="I476" s="5">
        <v>3566</v>
      </c>
      <c r="J476" s="3" t="s">
        <v>11</v>
      </c>
    </row>
    <row r="477" spans="1:10" x14ac:dyDescent="0.35">
      <c r="A477" s="3">
        <v>103409021</v>
      </c>
      <c r="B477" s="3" t="s">
        <v>711</v>
      </c>
      <c r="C477" s="3" t="str">
        <f t="shared" si="10"/>
        <v>2022-07-06</v>
      </c>
      <c r="D477" s="3" t="s">
        <v>9</v>
      </c>
      <c r="E477" s="3" t="s">
        <v>5</v>
      </c>
      <c r="F477" s="3" t="s">
        <v>12</v>
      </c>
      <c r="G477" s="3" t="s">
        <v>712</v>
      </c>
      <c r="H477" s="3" t="s">
        <v>713</v>
      </c>
      <c r="I477" s="3">
        <v>329</v>
      </c>
      <c r="J477" s="3" t="s">
        <v>11</v>
      </c>
    </row>
    <row r="478" spans="1:10" x14ac:dyDescent="0.35">
      <c r="A478" s="3">
        <v>103409100</v>
      </c>
      <c r="B478" s="3" t="s">
        <v>714</v>
      </c>
      <c r="C478" s="3" t="str">
        <f t="shared" si="10"/>
        <v>2022-07-06</v>
      </c>
      <c r="D478" s="3" t="s">
        <v>9</v>
      </c>
      <c r="E478" s="3" t="s">
        <v>5</v>
      </c>
      <c r="F478" s="3" t="s">
        <v>10</v>
      </c>
      <c r="G478" s="3" t="s">
        <v>715</v>
      </c>
      <c r="H478" s="3" t="s">
        <v>716</v>
      </c>
      <c r="I478" s="5">
        <v>1499</v>
      </c>
      <c r="J478" s="3" t="s">
        <v>11</v>
      </c>
    </row>
    <row r="479" spans="1:10" x14ac:dyDescent="0.35">
      <c r="A479" s="3">
        <v>103409020</v>
      </c>
      <c r="B479" s="3" t="s">
        <v>717</v>
      </c>
      <c r="C479" s="3" t="str">
        <f t="shared" si="10"/>
        <v>2022-07-06</v>
      </c>
      <c r="D479" s="3" t="s">
        <v>9</v>
      </c>
      <c r="E479" s="3" t="s">
        <v>5</v>
      </c>
      <c r="F479" s="3" t="s">
        <v>10</v>
      </c>
      <c r="G479" s="3" t="s">
        <v>718</v>
      </c>
      <c r="H479" s="3" t="s">
        <v>719</v>
      </c>
      <c r="I479" s="4">
        <v>2239.2399999999998</v>
      </c>
      <c r="J479" s="3" t="s">
        <v>11</v>
      </c>
    </row>
    <row r="480" spans="1:10" x14ac:dyDescent="0.35">
      <c r="A480" s="3">
        <v>103409018</v>
      </c>
      <c r="B480" s="3" t="s">
        <v>720</v>
      </c>
      <c r="C480" s="3" t="str">
        <f t="shared" si="10"/>
        <v>2022-07-06</v>
      </c>
      <c r="D480" s="3" t="s">
        <v>9</v>
      </c>
      <c r="E480" s="3" t="s">
        <v>5</v>
      </c>
      <c r="F480" s="3" t="s">
        <v>10</v>
      </c>
      <c r="G480" s="3" t="s">
        <v>721</v>
      </c>
      <c r="H480" s="3" t="s">
        <v>722</v>
      </c>
      <c r="I480" s="4">
        <v>2469.0500000000002</v>
      </c>
      <c r="J480" s="3" t="s">
        <v>11</v>
      </c>
    </row>
    <row r="481" spans="1:10" x14ac:dyDescent="0.35">
      <c r="A481" s="3">
        <v>103409094</v>
      </c>
      <c r="B481" s="3" t="s">
        <v>723</v>
      </c>
      <c r="C481" s="3" t="str">
        <f t="shared" si="10"/>
        <v>2022-07-06</v>
      </c>
      <c r="D481" s="3" t="s">
        <v>9</v>
      </c>
      <c r="E481" s="3" t="s">
        <v>5</v>
      </c>
      <c r="F481" s="3" t="s">
        <v>10</v>
      </c>
      <c r="G481" s="3" t="s">
        <v>724</v>
      </c>
      <c r="H481" s="3" t="s">
        <v>725</v>
      </c>
      <c r="I481" s="3">
        <v>768.55</v>
      </c>
      <c r="J481" s="3" t="s">
        <v>11</v>
      </c>
    </row>
    <row r="482" spans="1:10" x14ac:dyDescent="0.35">
      <c r="A482" s="3">
        <v>103409093</v>
      </c>
      <c r="B482" s="3" t="s">
        <v>726</v>
      </c>
      <c r="C482" s="3" t="str">
        <f t="shared" si="10"/>
        <v>2022-07-06</v>
      </c>
      <c r="D482" s="3" t="s">
        <v>9</v>
      </c>
      <c r="E482" s="3" t="s">
        <v>5</v>
      </c>
      <c r="F482" s="3" t="s">
        <v>10</v>
      </c>
      <c r="G482" s="3" t="s">
        <v>727</v>
      </c>
      <c r="H482" s="3" t="s">
        <v>728</v>
      </c>
      <c r="I482" s="4">
        <v>1329.05</v>
      </c>
      <c r="J482" s="3" t="s">
        <v>11</v>
      </c>
    </row>
    <row r="483" spans="1:10" x14ac:dyDescent="0.35">
      <c r="A483" s="3">
        <v>103409017</v>
      </c>
      <c r="B483" s="3" t="s">
        <v>729</v>
      </c>
      <c r="C483" s="3" t="str">
        <f t="shared" si="10"/>
        <v>2022-07-06</v>
      </c>
      <c r="D483" s="3" t="s">
        <v>9</v>
      </c>
      <c r="E483" s="3" t="s">
        <v>5</v>
      </c>
      <c r="F483" s="3" t="s">
        <v>12</v>
      </c>
      <c r="G483" s="3" t="s">
        <v>730</v>
      </c>
      <c r="H483" s="3" t="s">
        <v>731</v>
      </c>
      <c r="I483" s="4">
        <v>2278.1</v>
      </c>
      <c r="J483" s="3" t="s">
        <v>11</v>
      </c>
    </row>
    <row r="484" spans="1:10" x14ac:dyDescent="0.35">
      <c r="A484" s="3">
        <v>103409089</v>
      </c>
      <c r="B484" s="3" t="s">
        <v>732</v>
      </c>
      <c r="C484" s="3" t="str">
        <f t="shared" si="10"/>
        <v>2022-07-06</v>
      </c>
      <c r="D484" s="3" t="s">
        <v>9</v>
      </c>
      <c r="E484" s="3" t="s">
        <v>5</v>
      </c>
      <c r="F484" s="3" t="s">
        <v>10</v>
      </c>
      <c r="G484" s="3" t="s">
        <v>733</v>
      </c>
      <c r="H484" s="3" t="s">
        <v>734</v>
      </c>
      <c r="I484" s="3">
        <v>635.54999999999995</v>
      </c>
      <c r="J484" s="3" t="s">
        <v>11</v>
      </c>
    </row>
    <row r="485" spans="1:10" x14ac:dyDescent="0.35">
      <c r="A485" s="3">
        <v>103409083</v>
      </c>
      <c r="B485" s="3" t="s">
        <v>735</v>
      </c>
      <c r="C485" s="3" t="str">
        <f t="shared" si="10"/>
        <v>2022-07-06</v>
      </c>
      <c r="D485" s="3" t="s">
        <v>9</v>
      </c>
      <c r="E485" s="3" t="s">
        <v>5</v>
      </c>
      <c r="F485" s="3" t="s">
        <v>10</v>
      </c>
      <c r="G485" s="3" t="s">
        <v>736</v>
      </c>
      <c r="H485" s="3" t="s">
        <v>737</v>
      </c>
      <c r="I485" s="3">
        <v>779</v>
      </c>
      <c r="J485" s="3" t="s">
        <v>11</v>
      </c>
    </row>
    <row r="486" spans="1:10" x14ac:dyDescent="0.35">
      <c r="A486" s="3">
        <v>103409012</v>
      </c>
      <c r="B486" s="3" t="s">
        <v>738</v>
      </c>
      <c r="C486" s="3" t="str">
        <f t="shared" si="10"/>
        <v>2022-07-06</v>
      </c>
      <c r="D486" s="3" t="s">
        <v>9</v>
      </c>
      <c r="E486" s="3" t="s">
        <v>5</v>
      </c>
      <c r="F486" s="3" t="s">
        <v>10</v>
      </c>
      <c r="G486" s="3" t="s">
        <v>739</v>
      </c>
      <c r="H486" s="3" t="s">
        <v>740</v>
      </c>
      <c r="I486" s="4">
        <v>1079.0999999999999</v>
      </c>
      <c r="J486" s="3" t="s">
        <v>11</v>
      </c>
    </row>
    <row r="487" spans="1:10" x14ac:dyDescent="0.35">
      <c r="A487" s="3">
        <v>103409009</v>
      </c>
      <c r="B487" s="3" t="s">
        <v>741</v>
      </c>
      <c r="C487" s="3" t="str">
        <f t="shared" si="10"/>
        <v>2022-07-06</v>
      </c>
      <c r="D487" s="3" t="s">
        <v>9</v>
      </c>
      <c r="E487" s="3" t="s">
        <v>5</v>
      </c>
      <c r="F487" s="3" t="s">
        <v>10</v>
      </c>
      <c r="G487" s="3" t="s">
        <v>742</v>
      </c>
      <c r="H487" s="3" t="s">
        <v>743</v>
      </c>
      <c r="I487" s="4">
        <v>2868.05</v>
      </c>
      <c r="J487" s="3" t="s">
        <v>11</v>
      </c>
    </row>
    <row r="488" spans="1:10" x14ac:dyDescent="0.35">
      <c r="A488" s="3">
        <v>103409074</v>
      </c>
      <c r="B488" s="3" t="s">
        <v>744</v>
      </c>
      <c r="C488" s="3" t="str">
        <f t="shared" si="10"/>
        <v>2022-07-06</v>
      </c>
      <c r="D488" s="3" t="s">
        <v>9</v>
      </c>
      <c r="E488" s="3" t="s">
        <v>5</v>
      </c>
      <c r="F488" s="3" t="s">
        <v>10</v>
      </c>
      <c r="G488" s="3" t="s">
        <v>745</v>
      </c>
      <c r="H488" s="3" t="s">
        <v>746</v>
      </c>
      <c r="I488" s="3">
        <v>699</v>
      </c>
      <c r="J488" s="3" t="s">
        <v>11</v>
      </c>
    </row>
    <row r="489" spans="1:10" x14ac:dyDescent="0.35">
      <c r="A489" s="3">
        <v>103409003</v>
      </c>
      <c r="B489" s="3" t="s">
        <v>747</v>
      </c>
      <c r="C489" s="3" t="str">
        <f t="shared" si="10"/>
        <v>2022-07-06</v>
      </c>
      <c r="D489" s="3" t="s">
        <v>9</v>
      </c>
      <c r="E489" s="3" t="s">
        <v>5</v>
      </c>
      <c r="F489" s="3" t="s">
        <v>10</v>
      </c>
      <c r="G489" s="3" t="s">
        <v>748</v>
      </c>
      <c r="H489" s="3" t="s">
        <v>749</v>
      </c>
      <c r="I489" s="4">
        <v>1310.05</v>
      </c>
      <c r="J489" s="3" t="s">
        <v>11</v>
      </c>
    </row>
    <row r="490" spans="1:10" x14ac:dyDescent="0.35">
      <c r="A490" s="3">
        <v>103408996</v>
      </c>
      <c r="B490" s="3" t="s">
        <v>750</v>
      </c>
      <c r="C490" s="3" t="str">
        <f t="shared" si="10"/>
        <v>2022-07-06</v>
      </c>
      <c r="D490" s="3" t="s">
        <v>9</v>
      </c>
      <c r="E490" s="3" t="s">
        <v>5</v>
      </c>
      <c r="F490" s="3" t="s">
        <v>10</v>
      </c>
      <c r="G490" s="3" t="s">
        <v>751</v>
      </c>
      <c r="H490" s="3" t="s">
        <v>752</v>
      </c>
      <c r="I490" s="4">
        <v>2279.0500000000002</v>
      </c>
      <c r="J490" s="3" t="s">
        <v>11</v>
      </c>
    </row>
    <row r="491" spans="1:10" x14ac:dyDescent="0.35">
      <c r="A491" s="3">
        <v>103408992</v>
      </c>
      <c r="B491" s="3" t="s">
        <v>753</v>
      </c>
      <c r="C491" s="3" t="str">
        <f t="shared" si="10"/>
        <v>2022-07-06</v>
      </c>
      <c r="D491" s="3" t="s">
        <v>9</v>
      </c>
      <c r="E491" s="3" t="s">
        <v>5</v>
      </c>
      <c r="F491" s="3" t="s">
        <v>10</v>
      </c>
      <c r="G491" s="3" t="s">
        <v>754</v>
      </c>
      <c r="H491" s="3" t="s">
        <v>755</v>
      </c>
      <c r="I491" s="4">
        <v>1698.6</v>
      </c>
      <c r="J491" s="3" t="s">
        <v>11</v>
      </c>
    </row>
    <row r="492" spans="1:10" x14ac:dyDescent="0.35">
      <c r="A492" s="3">
        <v>103409067</v>
      </c>
      <c r="B492" s="3" t="s">
        <v>756</v>
      </c>
      <c r="C492" s="3" t="str">
        <f t="shared" si="10"/>
        <v>2022-07-06</v>
      </c>
      <c r="D492" s="3" t="s">
        <v>9</v>
      </c>
      <c r="E492" s="3" t="s">
        <v>5</v>
      </c>
      <c r="F492" s="3" t="s">
        <v>10</v>
      </c>
      <c r="G492" s="3" t="s">
        <v>757</v>
      </c>
      <c r="H492" s="3" t="s">
        <v>758</v>
      </c>
      <c r="I492" s="4">
        <v>2041.55</v>
      </c>
      <c r="J492" s="3" t="s">
        <v>11</v>
      </c>
    </row>
    <row r="493" spans="1:10" x14ac:dyDescent="0.35">
      <c r="A493" s="3">
        <v>103408989</v>
      </c>
      <c r="B493" s="3" t="s">
        <v>759</v>
      </c>
      <c r="C493" s="3" t="str">
        <f t="shared" si="10"/>
        <v>2022-07-06</v>
      </c>
      <c r="D493" s="3" t="s">
        <v>9</v>
      </c>
      <c r="E493" s="3" t="s">
        <v>5</v>
      </c>
      <c r="F493" s="3" t="s">
        <v>12</v>
      </c>
      <c r="G493" s="3" t="s">
        <v>760</v>
      </c>
      <c r="H493" s="3" t="s">
        <v>761</v>
      </c>
      <c r="I493" s="3">
        <v>869</v>
      </c>
      <c r="J493" s="3" t="s">
        <v>11</v>
      </c>
    </row>
    <row r="494" spans="1:10" x14ac:dyDescent="0.35">
      <c r="A494" s="3">
        <v>103408988</v>
      </c>
      <c r="B494" s="3" t="s">
        <v>762</v>
      </c>
      <c r="C494" s="3" t="str">
        <f t="shared" si="10"/>
        <v>2022-07-06</v>
      </c>
      <c r="D494" s="3" t="s">
        <v>9</v>
      </c>
      <c r="E494" s="3" t="s">
        <v>5</v>
      </c>
      <c r="F494" s="3" t="s">
        <v>10</v>
      </c>
      <c r="G494" s="3" t="s">
        <v>763</v>
      </c>
      <c r="H494" s="3" t="s">
        <v>764</v>
      </c>
      <c r="I494" s="4">
        <v>3590.14</v>
      </c>
      <c r="J494" s="3" t="s">
        <v>11</v>
      </c>
    </row>
    <row r="495" spans="1:10" x14ac:dyDescent="0.35">
      <c r="A495" s="3">
        <v>103408986</v>
      </c>
      <c r="B495" s="3" t="s">
        <v>765</v>
      </c>
      <c r="C495" s="3" t="str">
        <f t="shared" si="10"/>
        <v>2022-07-06</v>
      </c>
      <c r="D495" s="3" t="s">
        <v>9</v>
      </c>
      <c r="E495" s="3" t="s">
        <v>5</v>
      </c>
      <c r="F495" s="3" t="s">
        <v>10</v>
      </c>
      <c r="G495" s="3" t="s">
        <v>766</v>
      </c>
      <c r="H495" s="3" t="s">
        <v>767</v>
      </c>
      <c r="I495" s="3">
        <v>920.55</v>
      </c>
      <c r="J495" s="3" t="s">
        <v>11</v>
      </c>
    </row>
    <row r="496" spans="1:10" x14ac:dyDescent="0.35">
      <c r="A496" s="3">
        <v>103408985</v>
      </c>
      <c r="B496" s="3" t="s">
        <v>768</v>
      </c>
      <c r="C496" s="3" t="str">
        <f t="shared" si="10"/>
        <v>2022-07-06</v>
      </c>
      <c r="D496" s="3" t="s">
        <v>9</v>
      </c>
      <c r="E496" s="3" t="s">
        <v>5</v>
      </c>
      <c r="F496" s="3" t="s">
        <v>10</v>
      </c>
      <c r="G496" s="3" t="s">
        <v>769</v>
      </c>
      <c r="H496" s="3" t="s">
        <v>770</v>
      </c>
      <c r="I496" s="5">
        <v>1169</v>
      </c>
      <c r="J496" s="3" t="s">
        <v>11</v>
      </c>
    </row>
    <row r="497" spans="1:10" x14ac:dyDescent="0.35">
      <c r="A497" s="3">
        <v>103408984</v>
      </c>
      <c r="B497" s="3" t="s">
        <v>771</v>
      </c>
      <c r="C497" s="3" t="str">
        <f t="shared" si="10"/>
        <v>2022-07-06</v>
      </c>
      <c r="D497" s="3" t="s">
        <v>9</v>
      </c>
      <c r="E497" s="3" t="s">
        <v>5</v>
      </c>
      <c r="F497" s="3" t="s">
        <v>10</v>
      </c>
      <c r="G497" s="3" t="s">
        <v>772</v>
      </c>
      <c r="H497" s="3" t="s">
        <v>773</v>
      </c>
      <c r="I497" s="5">
        <v>5599</v>
      </c>
      <c r="J497" s="3" t="s">
        <v>11</v>
      </c>
    </row>
    <row r="498" spans="1:10" x14ac:dyDescent="0.35">
      <c r="A498" s="3">
        <v>103409066</v>
      </c>
      <c r="B498" s="3" t="s">
        <v>774</v>
      </c>
      <c r="C498" s="3" t="str">
        <f t="shared" si="10"/>
        <v>2022-07-06</v>
      </c>
      <c r="D498" s="3" t="s">
        <v>9</v>
      </c>
      <c r="E498" s="3" t="s">
        <v>5</v>
      </c>
      <c r="F498" s="3" t="s">
        <v>10</v>
      </c>
      <c r="G498" s="3" t="s">
        <v>775</v>
      </c>
      <c r="H498" s="3" t="s">
        <v>776</v>
      </c>
      <c r="I498" s="3">
        <v>559</v>
      </c>
      <c r="J498" s="3" t="s">
        <v>11</v>
      </c>
    </row>
    <row r="499" spans="1:10" x14ac:dyDescent="0.35">
      <c r="A499" s="3">
        <v>103408983</v>
      </c>
      <c r="B499" s="3" t="s">
        <v>777</v>
      </c>
      <c r="C499" s="3" t="str">
        <f t="shared" si="10"/>
        <v>2022-07-06</v>
      </c>
      <c r="D499" s="3" t="s">
        <v>9</v>
      </c>
      <c r="E499" s="3" t="s">
        <v>5</v>
      </c>
      <c r="F499" s="3" t="s">
        <v>10</v>
      </c>
      <c r="G499" s="3" t="s">
        <v>778</v>
      </c>
      <c r="H499" s="3" t="s">
        <v>779</v>
      </c>
      <c r="I499" s="5">
        <v>2078</v>
      </c>
      <c r="J499" s="3" t="s">
        <v>11</v>
      </c>
    </row>
    <row r="500" spans="1:10" x14ac:dyDescent="0.35">
      <c r="A500" s="3">
        <v>103409065</v>
      </c>
      <c r="B500" s="3" t="s">
        <v>780</v>
      </c>
      <c r="C500" s="3" t="str">
        <f t="shared" si="10"/>
        <v>2022-07-06</v>
      </c>
      <c r="D500" s="3" t="s">
        <v>9</v>
      </c>
      <c r="E500" s="3" t="s">
        <v>5</v>
      </c>
      <c r="F500" s="3" t="s">
        <v>10</v>
      </c>
      <c r="G500" s="3" t="s">
        <v>781</v>
      </c>
      <c r="H500" s="3" t="s">
        <v>782</v>
      </c>
      <c r="I500" s="3">
        <v>969</v>
      </c>
      <c r="J500" s="3" t="s">
        <v>11</v>
      </c>
    </row>
    <row r="501" spans="1:10" x14ac:dyDescent="0.35">
      <c r="A501" s="3">
        <v>103408981</v>
      </c>
      <c r="B501" s="3" t="s">
        <v>783</v>
      </c>
      <c r="C501" s="3" t="str">
        <f t="shared" si="10"/>
        <v>2022-07-06</v>
      </c>
      <c r="D501" s="3" t="s">
        <v>9</v>
      </c>
      <c r="E501" s="3" t="s">
        <v>5</v>
      </c>
      <c r="F501" s="3" t="s">
        <v>10</v>
      </c>
      <c r="G501" s="3" t="s">
        <v>784</v>
      </c>
      <c r="H501" s="3" t="s">
        <v>785</v>
      </c>
      <c r="I501" s="4">
        <v>3390.55</v>
      </c>
      <c r="J501" s="3" t="s">
        <v>11</v>
      </c>
    </row>
    <row r="502" spans="1:10" x14ac:dyDescent="0.35">
      <c r="A502" s="3">
        <v>103408963</v>
      </c>
      <c r="B502" s="3" t="s">
        <v>786</v>
      </c>
      <c r="C502" s="3" t="str">
        <f t="shared" si="10"/>
        <v>2022-07-06</v>
      </c>
      <c r="D502" s="3" t="s">
        <v>9</v>
      </c>
      <c r="E502" s="3" t="s">
        <v>5</v>
      </c>
      <c r="F502" s="3" t="s">
        <v>10</v>
      </c>
      <c r="G502" s="3" t="s">
        <v>787</v>
      </c>
      <c r="H502" s="3" t="s">
        <v>788</v>
      </c>
      <c r="I502" s="5">
        <v>1599</v>
      </c>
      <c r="J502" s="3" t="s">
        <v>11</v>
      </c>
    </row>
    <row r="503" spans="1:10" x14ac:dyDescent="0.35">
      <c r="A503" s="3">
        <v>103408980</v>
      </c>
      <c r="B503" s="3" t="s">
        <v>789</v>
      </c>
      <c r="C503" s="3" t="str">
        <f t="shared" si="10"/>
        <v>2022-07-06</v>
      </c>
      <c r="D503" s="3" t="s">
        <v>9</v>
      </c>
      <c r="E503" s="3" t="s">
        <v>5</v>
      </c>
      <c r="F503" s="3" t="s">
        <v>10</v>
      </c>
      <c r="G503" s="3" t="s">
        <v>790</v>
      </c>
      <c r="H503" s="3" t="s">
        <v>791</v>
      </c>
      <c r="I503" s="5">
        <v>1869</v>
      </c>
      <c r="J503" s="3" t="s">
        <v>11</v>
      </c>
    </row>
    <row r="504" spans="1:10" x14ac:dyDescent="0.35">
      <c r="A504" s="3">
        <v>103408958</v>
      </c>
      <c r="B504" s="3" t="s">
        <v>792</v>
      </c>
      <c r="C504" s="3" t="str">
        <f t="shared" si="10"/>
        <v>2022-07-06</v>
      </c>
      <c r="D504" s="3" t="s">
        <v>9</v>
      </c>
      <c r="E504" s="3" t="s">
        <v>5</v>
      </c>
      <c r="F504" s="3" t="s">
        <v>10</v>
      </c>
      <c r="G504" s="3" t="s">
        <v>793</v>
      </c>
      <c r="H504" s="3" t="s">
        <v>794</v>
      </c>
      <c r="I504" s="4">
        <v>3743.57</v>
      </c>
      <c r="J504" s="3" t="s">
        <v>11</v>
      </c>
    </row>
    <row r="505" spans="1:10" x14ac:dyDescent="0.35">
      <c r="A505" s="3">
        <v>103408955</v>
      </c>
      <c r="B505" s="3" t="s">
        <v>795</v>
      </c>
      <c r="C505" s="3" t="str">
        <f t="shared" si="10"/>
        <v>2022-07-06</v>
      </c>
      <c r="D505" s="3" t="s">
        <v>9</v>
      </c>
      <c r="E505" s="3" t="s">
        <v>5</v>
      </c>
      <c r="F505" s="3" t="s">
        <v>10</v>
      </c>
      <c r="G505" s="3" t="s">
        <v>796</v>
      </c>
      <c r="H505" s="3" t="s">
        <v>797</v>
      </c>
      <c r="I505" s="4">
        <v>1186.55</v>
      </c>
      <c r="J505" s="3" t="s">
        <v>11</v>
      </c>
    </row>
    <row r="506" spans="1:10" x14ac:dyDescent="0.35">
      <c r="A506" s="3">
        <v>103408976</v>
      </c>
      <c r="B506" s="3" t="s">
        <v>798</v>
      </c>
      <c r="C506" s="3" t="str">
        <f t="shared" si="10"/>
        <v>2022-07-06</v>
      </c>
      <c r="D506" s="3" t="s">
        <v>9</v>
      </c>
      <c r="E506" s="3" t="s">
        <v>5</v>
      </c>
      <c r="F506" s="3" t="s">
        <v>12</v>
      </c>
      <c r="G506" s="3" t="s">
        <v>799</v>
      </c>
      <c r="H506" s="3" t="s">
        <v>800</v>
      </c>
      <c r="I506" s="5">
        <v>2919</v>
      </c>
      <c r="J506" s="3" t="s">
        <v>11</v>
      </c>
    </row>
    <row r="507" spans="1:10" x14ac:dyDescent="0.35">
      <c r="A507" s="3">
        <v>103408971</v>
      </c>
      <c r="B507" s="3" t="s">
        <v>801</v>
      </c>
      <c r="C507" s="3" t="str">
        <f t="shared" si="10"/>
        <v>2022-07-06</v>
      </c>
      <c r="D507" s="3" t="s">
        <v>9</v>
      </c>
      <c r="E507" s="3" t="s">
        <v>5</v>
      </c>
      <c r="F507" s="3" t="s">
        <v>12</v>
      </c>
      <c r="G507" s="3" t="s">
        <v>802</v>
      </c>
      <c r="H507" s="3" t="s">
        <v>803</v>
      </c>
      <c r="I507" s="4">
        <v>2350.39</v>
      </c>
      <c r="J507" s="3" t="s">
        <v>11</v>
      </c>
    </row>
    <row r="508" spans="1:10" x14ac:dyDescent="0.35">
      <c r="A508" s="3">
        <v>103408953</v>
      </c>
      <c r="B508" s="3" t="s">
        <v>804</v>
      </c>
      <c r="C508" s="3" t="str">
        <f t="shared" si="10"/>
        <v>2022-07-06</v>
      </c>
      <c r="D508" s="3" t="s">
        <v>9</v>
      </c>
      <c r="E508" s="3" t="s">
        <v>5</v>
      </c>
      <c r="F508" s="3" t="s">
        <v>10</v>
      </c>
      <c r="G508" s="3" t="s">
        <v>718</v>
      </c>
      <c r="H508" s="3" t="s">
        <v>719</v>
      </c>
      <c r="I508" s="4">
        <v>3134.05</v>
      </c>
      <c r="J508" s="3" t="s">
        <v>11</v>
      </c>
    </row>
    <row r="509" spans="1:10" x14ac:dyDescent="0.35">
      <c r="A509" s="3">
        <v>103408951</v>
      </c>
      <c r="B509" s="3" t="s">
        <v>805</v>
      </c>
      <c r="C509" s="3" t="str">
        <f t="shared" si="10"/>
        <v>2022-07-06</v>
      </c>
      <c r="D509" s="3" t="s">
        <v>9</v>
      </c>
      <c r="E509" s="3" t="s">
        <v>5</v>
      </c>
      <c r="F509" s="3" t="s">
        <v>10</v>
      </c>
      <c r="G509" s="3" t="s">
        <v>806</v>
      </c>
      <c r="H509" s="3" t="s">
        <v>807</v>
      </c>
      <c r="I509" s="5">
        <v>1349</v>
      </c>
      <c r="J509" s="3" t="s">
        <v>11</v>
      </c>
    </row>
    <row r="510" spans="1:10" x14ac:dyDescent="0.35">
      <c r="A510" s="3">
        <v>103408944</v>
      </c>
      <c r="B510" s="3" t="s">
        <v>808</v>
      </c>
      <c r="C510" s="3" t="str">
        <f t="shared" si="10"/>
        <v>2022-07-06</v>
      </c>
      <c r="D510" s="3" t="s">
        <v>9</v>
      </c>
      <c r="E510" s="3" t="s">
        <v>5</v>
      </c>
      <c r="F510" s="3" t="s">
        <v>10</v>
      </c>
      <c r="G510" s="3" t="s">
        <v>809</v>
      </c>
      <c r="H510" s="3" t="s">
        <v>810</v>
      </c>
      <c r="I510" s="4">
        <v>1367.05</v>
      </c>
      <c r="J510" s="3" t="s">
        <v>11</v>
      </c>
    </row>
    <row r="511" spans="1:10" x14ac:dyDescent="0.35">
      <c r="A511" s="3">
        <v>103408862</v>
      </c>
      <c r="B511" s="3" t="s">
        <v>811</v>
      </c>
      <c r="C511" s="3" t="str">
        <f t="shared" si="10"/>
        <v>2022-07-06</v>
      </c>
      <c r="D511" s="3" t="s">
        <v>9</v>
      </c>
      <c r="E511" s="3" t="s">
        <v>5</v>
      </c>
      <c r="F511" s="3" t="s">
        <v>10</v>
      </c>
      <c r="G511" s="3" t="s">
        <v>812</v>
      </c>
      <c r="H511" s="3" t="s">
        <v>813</v>
      </c>
      <c r="I511" s="4">
        <v>2773.05</v>
      </c>
      <c r="J511" s="3" t="s">
        <v>11</v>
      </c>
    </row>
    <row r="512" spans="1:10" x14ac:dyDescent="0.35">
      <c r="A512" s="3">
        <v>103408942</v>
      </c>
      <c r="B512" s="3" t="s">
        <v>814</v>
      </c>
      <c r="C512" s="3" t="str">
        <f t="shared" si="10"/>
        <v>2022-07-06</v>
      </c>
      <c r="D512" s="3" t="s">
        <v>9</v>
      </c>
      <c r="E512" s="3" t="s">
        <v>5</v>
      </c>
      <c r="F512" s="3" t="s">
        <v>10</v>
      </c>
      <c r="G512" s="3" t="s">
        <v>815</v>
      </c>
      <c r="H512" s="3" t="s">
        <v>816</v>
      </c>
      <c r="I512" s="4">
        <v>1076.44</v>
      </c>
      <c r="J512" s="3" t="s">
        <v>11</v>
      </c>
    </row>
    <row r="513" spans="1:10" x14ac:dyDescent="0.35">
      <c r="A513" s="3">
        <v>103408857</v>
      </c>
      <c r="B513" s="3" t="s">
        <v>817</v>
      </c>
      <c r="C513" s="3" t="str">
        <f t="shared" si="10"/>
        <v>2022-07-06</v>
      </c>
      <c r="D513" s="3" t="s">
        <v>9</v>
      </c>
      <c r="E513" s="3" t="s">
        <v>5</v>
      </c>
      <c r="F513" s="3" t="s">
        <v>10</v>
      </c>
      <c r="G513" s="3" t="s">
        <v>818</v>
      </c>
      <c r="H513" s="3" t="s">
        <v>819</v>
      </c>
      <c r="I513" s="4">
        <v>1880.14</v>
      </c>
      <c r="J513" s="3" t="s">
        <v>11</v>
      </c>
    </row>
    <row r="514" spans="1:10" x14ac:dyDescent="0.35">
      <c r="A514" s="3">
        <v>103408855</v>
      </c>
      <c r="B514" s="3" t="s">
        <v>820</v>
      </c>
      <c r="C514" s="3" t="str">
        <f t="shared" si="10"/>
        <v>2022-07-06</v>
      </c>
      <c r="D514" s="3" t="s">
        <v>9</v>
      </c>
      <c r="E514" s="3" t="s">
        <v>5</v>
      </c>
      <c r="F514" s="3" t="s">
        <v>10</v>
      </c>
      <c r="G514" s="3" t="s">
        <v>821</v>
      </c>
      <c r="H514" s="3" t="s">
        <v>822</v>
      </c>
      <c r="I514" s="4">
        <v>1007.19</v>
      </c>
      <c r="J514" s="3" t="s">
        <v>11</v>
      </c>
    </row>
    <row r="515" spans="1:10" x14ac:dyDescent="0.35">
      <c r="A515" s="3">
        <v>103408851</v>
      </c>
      <c r="B515" s="3" t="s">
        <v>823</v>
      </c>
      <c r="C515" s="3" t="str">
        <f t="shared" ref="C515:C578" si="11">LEFT(B515,FIND("T",B515)-1)</f>
        <v>2022-07-06</v>
      </c>
      <c r="D515" s="3" t="s">
        <v>9</v>
      </c>
      <c r="E515" s="3" t="s">
        <v>5</v>
      </c>
      <c r="F515" s="3" t="s">
        <v>10</v>
      </c>
      <c r="G515" s="3" t="s">
        <v>824</v>
      </c>
      <c r="H515" s="3" t="s">
        <v>825</v>
      </c>
      <c r="I515" s="5">
        <v>1379</v>
      </c>
      <c r="J515" s="3" t="s">
        <v>11</v>
      </c>
    </row>
    <row r="516" spans="1:10" x14ac:dyDescent="0.35">
      <c r="A516" s="3">
        <v>103408850</v>
      </c>
      <c r="B516" s="3" t="s">
        <v>826</v>
      </c>
      <c r="C516" s="3" t="str">
        <f t="shared" si="11"/>
        <v>2022-07-06</v>
      </c>
      <c r="D516" s="3" t="s">
        <v>9</v>
      </c>
      <c r="E516" s="3" t="s">
        <v>5</v>
      </c>
      <c r="F516" s="3" t="s">
        <v>10</v>
      </c>
      <c r="G516" s="3" t="s">
        <v>827</v>
      </c>
      <c r="H516" s="3" t="s">
        <v>828</v>
      </c>
      <c r="I516" s="4">
        <v>1594.1</v>
      </c>
      <c r="J516" s="3" t="s">
        <v>11</v>
      </c>
    </row>
    <row r="517" spans="1:10" x14ac:dyDescent="0.35">
      <c r="A517" s="3">
        <v>103408849</v>
      </c>
      <c r="B517" s="3" t="s">
        <v>829</v>
      </c>
      <c r="C517" s="3" t="str">
        <f t="shared" si="11"/>
        <v>2022-07-06</v>
      </c>
      <c r="D517" s="3" t="s">
        <v>9</v>
      </c>
      <c r="E517" s="3" t="s">
        <v>5</v>
      </c>
      <c r="F517" s="3" t="s">
        <v>10</v>
      </c>
      <c r="G517" s="3" t="s">
        <v>830</v>
      </c>
      <c r="H517" s="3" t="s">
        <v>831</v>
      </c>
      <c r="I517" s="4">
        <v>2820.64</v>
      </c>
      <c r="J517" s="3" t="s">
        <v>11</v>
      </c>
    </row>
    <row r="518" spans="1:10" x14ac:dyDescent="0.35">
      <c r="A518" s="3">
        <v>103408929</v>
      </c>
      <c r="B518" s="3" t="s">
        <v>832</v>
      </c>
      <c r="C518" s="3" t="str">
        <f t="shared" si="11"/>
        <v>2022-07-06</v>
      </c>
      <c r="D518" s="3" t="s">
        <v>9</v>
      </c>
      <c r="E518" s="3" t="s">
        <v>5</v>
      </c>
      <c r="F518" s="3" t="s">
        <v>10</v>
      </c>
      <c r="G518" s="3" t="s">
        <v>833</v>
      </c>
      <c r="H518" s="3" t="s">
        <v>834</v>
      </c>
      <c r="I518" s="4">
        <v>1672.2</v>
      </c>
      <c r="J518" s="3" t="s">
        <v>11</v>
      </c>
    </row>
    <row r="519" spans="1:10" x14ac:dyDescent="0.35">
      <c r="A519" s="3">
        <v>103408847</v>
      </c>
      <c r="B519" s="3" t="s">
        <v>835</v>
      </c>
      <c r="C519" s="3" t="str">
        <f t="shared" si="11"/>
        <v>2022-07-06</v>
      </c>
      <c r="D519" s="3" t="s">
        <v>9</v>
      </c>
      <c r="E519" s="3" t="s">
        <v>5</v>
      </c>
      <c r="F519" s="3" t="s">
        <v>10</v>
      </c>
      <c r="G519" s="3" t="s">
        <v>836</v>
      </c>
      <c r="H519" s="3" t="s">
        <v>837</v>
      </c>
      <c r="I519" s="4">
        <v>1129.55</v>
      </c>
      <c r="J519" s="3" t="s">
        <v>11</v>
      </c>
    </row>
    <row r="520" spans="1:10" x14ac:dyDescent="0.35">
      <c r="A520" s="3">
        <v>103408927</v>
      </c>
      <c r="B520" s="3" t="s">
        <v>838</v>
      </c>
      <c r="C520" s="3" t="str">
        <f t="shared" si="11"/>
        <v>2022-07-06</v>
      </c>
      <c r="D520" s="3" t="s">
        <v>9</v>
      </c>
      <c r="E520" s="3" t="s">
        <v>5</v>
      </c>
      <c r="F520" s="3" t="s">
        <v>10</v>
      </c>
      <c r="G520" s="3" t="s">
        <v>839</v>
      </c>
      <c r="H520" s="3" t="s">
        <v>840</v>
      </c>
      <c r="I520" s="4">
        <v>2659.05</v>
      </c>
      <c r="J520" s="3" t="s">
        <v>11</v>
      </c>
    </row>
    <row r="521" spans="1:10" x14ac:dyDescent="0.35">
      <c r="A521" s="3">
        <v>103408926</v>
      </c>
      <c r="B521" s="3" t="s">
        <v>841</v>
      </c>
      <c r="C521" s="3" t="str">
        <f t="shared" si="11"/>
        <v>2022-07-06</v>
      </c>
      <c r="D521" s="3" t="s">
        <v>9</v>
      </c>
      <c r="E521" s="3" t="s">
        <v>5</v>
      </c>
      <c r="F521" s="3" t="s">
        <v>10</v>
      </c>
      <c r="G521" s="3" t="s">
        <v>842</v>
      </c>
      <c r="H521" s="3" t="s">
        <v>843</v>
      </c>
      <c r="I521" s="4">
        <v>3419.14</v>
      </c>
      <c r="J521" s="3" t="s">
        <v>11</v>
      </c>
    </row>
    <row r="522" spans="1:10" x14ac:dyDescent="0.35">
      <c r="A522" s="3">
        <v>103408836</v>
      </c>
      <c r="B522" s="3" t="s">
        <v>844</v>
      </c>
      <c r="C522" s="3" t="str">
        <f t="shared" si="11"/>
        <v>2022-07-06</v>
      </c>
      <c r="D522" s="3" t="s">
        <v>9</v>
      </c>
      <c r="E522" s="3" t="s">
        <v>5</v>
      </c>
      <c r="F522" s="3" t="s">
        <v>10</v>
      </c>
      <c r="G522" s="3" t="s">
        <v>845</v>
      </c>
      <c r="H522" s="3" t="s">
        <v>846</v>
      </c>
      <c r="I522" s="4">
        <v>3779.1</v>
      </c>
      <c r="J522" s="3" t="s">
        <v>11</v>
      </c>
    </row>
    <row r="523" spans="1:10" x14ac:dyDescent="0.35">
      <c r="A523" s="3">
        <v>103408827</v>
      </c>
      <c r="B523" s="3" t="s">
        <v>847</v>
      </c>
      <c r="C523" s="3" t="str">
        <f t="shared" si="11"/>
        <v>2022-07-06</v>
      </c>
      <c r="D523" s="3" t="s">
        <v>9</v>
      </c>
      <c r="E523" s="3" t="s">
        <v>5</v>
      </c>
      <c r="F523" s="3" t="s">
        <v>10</v>
      </c>
      <c r="G523" s="3" t="s">
        <v>848</v>
      </c>
      <c r="H523" s="3" t="s">
        <v>849</v>
      </c>
      <c r="I523" s="5">
        <v>1169</v>
      </c>
      <c r="J523" s="3" t="s">
        <v>11</v>
      </c>
    </row>
    <row r="524" spans="1:10" x14ac:dyDescent="0.35">
      <c r="A524" s="3">
        <v>103408919</v>
      </c>
      <c r="B524" s="3" t="s">
        <v>850</v>
      </c>
      <c r="C524" s="3" t="str">
        <f t="shared" si="11"/>
        <v>2022-07-06</v>
      </c>
      <c r="D524" s="3" t="s">
        <v>9</v>
      </c>
      <c r="E524" s="3" t="s">
        <v>5</v>
      </c>
      <c r="F524" s="3" t="s">
        <v>10</v>
      </c>
      <c r="G524" s="3" t="s">
        <v>851</v>
      </c>
      <c r="H524" s="3" t="s">
        <v>852</v>
      </c>
      <c r="I524" s="5">
        <v>2199</v>
      </c>
      <c r="J524" s="3" t="s">
        <v>11</v>
      </c>
    </row>
    <row r="525" spans="1:10" x14ac:dyDescent="0.35">
      <c r="A525" s="3">
        <v>103408823</v>
      </c>
      <c r="B525" s="3" t="s">
        <v>853</v>
      </c>
      <c r="C525" s="3" t="str">
        <f t="shared" si="11"/>
        <v>2022-07-06</v>
      </c>
      <c r="D525" s="3" t="s">
        <v>9</v>
      </c>
      <c r="E525" s="3" t="s">
        <v>5</v>
      </c>
      <c r="F525" s="3" t="s">
        <v>10</v>
      </c>
      <c r="G525" s="3" t="s">
        <v>854</v>
      </c>
      <c r="H525" s="3" t="s">
        <v>855</v>
      </c>
      <c r="I525" s="3">
        <v>978</v>
      </c>
      <c r="J525" s="3" t="s">
        <v>11</v>
      </c>
    </row>
    <row r="526" spans="1:10" x14ac:dyDescent="0.35">
      <c r="A526" s="3">
        <v>103408917</v>
      </c>
      <c r="B526" s="3" t="s">
        <v>856</v>
      </c>
      <c r="C526" s="3" t="str">
        <f t="shared" si="11"/>
        <v>2022-07-06</v>
      </c>
      <c r="D526" s="3" t="s">
        <v>9</v>
      </c>
      <c r="E526" s="3" t="s">
        <v>5</v>
      </c>
      <c r="F526" s="3" t="s">
        <v>10</v>
      </c>
      <c r="G526" s="3" t="s">
        <v>833</v>
      </c>
      <c r="H526" s="3" t="s">
        <v>834</v>
      </c>
      <c r="I526" s="4">
        <v>8278.2000000000007</v>
      </c>
      <c r="J526" s="3" t="s">
        <v>11</v>
      </c>
    </row>
    <row r="527" spans="1:10" x14ac:dyDescent="0.35">
      <c r="A527" s="3">
        <v>103408821</v>
      </c>
      <c r="B527" s="3" t="s">
        <v>857</v>
      </c>
      <c r="C527" s="3" t="str">
        <f t="shared" si="11"/>
        <v>2022-07-06</v>
      </c>
      <c r="D527" s="3" t="s">
        <v>9</v>
      </c>
      <c r="E527" s="3" t="s">
        <v>5</v>
      </c>
      <c r="F527" s="3" t="s">
        <v>10</v>
      </c>
      <c r="G527" s="3" t="s">
        <v>858</v>
      </c>
      <c r="H527" s="3" t="s">
        <v>859</v>
      </c>
      <c r="I527" s="4">
        <v>1661.55</v>
      </c>
      <c r="J527" s="3" t="s">
        <v>11</v>
      </c>
    </row>
    <row r="528" spans="1:10" x14ac:dyDescent="0.35">
      <c r="A528" s="3">
        <v>103408916</v>
      </c>
      <c r="B528" s="3" t="s">
        <v>860</v>
      </c>
      <c r="C528" s="3" t="str">
        <f t="shared" si="11"/>
        <v>2022-07-06</v>
      </c>
      <c r="D528" s="3" t="s">
        <v>9</v>
      </c>
      <c r="E528" s="3" t="s">
        <v>5</v>
      </c>
      <c r="F528" s="3" t="s">
        <v>10</v>
      </c>
      <c r="G528" s="3" t="s">
        <v>861</v>
      </c>
      <c r="H528" s="3" t="s">
        <v>862</v>
      </c>
      <c r="I528" s="4">
        <v>2047.77</v>
      </c>
      <c r="J528" s="3" t="s">
        <v>11</v>
      </c>
    </row>
    <row r="529" spans="1:10" x14ac:dyDescent="0.35">
      <c r="A529" s="3">
        <v>103408913</v>
      </c>
      <c r="B529" s="3" t="s">
        <v>863</v>
      </c>
      <c r="C529" s="3" t="str">
        <f t="shared" si="11"/>
        <v>2022-07-06</v>
      </c>
      <c r="D529" s="3" t="s">
        <v>9</v>
      </c>
      <c r="E529" s="3" t="s">
        <v>5</v>
      </c>
      <c r="F529" s="3" t="s">
        <v>10</v>
      </c>
      <c r="G529" s="3" t="s">
        <v>864</v>
      </c>
      <c r="H529" s="3" t="s">
        <v>865</v>
      </c>
      <c r="I529" s="5">
        <v>1259</v>
      </c>
      <c r="J529" s="3" t="s">
        <v>11</v>
      </c>
    </row>
    <row r="530" spans="1:10" x14ac:dyDescent="0.35">
      <c r="A530" s="3">
        <v>103408816</v>
      </c>
      <c r="B530" s="3" t="s">
        <v>866</v>
      </c>
      <c r="C530" s="3" t="str">
        <f t="shared" si="11"/>
        <v>2022-07-06</v>
      </c>
      <c r="D530" s="3" t="s">
        <v>9</v>
      </c>
      <c r="E530" s="3" t="s">
        <v>5</v>
      </c>
      <c r="F530" s="3" t="s">
        <v>10</v>
      </c>
      <c r="G530" s="3" t="s">
        <v>867</v>
      </c>
      <c r="H530" s="3" t="s">
        <v>868</v>
      </c>
      <c r="I530" s="5">
        <v>1749</v>
      </c>
      <c r="J530" s="3" t="s">
        <v>11</v>
      </c>
    </row>
    <row r="531" spans="1:10" x14ac:dyDescent="0.35">
      <c r="A531" s="3">
        <v>103408814</v>
      </c>
      <c r="B531" s="3" t="s">
        <v>869</v>
      </c>
      <c r="C531" s="3" t="str">
        <f t="shared" si="11"/>
        <v>2022-07-06</v>
      </c>
      <c r="D531" s="3" t="s">
        <v>9</v>
      </c>
      <c r="E531" s="3" t="s">
        <v>5</v>
      </c>
      <c r="F531" s="3" t="s">
        <v>10</v>
      </c>
      <c r="G531" s="3" t="s">
        <v>870</v>
      </c>
      <c r="H531" s="3" t="s">
        <v>871</v>
      </c>
      <c r="I531" s="5">
        <v>2269</v>
      </c>
      <c r="J531" s="3" t="s">
        <v>11</v>
      </c>
    </row>
    <row r="532" spans="1:10" x14ac:dyDescent="0.35">
      <c r="A532" s="3">
        <v>103408910</v>
      </c>
      <c r="B532" s="3" t="s">
        <v>872</v>
      </c>
      <c r="C532" s="3" t="str">
        <f t="shared" si="11"/>
        <v>2022-07-06</v>
      </c>
      <c r="D532" s="3" t="s">
        <v>9</v>
      </c>
      <c r="E532" s="3" t="s">
        <v>5</v>
      </c>
      <c r="F532" s="3" t="s">
        <v>10</v>
      </c>
      <c r="G532" s="3" t="s">
        <v>873</v>
      </c>
      <c r="H532" s="3" t="s">
        <v>874</v>
      </c>
      <c r="I532" s="4">
        <v>2042.1</v>
      </c>
      <c r="J532" s="3" t="s">
        <v>11</v>
      </c>
    </row>
    <row r="533" spans="1:10" x14ac:dyDescent="0.35">
      <c r="A533" s="3">
        <v>103408810</v>
      </c>
      <c r="B533" s="3" t="s">
        <v>875</v>
      </c>
      <c r="C533" s="3" t="str">
        <f t="shared" si="11"/>
        <v>2022-07-06</v>
      </c>
      <c r="D533" s="3" t="s">
        <v>9</v>
      </c>
      <c r="E533" s="3" t="s">
        <v>5</v>
      </c>
      <c r="F533" s="3" t="s">
        <v>10</v>
      </c>
      <c r="G533" s="3" t="s">
        <v>876</v>
      </c>
      <c r="H533" s="3" t="s">
        <v>877</v>
      </c>
      <c r="I533" s="4">
        <v>2029.72</v>
      </c>
      <c r="J533" s="3" t="s">
        <v>11</v>
      </c>
    </row>
    <row r="534" spans="1:10" x14ac:dyDescent="0.35">
      <c r="A534" s="3">
        <v>103408901</v>
      </c>
      <c r="B534" s="3" t="s">
        <v>878</v>
      </c>
      <c r="C534" s="3" t="str">
        <f t="shared" si="11"/>
        <v>2022-07-06</v>
      </c>
      <c r="D534" s="3" t="s">
        <v>9</v>
      </c>
      <c r="E534" s="3" t="s">
        <v>5</v>
      </c>
      <c r="F534" s="3" t="s">
        <v>10</v>
      </c>
      <c r="G534" s="3" t="s">
        <v>879</v>
      </c>
      <c r="H534" s="3" t="s">
        <v>880</v>
      </c>
      <c r="I534" s="4">
        <v>3656.55</v>
      </c>
      <c r="J534" s="3" t="s">
        <v>11</v>
      </c>
    </row>
    <row r="535" spans="1:10" x14ac:dyDescent="0.35">
      <c r="A535" s="3">
        <v>103408902</v>
      </c>
      <c r="B535" s="3" t="s">
        <v>878</v>
      </c>
      <c r="C535" s="3" t="str">
        <f t="shared" si="11"/>
        <v>2022-07-06</v>
      </c>
      <c r="D535" s="3" t="s">
        <v>9</v>
      </c>
      <c r="E535" s="3" t="s">
        <v>5</v>
      </c>
      <c r="F535" s="3" t="s">
        <v>10</v>
      </c>
      <c r="G535" s="3" t="s">
        <v>881</v>
      </c>
      <c r="H535" s="3" t="s">
        <v>882</v>
      </c>
      <c r="I535" s="3">
        <v>969</v>
      </c>
      <c r="J535" s="3" t="s">
        <v>11</v>
      </c>
    </row>
    <row r="536" spans="1:10" x14ac:dyDescent="0.35">
      <c r="A536" s="3">
        <v>103408898</v>
      </c>
      <c r="B536" s="3" t="s">
        <v>883</v>
      </c>
      <c r="C536" s="3" t="str">
        <f t="shared" si="11"/>
        <v>2022-07-06</v>
      </c>
      <c r="D536" s="3" t="s">
        <v>9</v>
      </c>
      <c r="E536" s="3" t="s">
        <v>5</v>
      </c>
      <c r="F536" s="3" t="s">
        <v>10</v>
      </c>
      <c r="G536" s="3" t="s">
        <v>884</v>
      </c>
      <c r="H536" s="3" t="s">
        <v>885</v>
      </c>
      <c r="I536" s="4">
        <v>2735.1</v>
      </c>
      <c r="J536" s="3" t="s">
        <v>11</v>
      </c>
    </row>
    <row r="537" spans="1:10" x14ac:dyDescent="0.35">
      <c r="A537" s="3">
        <v>103408806</v>
      </c>
      <c r="B537" s="3" t="s">
        <v>886</v>
      </c>
      <c r="C537" s="3" t="str">
        <f t="shared" si="11"/>
        <v>2022-07-06</v>
      </c>
      <c r="D537" s="3" t="s">
        <v>9</v>
      </c>
      <c r="E537" s="3" t="s">
        <v>5</v>
      </c>
      <c r="F537" s="3" t="s">
        <v>12</v>
      </c>
      <c r="G537" s="3" t="s">
        <v>887</v>
      </c>
      <c r="H537" s="3" t="s">
        <v>888</v>
      </c>
      <c r="I537" s="5">
        <v>2399</v>
      </c>
      <c r="J537" s="3" t="s">
        <v>11</v>
      </c>
    </row>
    <row r="538" spans="1:10" x14ac:dyDescent="0.35">
      <c r="A538" s="3">
        <v>103408802</v>
      </c>
      <c r="B538" s="3" t="s">
        <v>889</v>
      </c>
      <c r="C538" s="3" t="str">
        <f t="shared" si="11"/>
        <v>2022-07-06</v>
      </c>
      <c r="D538" s="3" t="s">
        <v>9</v>
      </c>
      <c r="E538" s="3" t="s">
        <v>5</v>
      </c>
      <c r="F538" s="3" t="s">
        <v>10</v>
      </c>
      <c r="G538" s="3" t="s">
        <v>890</v>
      </c>
      <c r="H538" s="3" t="s">
        <v>891</v>
      </c>
      <c r="I538" s="4">
        <v>6839.05</v>
      </c>
      <c r="J538" s="3" t="s">
        <v>11</v>
      </c>
    </row>
    <row r="539" spans="1:10" x14ac:dyDescent="0.35">
      <c r="A539" s="3">
        <v>103408799</v>
      </c>
      <c r="B539" s="3" t="s">
        <v>892</v>
      </c>
      <c r="C539" s="3" t="str">
        <f t="shared" si="11"/>
        <v>2022-07-06</v>
      </c>
      <c r="D539" s="3" t="s">
        <v>9</v>
      </c>
      <c r="E539" s="3" t="s">
        <v>5</v>
      </c>
      <c r="F539" s="3" t="s">
        <v>10</v>
      </c>
      <c r="G539" s="3" t="s">
        <v>893</v>
      </c>
      <c r="H539" s="3" t="s">
        <v>894</v>
      </c>
      <c r="I539" s="4">
        <v>3779.1</v>
      </c>
      <c r="J539" s="3" t="s">
        <v>11</v>
      </c>
    </row>
    <row r="540" spans="1:10" x14ac:dyDescent="0.35">
      <c r="A540" s="3">
        <v>103408796</v>
      </c>
      <c r="B540" s="3" t="s">
        <v>895</v>
      </c>
      <c r="C540" s="3" t="str">
        <f t="shared" si="11"/>
        <v>2022-07-06</v>
      </c>
      <c r="D540" s="3" t="s">
        <v>9</v>
      </c>
      <c r="E540" s="3" t="s">
        <v>5</v>
      </c>
      <c r="F540" s="3" t="s">
        <v>10</v>
      </c>
      <c r="G540" s="3" t="s">
        <v>896</v>
      </c>
      <c r="H540" s="3" t="s">
        <v>897</v>
      </c>
      <c r="I540" s="4">
        <v>4034.74</v>
      </c>
      <c r="J540" s="3" t="s">
        <v>11</v>
      </c>
    </row>
    <row r="541" spans="1:10" x14ac:dyDescent="0.35">
      <c r="A541" s="3">
        <v>103408791</v>
      </c>
      <c r="B541" s="3" t="s">
        <v>898</v>
      </c>
      <c r="C541" s="3" t="str">
        <f t="shared" si="11"/>
        <v>2022-07-06</v>
      </c>
      <c r="D541" s="3" t="s">
        <v>9</v>
      </c>
      <c r="E541" s="3" t="s">
        <v>5</v>
      </c>
      <c r="F541" s="3" t="s">
        <v>10</v>
      </c>
      <c r="G541" s="3" t="s">
        <v>899</v>
      </c>
      <c r="H541" s="3" t="s">
        <v>900</v>
      </c>
      <c r="I541" s="5">
        <v>2019</v>
      </c>
      <c r="J541" s="3" t="s">
        <v>11</v>
      </c>
    </row>
    <row r="542" spans="1:10" x14ac:dyDescent="0.35">
      <c r="A542" s="3">
        <v>103408789</v>
      </c>
      <c r="B542" s="3" t="s">
        <v>901</v>
      </c>
      <c r="C542" s="3" t="str">
        <f t="shared" si="11"/>
        <v>2022-07-06</v>
      </c>
      <c r="D542" s="3" t="s">
        <v>9</v>
      </c>
      <c r="E542" s="3" t="s">
        <v>5</v>
      </c>
      <c r="F542" s="3" t="s">
        <v>10</v>
      </c>
      <c r="G542" s="3" t="s">
        <v>902</v>
      </c>
      <c r="H542" s="3" t="s">
        <v>903</v>
      </c>
      <c r="I542" s="5">
        <v>1869</v>
      </c>
      <c r="J542" s="3" t="s">
        <v>11</v>
      </c>
    </row>
    <row r="543" spans="1:10" x14ac:dyDescent="0.35">
      <c r="A543" s="3">
        <v>103408785</v>
      </c>
      <c r="B543" s="3" t="s">
        <v>904</v>
      </c>
      <c r="C543" s="3" t="str">
        <f t="shared" si="11"/>
        <v>2022-07-06</v>
      </c>
      <c r="D543" s="3" t="s">
        <v>9</v>
      </c>
      <c r="E543" s="3" t="s">
        <v>5</v>
      </c>
      <c r="F543" s="3" t="s">
        <v>10</v>
      </c>
      <c r="G543" s="3" t="s">
        <v>905</v>
      </c>
      <c r="H543" s="3" t="s">
        <v>906</v>
      </c>
      <c r="I543" s="5">
        <v>1999</v>
      </c>
      <c r="J543" s="3" t="s">
        <v>11</v>
      </c>
    </row>
    <row r="544" spans="1:10" x14ac:dyDescent="0.35">
      <c r="A544" s="3">
        <v>103408891</v>
      </c>
      <c r="B544" s="3" t="s">
        <v>907</v>
      </c>
      <c r="C544" s="3" t="str">
        <f t="shared" si="11"/>
        <v>2022-07-06</v>
      </c>
      <c r="D544" s="3" t="s">
        <v>9</v>
      </c>
      <c r="E544" s="3" t="s">
        <v>5</v>
      </c>
      <c r="F544" s="3" t="s">
        <v>10</v>
      </c>
      <c r="G544" s="3" t="s">
        <v>908</v>
      </c>
      <c r="H544" s="3" t="s">
        <v>909</v>
      </c>
      <c r="I544" s="3">
        <v>649</v>
      </c>
      <c r="J544" s="3" t="s">
        <v>11</v>
      </c>
    </row>
    <row r="545" spans="1:10" x14ac:dyDescent="0.35">
      <c r="A545" s="3">
        <v>103408780</v>
      </c>
      <c r="B545" s="3" t="s">
        <v>910</v>
      </c>
      <c r="C545" s="3" t="str">
        <f t="shared" si="11"/>
        <v>2022-07-06</v>
      </c>
      <c r="D545" s="3" t="s">
        <v>9</v>
      </c>
      <c r="E545" s="3" t="s">
        <v>5</v>
      </c>
      <c r="F545" s="3" t="s">
        <v>10</v>
      </c>
      <c r="G545" s="3" t="s">
        <v>911</v>
      </c>
      <c r="H545" s="3" t="s">
        <v>912</v>
      </c>
      <c r="I545" s="4">
        <v>4329.1499999999996</v>
      </c>
      <c r="J545" s="3" t="s">
        <v>11</v>
      </c>
    </row>
    <row r="546" spans="1:10" x14ac:dyDescent="0.35">
      <c r="A546" s="3">
        <v>103408887</v>
      </c>
      <c r="B546" s="3" t="s">
        <v>913</v>
      </c>
      <c r="C546" s="3" t="str">
        <f t="shared" si="11"/>
        <v>2022-07-06</v>
      </c>
      <c r="D546" s="3" t="s">
        <v>9</v>
      </c>
      <c r="E546" s="3" t="s">
        <v>5</v>
      </c>
      <c r="F546" s="3" t="s">
        <v>10</v>
      </c>
      <c r="G546" s="3" t="s">
        <v>914</v>
      </c>
      <c r="H546" s="3" t="s">
        <v>915</v>
      </c>
      <c r="I546" s="5">
        <v>4499</v>
      </c>
      <c r="J546" s="3" t="s">
        <v>11</v>
      </c>
    </row>
    <row r="547" spans="1:10" x14ac:dyDescent="0.35">
      <c r="A547" s="3">
        <v>103408886</v>
      </c>
      <c r="B547" s="3" t="s">
        <v>916</v>
      </c>
      <c r="C547" s="3" t="str">
        <f t="shared" si="11"/>
        <v>2022-07-06</v>
      </c>
      <c r="D547" s="3" t="s">
        <v>9</v>
      </c>
      <c r="E547" s="3" t="s">
        <v>5</v>
      </c>
      <c r="F547" s="3" t="s">
        <v>10</v>
      </c>
      <c r="G547" s="3" t="s">
        <v>917</v>
      </c>
      <c r="H547" s="3" t="s">
        <v>918</v>
      </c>
      <c r="I547" s="4">
        <v>1139.05</v>
      </c>
      <c r="J547" s="3" t="s">
        <v>11</v>
      </c>
    </row>
    <row r="548" spans="1:10" x14ac:dyDescent="0.35">
      <c r="A548" s="3">
        <v>103408778</v>
      </c>
      <c r="B548" s="3" t="s">
        <v>919</v>
      </c>
      <c r="C548" s="3" t="str">
        <f t="shared" si="11"/>
        <v>2022-07-06</v>
      </c>
      <c r="D548" s="3" t="s">
        <v>9</v>
      </c>
      <c r="E548" s="3" t="s">
        <v>5</v>
      </c>
      <c r="F548" s="3" t="s">
        <v>10</v>
      </c>
      <c r="G548" s="3" t="s">
        <v>920</v>
      </c>
      <c r="H548" s="3" t="s">
        <v>921</v>
      </c>
      <c r="I548" s="3">
        <v>709</v>
      </c>
      <c r="J548" s="3" t="s">
        <v>11</v>
      </c>
    </row>
    <row r="549" spans="1:10" x14ac:dyDescent="0.35">
      <c r="A549" s="3">
        <v>103408776</v>
      </c>
      <c r="B549" s="3" t="s">
        <v>922</v>
      </c>
      <c r="C549" s="3" t="str">
        <f t="shared" si="11"/>
        <v>2022-07-06</v>
      </c>
      <c r="D549" s="3" t="s">
        <v>9</v>
      </c>
      <c r="E549" s="3" t="s">
        <v>5</v>
      </c>
      <c r="F549" s="3" t="s">
        <v>10</v>
      </c>
      <c r="G549" s="3" t="s">
        <v>923</v>
      </c>
      <c r="H549" s="3" t="s">
        <v>924</v>
      </c>
      <c r="I549" s="4">
        <v>2834.1</v>
      </c>
      <c r="J549" s="3" t="s">
        <v>11</v>
      </c>
    </row>
    <row r="550" spans="1:10" x14ac:dyDescent="0.35">
      <c r="A550" s="3">
        <v>103408883</v>
      </c>
      <c r="B550" s="3" t="s">
        <v>925</v>
      </c>
      <c r="C550" s="3" t="str">
        <f t="shared" si="11"/>
        <v>2022-07-06</v>
      </c>
      <c r="D550" s="3" t="s">
        <v>9</v>
      </c>
      <c r="E550" s="3" t="s">
        <v>5</v>
      </c>
      <c r="F550" s="3" t="s">
        <v>10</v>
      </c>
      <c r="G550" s="3" t="s">
        <v>926</v>
      </c>
      <c r="H550" s="3" t="s">
        <v>927</v>
      </c>
      <c r="I550" s="5">
        <v>4499</v>
      </c>
      <c r="J550" s="3" t="s">
        <v>11</v>
      </c>
    </row>
    <row r="551" spans="1:10" x14ac:dyDescent="0.35">
      <c r="A551" s="3">
        <v>103408878</v>
      </c>
      <c r="B551" s="3" t="s">
        <v>928</v>
      </c>
      <c r="C551" s="3" t="str">
        <f t="shared" si="11"/>
        <v>2022-07-06</v>
      </c>
      <c r="D551" s="3" t="s">
        <v>9</v>
      </c>
      <c r="E551" s="3" t="s">
        <v>5</v>
      </c>
      <c r="F551" s="3" t="s">
        <v>10</v>
      </c>
      <c r="G551" s="3" t="s">
        <v>929</v>
      </c>
      <c r="H551" s="3" t="s">
        <v>930</v>
      </c>
      <c r="I551" s="4">
        <v>2659.05</v>
      </c>
      <c r="J551" s="3" t="s">
        <v>11</v>
      </c>
    </row>
    <row r="552" spans="1:10" x14ac:dyDescent="0.35">
      <c r="A552" s="3">
        <v>103408873</v>
      </c>
      <c r="B552" s="3" t="s">
        <v>931</v>
      </c>
      <c r="C552" s="3" t="str">
        <f t="shared" si="11"/>
        <v>2022-07-06</v>
      </c>
      <c r="D552" s="3" t="s">
        <v>9</v>
      </c>
      <c r="E552" s="3" t="s">
        <v>5</v>
      </c>
      <c r="F552" s="3" t="s">
        <v>10</v>
      </c>
      <c r="G552" s="3" t="s">
        <v>932</v>
      </c>
      <c r="H552" s="3" t="s">
        <v>933</v>
      </c>
      <c r="I552" s="4">
        <v>5604.14</v>
      </c>
      <c r="J552" s="3" t="s">
        <v>11</v>
      </c>
    </row>
    <row r="553" spans="1:10" x14ac:dyDescent="0.35">
      <c r="A553" s="3">
        <v>103408870</v>
      </c>
      <c r="B553" s="3" t="s">
        <v>934</v>
      </c>
      <c r="C553" s="3" t="str">
        <f t="shared" si="11"/>
        <v>2022-07-06</v>
      </c>
      <c r="D553" s="3" t="s">
        <v>9</v>
      </c>
      <c r="E553" s="3" t="s">
        <v>5</v>
      </c>
      <c r="F553" s="3" t="s">
        <v>10</v>
      </c>
      <c r="G553" s="3" t="s">
        <v>935</v>
      </c>
      <c r="H553" s="3" t="s">
        <v>936</v>
      </c>
      <c r="I553" s="4">
        <v>7864.29</v>
      </c>
      <c r="J553" s="3" t="s">
        <v>11</v>
      </c>
    </row>
    <row r="554" spans="1:10" x14ac:dyDescent="0.35">
      <c r="A554" s="3">
        <v>103408768</v>
      </c>
      <c r="B554" s="3" t="s">
        <v>937</v>
      </c>
      <c r="C554" s="3" t="str">
        <f t="shared" si="11"/>
        <v>2022-07-06</v>
      </c>
      <c r="D554" s="3" t="s">
        <v>9</v>
      </c>
      <c r="E554" s="3" t="s">
        <v>5</v>
      </c>
      <c r="F554" s="3" t="s">
        <v>10</v>
      </c>
      <c r="G554" s="3" t="s">
        <v>938</v>
      </c>
      <c r="H554" s="3" t="s">
        <v>939</v>
      </c>
      <c r="I554" s="4">
        <v>1063.05</v>
      </c>
      <c r="J554" s="3" t="s">
        <v>11</v>
      </c>
    </row>
    <row r="555" spans="1:10" x14ac:dyDescent="0.35">
      <c r="A555" s="3">
        <v>103408867</v>
      </c>
      <c r="B555" s="3" t="s">
        <v>940</v>
      </c>
      <c r="C555" s="3" t="str">
        <f t="shared" si="11"/>
        <v>2022-07-06</v>
      </c>
      <c r="D555" s="3" t="s">
        <v>9</v>
      </c>
      <c r="E555" s="3" t="s">
        <v>5</v>
      </c>
      <c r="F555" s="3" t="s">
        <v>12</v>
      </c>
      <c r="G555" s="3" t="s">
        <v>941</v>
      </c>
      <c r="H555" s="3" t="s">
        <v>942</v>
      </c>
      <c r="I555" s="4">
        <v>2611.5500000000002</v>
      </c>
      <c r="J555" s="3" t="s">
        <v>11</v>
      </c>
    </row>
    <row r="556" spans="1:10" x14ac:dyDescent="0.35">
      <c r="A556" s="3">
        <v>103408865</v>
      </c>
      <c r="B556" s="3" t="s">
        <v>943</v>
      </c>
      <c r="C556" s="3" t="str">
        <f t="shared" si="11"/>
        <v>2022-07-06</v>
      </c>
      <c r="D556" s="3" t="s">
        <v>9</v>
      </c>
      <c r="E556" s="3" t="s">
        <v>5</v>
      </c>
      <c r="F556" s="3" t="s">
        <v>10</v>
      </c>
      <c r="G556" s="3" t="s">
        <v>944</v>
      </c>
      <c r="H556" s="3" t="s">
        <v>945</v>
      </c>
      <c r="I556" s="4">
        <v>5230.03</v>
      </c>
      <c r="J556" s="3" t="s">
        <v>11</v>
      </c>
    </row>
    <row r="557" spans="1:10" x14ac:dyDescent="0.35">
      <c r="A557" s="3">
        <v>103408767</v>
      </c>
      <c r="B557" s="3" t="s">
        <v>946</v>
      </c>
      <c r="C557" s="3" t="str">
        <f t="shared" si="11"/>
        <v>2022-07-06</v>
      </c>
      <c r="D557" s="3" t="s">
        <v>9</v>
      </c>
      <c r="E557" s="3" t="s">
        <v>5</v>
      </c>
      <c r="F557" s="3" t="s">
        <v>10</v>
      </c>
      <c r="G557" s="3" t="s">
        <v>947</v>
      </c>
      <c r="H557" s="3" t="s">
        <v>948</v>
      </c>
      <c r="I557" s="3">
        <v>849</v>
      </c>
      <c r="J557" s="3" t="s">
        <v>11</v>
      </c>
    </row>
    <row r="558" spans="1:10" x14ac:dyDescent="0.35">
      <c r="A558" s="3">
        <v>103408761</v>
      </c>
      <c r="B558" s="3" t="s">
        <v>949</v>
      </c>
      <c r="C558" s="3" t="str">
        <f t="shared" si="11"/>
        <v>2022-07-06</v>
      </c>
      <c r="D558" s="3" t="s">
        <v>9</v>
      </c>
      <c r="E558" s="3" t="s">
        <v>5</v>
      </c>
      <c r="F558" s="3" t="s">
        <v>10</v>
      </c>
      <c r="G558" s="3" t="s">
        <v>950</v>
      </c>
      <c r="H558" s="3" t="s">
        <v>951</v>
      </c>
      <c r="I558" s="4">
        <v>3134.05</v>
      </c>
      <c r="J558" s="3" t="s">
        <v>11</v>
      </c>
    </row>
    <row r="559" spans="1:10" x14ac:dyDescent="0.35">
      <c r="A559" s="3">
        <v>103408757</v>
      </c>
      <c r="B559" s="3" t="s">
        <v>952</v>
      </c>
      <c r="C559" s="3" t="str">
        <f t="shared" si="11"/>
        <v>2022-07-06</v>
      </c>
      <c r="D559" s="3" t="s">
        <v>9</v>
      </c>
      <c r="E559" s="3" t="s">
        <v>5</v>
      </c>
      <c r="F559" s="3" t="s">
        <v>12</v>
      </c>
      <c r="G559" s="3" t="s">
        <v>953</v>
      </c>
      <c r="H559" s="3" t="s">
        <v>954</v>
      </c>
      <c r="I559" s="5">
        <v>1099</v>
      </c>
      <c r="J559" s="3" t="s">
        <v>11</v>
      </c>
    </row>
    <row r="560" spans="1:10" x14ac:dyDescent="0.35">
      <c r="A560" s="3">
        <v>103408756</v>
      </c>
      <c r="B560" s="3" t="s">
        <v>955</v>
      </c>
      <c r="C560" s="3" t="str">
        <f t="shared" si="11"/>
        <v>2022-07-06</v>
      </c>
      <c r="D560" s="3" t="s">
        <v>9</v>
      </c>
      <c r="E560" s="3" t="s">
        <v>5</v>
      </c>
      <c r="F560" s="3" t="s">
        <v>12</v>
      </c>
      <c r="G560" s="3" t="s">
        <v>956</v>
      </c>
      <c r="H560" s="3" t="s">
        <v>957</v>
      </c>
      <c r="I560" s="4">
        <v>2886.1</v>
      </c>
      <c r="J560" s="3" t="s">
        <v>11</v>
      </c>
    </row>
    <row r="561" spans="1:10" x14ac:dyDescent="0.35">
      <c r="A561" s="3">
        <v>103408753</v>
      </c>
      <c r="B561" s="3" t="s">
        <v>958</v>
      </c>
      <c r="C561" s="3" t="str">
        <f t="shared" si="11"/>
        <v>2022-07-06</v>
      </c>
      <c r="D561" s="3" t="s">
        <v>9</v>
      </c>
      <c r="E561" s="3" t="s">
        <v>5</v>
      </c>
      <c r="F561" s="3" t="s">
        <v>10</v>
      </c>
      <c r="G561" s="3" t="s">
        <v>959</v>
      </c>
      <c r="H561" s="3" t="s">
        <v>960</v>
      </c>
      <c r="I561" s="4">
        <v>6789.65</v>
      </c>
      <c r="J561" s="3" t="s">
        <v>11</v>
      </c>
    </row>
    <row r="562" spans="1:10" x14ac:dyDescent="0.35">
      <c r="A562" s="3">
        <v>103408747</v>
      </c>
      <c r="B562" s="3" t="s">
        <v>961</v>
      </c>
      <c r="C562" s="3" t="str">
        <f t="shared" si="11"/>
        <v>2022-07-06</v>
      </c>
      <c r="D562" s="3" t="s">
        <v>9</v>
      </c>
      <c r="E562" s="3" t="s">
        <v>5</v>
      </c>
      <c r="F562" s="3" t="s">
        <v>10</v>
      </c>
      <c r="G562" s="3" t="s">
        <v>962</v>
      </c>
      <c r="H562" s="3" t="s">
        <v>963</v>
      </c>
      <c r="I562" s="4">
        <v>2193.5500000000002</v>
      </c>
      <c r="J562" s="3" t="s">
        <v>11</v>
      </c>
    </row>
    <row r="563" spans="1:10" x14ac:dyDescent="0.35">
      <c r="A563" s="3">
        <v>103408742</v>
      </c>
      <c r="B563" s="3" t="s">
        <v>964</v>
      </c>
      <c r="C563" s="3" t="str">
        <f t="shared" si="11"/>
        <v>2022-07-06</v>
      </c>
      <c r="D563" s="3" t="s">
        <v>9</v>
      </c>
      <c r="E563" s="3" t="s">
        <v>5</v>
      </c>
      <c r="F563" s="3" t="s">
        <v>10</v>
      </c>
      <c r="G563" s="3" t="s">
        <v>965</v>
      </c>
      <c r="H563" s="3" t="s">
        <v>966</v>
      </c>
      <c r="I563" s="4">
        <v>3324.05</v>
      </c>
      <c r="J563" s="3" t="s">
        <v>11</v>
      </c>
    </row>
    <row r="564" spans="1:10" x14ac:dyDescent="0.35">
      <c r="A564" s="3">
        <v>103408741</v>
      </c>
      <c r="B564" s="3" t="s">
        <v>967</v>
      </c>
      <c r="C564" s="3" t="str">
        <f t="shared" si="11"/>
        <v>2022-07-06</v>
      </c>
      <c r="D564" s="3" t="s">
        <v>9</v>
      </c>
      <c r="E564" s="3" t="s">
        <v>5</v>
      </c>
      <c r="F564" s="3" t="s">
        <v>10</v>
      </c>
      <c r="G564" s="3" t="s">
        <v>968</v>
      </c>
      <c r="H564" s="3" t="s">
        <v>969</v>
      </c>
      <c r="I564" s="4">
        <v>5556.64</v>
      </c>
      <c r="J564" s="3" t="s">
        <v>11</v>
      </c>
    </row>
    <row r="565" spans="1:10" x14ac:dyDescent="0.35">
      <c r="A565" s="3">
        <v>103408740</v>
      </c>
      <c r="B565" s="3" t="s">
        <v>970</v>
      </c>
      <c r="C565" s="3" t="str">
        <f t="shared" si="11"/>
        <v>2022-07-06</v>
      </c>
      <c r="D565" s="3" t="s">
        <v>9</v>
      </c>
      <c r="E565" s="3" t="s">
        <v>5</v>
      </c>
      <c r="F565" s="3" t="s">
        <v>10</v>
      </c>
      <c r="G565" s="3" t="s">
        <v>971</v>
      </c>
      <c r="H565" s="3" t="s">
        <v>972</v>
      </c>
      <c r="I565" s="4">
        <v>8964.2000000000007</v>
      </c>
      <c r="J565" s="3" t="s">
        <v>11</v>
      </c>
    </row>
    <row r="566" spans="1:10" x14ac:dyDescent="0.35">
      <c r="A566" s="3">
        <v>103408648</v>
      </c>
      <c r="B566" s="3" t="s">
        <v>973</v>
      </c>
      <c r="C566" s="3" t="str">
        <f t="shared" si="11"/>
        <v>2022-07-06</v>
      </c>
      <c r="D566" s="3" t="s">
        <v>9</v>
      </c>
      <c r="E566" s="3" t="s">
        <v>5</v>
      </c>
      <c r="F566" s="3" t="s">
        <v>10</v>
      </c>
      <c r="G566" s="3" t="s">
        <v>974</v>
      </c>
      <c r="H566" s="3" t="s">
        <v>975</v>
      </c>
      <c r="I566" s="4">
        <v>2849.05</v>
      </c>
      <c r="J566" s="3" t="s">
        <v>11</v>
      </c>
    </row>
    <row r="567" spans="1:10" x14ac:dyDescent="0.35">
      <c r="A567" s="3">
        <v>103408736</v>
      </c>
      <c r="B567" s="3" t="s">
        <v>976</v>
      </c>
      <c r="C567" s="3" t="str">
        <f t="shared" si="11"/>
        <v>2022-07-06</v>
      </c>
      <c r="D567" s="3" t="s">
        <v>9</v>
      </c>
      <c r="E567" s="3" t="s">
        <v>5</v>
      </c>
      <c r="F567" s="3" t="s">
        <v>10</v>
      </c>
      <c r="G567" s="3" t="s">
        <v>977</v>
      </c>
      <c r="H567" s="3" t="s">
        <v>978</v>
      </c>
      <c r="I567" s="3">
        <v>332.59</v>
      </c>
      <c r="J567" s="3" t="s">
        <v>11</v>
      </c>
    </row>
    <row r="568" spans="1:10" x14ac:dyDescent="0.35">
      <c r="A568" s="3">
        <v>103408644</v>
      </c>
      <c r="B568" s="3" t="s">
        <v>979</v>
      </c>
      <c r="C568" s="3" t="str">
        <f t="shared" si="11"/>
        <v>2022-07-06</v>
      </c>
      <c r="D568" s="3" t="s">
        <v>9</v>
      </c>
      <c r="E568" s="3" t="s">
        <v>5</v>
      </c>
      <c r="F568" s="3" t="s">
        <v>10</v>
      </c>
      <c r="G568" s="3" t="s">
        <v>980</v>
      </c>
      <c r="H568" s="3" t="s">
        <v>981</v>
      </c>
      <c r="I568" s="5">
        <v>3299</v>
      </c>
      <c r="J568" s="3" t="s">
        <v>11</v>
      </c>
    </row>
    <row r="569" spans="1:10" x14ac:dyDescent="0.35">
      <c r="A569" s="3">
        <v>103408732</v>
      </c>
      <c r="B569" s="3" t="s">
        <v>982</v>
      </c>
      <c r="C569" s="3" t="str">
        <f t="shared" si="11"/>
        <v>2022-07-06</v>
      </c>
      <c r="D569" s="3" t="s">
        <v>9</v>
      </c>
      <c r="E569" s="3" t="s">
        <v>5</v>
      </c>
      <c r="F569" s="3" t="s">
        <v>12</v>
      </c>
      <c r="G569" s="3" t="s">
        <v>983</v>
      </c>
      <c r="H569" s="3" t="s">
        <v>984</v>
      </c>
      <c r="I569" s="4">
        <v>6410.6</v>
      </c>
      <c r="J569" s="3" t="s">
        <v>11</v>
      </c>
    </row>
    <row r="570" spans="1:10" x14ac:dyDescent="0.35">
      <c r="A570" s="3">
        <v>103408640</v>
      </c>
      <c r="B570" s="3" t="s">
        <v>985</v>
      </c>
      <c r="C570" s="3" t="str">
        <f t="shared" si="11"/>
        <v>2022-07-06</v>
      </c>
      <c r="D570" s="3" t="s">
        <v>9</v>
      </c>
      <c r="E570" s="3" t="s">
        <v>5</v>
      </c>
      <c r="F570" s="3" t="s">
        <v>12</v>
      </c>
      <c r="G570" s="3" t="s">
        <v>986</v>
      </c>
      <c r="H570" s="3" t="s">
        <v>987</v>
      </c>
      <c r="I570" s="3">
        <v>299</v>
      </c>
      <c r="J570" s="3" t="s">
        <v>11</v>
      </c>
    </row>
    <row r="571" spans="1:10" x14ac:dyDescent="0.35">
      <c r="A571" s="3">
        <v>103408636</v>
      </c>
      <c r="B571" s="3" t="s">
        <v>988</v>
      </c>
      <c r="C571" s="3" t="str">
        <f t="shared" si="11"/>
        <v>2022-07-06</v>
      </c>
      <c r="D571" s="3" t="s">
        <v>9</v>
      </c>
      <c r="E571" s="3" t="s">
        <v>5</v>
      </c>
      <c r="F571" s="3" t="s">
        <v>10</v>
      </c>
      <c r="G571" s="3" t="s">
        <v>989</v>
      </c>
      <c r="H571" s="3" t="s">
        <v>990</v>
      </c>
      <c r="I571" s="5">
        <v>1999</v>
      </c>
      <c r="J571" s="3" t="s">
        <v>11</v>
      </c>
    </row>
    <row r="572" spans="1:10" x14ac:dyDescent="0.35">
      <c r="A572" s="3">
        <v>103408630</v>
      </c>
      <c r="B572" s="3" t="s">
        <v>991</v>
      </c>
      <c r="C572" s="3" t="str">
        <f t="shared" si="11"/>
        <v>2022-07-06</v>
      </c>
      <c r="D572" s="3" t="s">
        <v>9</v>
      </c>
      <c r="E572" s="3" t="s">
        <v>5</v>
      </c>
      <c r="F572" s="3" t="s">
        <v>12</v>
      </c>
      <c r="G572" s="3" t="s">
        <v>992</v>
      </c>
      <c r="H572" s="3" t="s">
        <v>993</v>
      </c>
      <c r="I572" s="5">
        <v>4549</v>
      </c>
      <c r="J572" s="3" t="s">
        <v>11</v>
      </c>
    </row>
    <row r="573" spans="1:10" x14ac:dyDescent="0.35">
      <c r="A573" s="3">
        <v>103408725</v>
      </c>
      <c r="B573" s="3" t="s">
        <v>994</v>
      </c>
      <c r="C573" s="3" t="str">
        <f t="shared" si="11"/>
        <v>2022-07-06</v>
      </c>
      <c r="D573" s="3" t="s">
        <v>9</v>
      </c>
      <c r="E573" s="3" t="s">
        <v>5</v>
      </c>
      <c r="F573" s="3" t="s">
        <v>10</v>
      </c>
      <c r="G573" s="3" t="s">
        <v>995</v>
      </c>
      <c r="H573" s="3" t="s">
        <v>996</v>
      </c>
      <c r="I573" s="4">
        <v>2126.1</v>
      </c>
      <c r="J573" s="3" t="s">
        <v>11</v>
      </c>
    </row>
    <row r="574" spans="1:10" x14ac:dyDescent="0.35">
      <c r="A574" s="3">
        <v>103408623</v>
      </c>
      <c r="B574" s="3" t="s">
        <v>997</v>
      </c>
      <c r="C574" s="3" t="str">
        <f t="shared" si="11"/>
        <v>2022-07-06</v>
      </c>
      <c r="D574" s="3" t="s">
        <v>9</v>
      </c>
      <c r="E574" s="3" t="s">
        <v>5</v>
      </c>
      <c r="F574" s="3" t="s">
        <v>10</v>
      </c>
      <c r="G574" s="3" t="s">
        <v>998</v>
      </c>
      <c r="H574" s="3" t="s">
        <v>999</v>
      </c>
      <c r="I574" s="5">
        <v>2449</v>
      </c>
      <c r="J574" s="3" t="s">
        <v>11</v>
      </c>
    </row>
    <row r="575" spans="1:10" x14ac:dyDescent="0.35">
      <c r="A575" s="3">
        <v>103408723</v>
      </c>
      <c r="B575" s="3" t="s">
        <v>1000</v>
      </c>
      <c r="C575" s="3" t="str">
        <f t="shared" si="11"/>
        <v>2022-07-06</v>
      </c>
      <c r="D575" s="3" t="s">
        <v>9</v>
      </c>
      <c r="E575" s="3" t="s">
        <v>5</v>
      </c>
      <c r="F575" s="3" t="s">
        <v>10</v>
      </c>
      <c r="G575" s="3" t="s">
        <v>1001</v>
      </c>
      <c r="H575" s="3" t="s">
        <v>1002</v>
      </c>
      <c r="I575" s="3">
        <v>959</v>
      </c>
      <c r="J575" s="3" t="s">
        <v>11</v>
      </c>
    </row>
    <row r="576" spans="1:10" x14ac:dyDescent="0.35">
      <c r="A576" s="3">
        <v>103408719</v>
      </c>
      <c r="B576" s="3" t="s">
        <v>1003</v>
      </c>
      <c r="C576" s="3" t="str">
        <f t="shared" si="11"/>
        <v>2022-07-06</v>
      </c>
      <c r="D576" s="3" t="s">
        <v>9</v>
      </c>
      <c r="E576" s="3" t="s">
        <v>5</v>
      </c>
      <c r="F576" s="3" t="s">
        <v>10</v>
      </c>
      <c r="G576" s="3" t="s">
        <v>1004</v>
      </c>
      <c r="H576" s="3" t="s">
        <v>1005</v>
      </c>
      <c r="I576" s="4">
        <v>2598.34</v>
      </c>
      <c r="J576" s="3" t="s">
        <v>11</v>
      </c>
    </row>
    <row r="577" spans="1:10" x14ac:dyDescent="0.35">
      <c r="A577" s="3">
        <v>103408715</v>
      </c>
      <c r="B577" s="3" t="s">
        <v>1006</v>
      </c>
      <c r="C577" s="3" t="str">
        <f t="shared" si="11"/>
        <v>2022-07-06</v>
      </c>
      <c r="D577" s="3" t="s">
        <v>9</v>
      </c>
      <c r="E577" s="3" t="s">
        <v>5</v>
      </c>
      <c r="F577" s="3" t="s">
        <v>10</v>
      </c>
      <c r="G577" s="3" t="s">
        <v>1007</v>
      </c>
      <c r="H577" s="3" t="s">
        <v>1008</v>
      </c>
      <c r="I577" s="5">
        <v>1499</v>
      </c>
      <c r="J577" s="3" t="s">
        <v>11</v>
      </c>
    </row>
    <row r="578" spans="1:10" x14ac:dyDescent="0.35">
      <c r="A578" s="3">
        <v>103408714</v>
      </c>
      <c r="B578" s="3" t="s">
        <v>1009</v>
      </c>
      <c r="C578" s="3" t="str">
        <f t="shared" si="11"/>
        <v>2022-07-06</v>
      </c>
      <c r="D578" s="3" t="s">
        <v>9</v>
      </c>
      <c r="E578" s="3" t="s">
        <v>5</v>
      </c>
      <c r="F578" s="3" t="s">
        <v>10</v>
      </c>
      <c r="G578" s="3" t="s">
        <v>1010</v>
      </c>
      <c r="H578" s="3" t="s">
        <v>1011</v>
      </c>
      <c r="I578" s="5">
        <v>5199</v>
      </c>
      <c r="J578" s="3" t="s">
        <v>11</v>
      </c>
    </row>
    <row r="579" spans="1:10" x14ac:dyDescent="0.35">
      <c r="A579" s="3">
        <v>103408712</v>
      </c>
      <c r="B579" s="3" t="s">
        <v>1012</v>
      </c>
      <c r="C579" s="3" t="str">
        <f t="shared" ref="C579:C642" si="12">LEFT(B579,FIND("T",B579)-1)</f>
        <v>2022-07-06</v>
      </c>
      <c r="D579" s="3" t="s">
        <v>9</v>
      </c>
      <c r="E579" s="3" t="s">
        <v>5</v>
      </c>
      <c r="F579" s="3" t="s">
        <v>10</v>
      </c>
      <c r="G579" s="3" t="s">
        <v>1013</v>
      </c>
      <c r="H579" s="3" t="s">
        <v>1014</v>
      </c>
      <c r="I579" s="4">
        <v>2374.0500000000002</v>
      </c>
      <c r="J579" s="3" t="s">
        <v>11</v>
      </c>
    </row>
    <row r="580" spans="1:10" x14ac:dyDescent="0.35">
      <c r="A580" s="3">
        <v>103408615</v>
      </c>
      <c r="B580" s="3" t="s">
        <v>1015</v>
      </c>
      <c r="C580" s="3" t="str">
        <f t="shared" si="12"/>
        <v>2022-07-06</v>
      </c>
      <c r="D580" s="3" t="s">
        <v>9</v>
      </c>
      <c r="E580" s="3" t="s">
        <v>5</v>
      </c>
      <c r="F580" s="3" t="s">
        <v>10</v>
      </c>
      <c r="G580" s="3" t="s">
        <v>1016</v>
      </c>
      <c r="H580" s="3" t="s">
        <v>1017</v>
      </c>
      <c r="I580" s="4">
        <v>2350.39</v>
      </c>
      <c r="J580" s="3" t="s">
        <v>11</v>
      </c>
    </row>
    <row r="581" spans="1:10" x14ac:dyDescent="0.35">
      <c r="A581" s="3">
        <v>103408703</v>
      </c>
      <c r="B581" s="3" t="s">
        <v>1018</v>
      </c>
      <c r="C581" s="3" t="str">
        <f t="shared" si="12"/>
        <v>2022-07-06</v>
      </c>
      <c r="D581" s="3" t="s">
        <v>9</v>
      </c>
      <c r="E581" s="3" t="s">
        <v>5</v>
      </c>
      <c r="F581" s="3" t="s">
        <v>10</v>
      </c>
      <c r="G581" s="3" t="s">
        <v>1019</v>
      </c>
      <c r="H581" s="3" t="s">
        <v>1020</v>
      </c>
      <c r="I581" s="4">
        <v>3227.15</v>
      </c>
      <c r="J581" s="3" t="s">
        <v>11</v>
      </c>
    </row>
    <row r="582" spans="1:10" x14ac:dyDescent="0.35">
      <c r="A582" s="3">
        <v>103408609</v>
      </c>
      <c r="B582" s="3" t="s">
        <v>1021</v>
      </c>
      <c r="C582" s="3" t="str">
        <f t="shared" si="12"/>
        <v>2022-07-06</v>
      </c>
      <c r="D582" s="3" t="s">
        <v>9</v>
      </c>
      <c r="E582" s="3" t="s">
        <v>5</v>
      </c>
      <c r="F582" s="3" t="s">
        <v>12</v>
      </c>
      <c r="G582" s="3" t="s">
        <v>1022</v>
      </c>
      <c r="H582" s="3" t="s">
        <v>1023</v>
      </c>
      <c r="I582" s="3">
        <v>629</v>
      </c>
      <c r="J582" s="3" t="s">
        <v>11</v>
      </c>
    </row>
    <row r="583" spans="1:10" x14ac:dyDescent="0.35">
      <c r="A583" s="3">
        <v>103408691</v>
      </c>
      <c r="B583" s="3" t="s">
        <v>4761</v>
      </c>
      <c r="C583" s="3" t="str">
        <f t="shared" si="12"/>
        <v>2022-07-06</v>
      </c>
      <c r="D583" s="3" t="s">
        <v>9</v>
      </c>
      <c r="E583" s="3" t="s">
        <v>5</v>
      </c>
      <c r="F583" s="3" t="s">
        <v>10</v>
      </c>
      <c r="G583" s="3" t="s">
        <v>971</v>
      </c>
      <c r="H583" s="3" t="s">
        <v>972</v>
      </c>
      <c r="I583" s="4">
        <v>8964.2000000000007</v>
      </c>
      <c r="J583" s="3" t="s">
        <v>13</v>
      </c>
    </row>
    <row r="584" spans="1:10" x14ac:dyDescent="0.35">
      <c r="A584" s="3">
        <v>103408688</v>
      </c>
      <c r="B584" s="3" t="s">
        <v>1024</v>
      </c>
      <c r="C584" s="3" t="str">
        <f t="shared" si="12"/>
        <v>2022-07-06</v>
      </c>
      <c r="D584" s="3" t="s">
        <v>9</v>
      </c>
      <c r="E584" s="3" t="s">
        <v>5</v>
      </c>
      <c r="F584" s="3" t="s">
        <v>10</v>
      </c>
      <c r="G584" s="3" t="s">
        <v>1025</v>
      </c>
      <c r="H584" s="3" t="s">
        <v>1026</v>
      </c>
      <c r="I584" s="4">
        <v>4749.05</v>
      </c>
      <c r="J584" s="3" t="s">
        <v>11</v>
      </c>
    </row>
    <row r="585" spans="1:10" x14ac:dyDescent="0.35">
      <c r="A585" s="3">
        <v>103408687</v>
      </c>
      <c r="B585" s="3" t="s">
        <v>1027</v>
      </c>
      <c r="C585" s="3" t="str">
        <f t="shared" si="12"/>
        <v>2022-07-06</v>
      </c>
      <c r="D585" s="3" t="s">
        <v>9</v>
      </c>
      <c r="E585" s="3" t="s">
        <v>5</v>
      </c>
      <c r="F585" s="3" t="s">
        <v>10</v>
      </c>
      <c r="G585" s="3" t="s">
        <v>1028</v>
      </c>
      <c r="H585" s="3" t="s">
        <v>1029</v>
      </c>
      <c r="I585" s="4">
        <v>3991.99</v>
      </c>
      <c r="J585" s="3" t="s">
        <v>11</v>
      </c>
    </row>
    <row r="586" spans="1:10" x14ac:dyDescent="0.35">
      <c r="A586" s="3">
        <v>103408686</v>
      </c>
      <c r="B586" s="3" t="s">
        <v>1030</v>
      </c>
      <c r="C586" s="3" t="str">
        <f t="shared" si="12"/>
        <v>2022-07-06</v>
      </c>
      <c r="D586" s="3" t="s">
        <v>9</v>
      </c>
      <c r="E586" s="3" t="s">
        <v>5</v>
      </c>
      <c r="F586" s="3" t="s">
        <v>10</v>
      </c>
      <c r="G586" s="3" t="s">
        <v>1031</v>
      </c>
      <c r="H586" s="3" t="s">
        <v>1032</v>
      </c>
      <c r="I586" s="4">
        <v>1457.1</v>
      </c>
      <c r="J586" s="3" t="s">
        <v>11</v>
      </c>
    </row>
    <row r="587" spans="1:10" x14ac:dyDescent="0.35">
      <c r="A587" s="3">
        <v>103408604</v>
      </c>
      <c r="B587" s="3" t="s">
        <v>1033</v>
      </c>
      <c r="C587" s="3" t="str">
        <f t="shared" si="12"/>
        <v>2022-07-06</v>
      </c>
      <c r="D587" s="3" t="s">
        <v>9</v>
      </c>
      <c r="E587" s="3" t="s">
        <v>5</v>
      </c>
      <c r="F587" s="3" t="s">
        <v>10</v>
      </c>
      <c r="G587" s="3" t="s">
        <v>1034</v>
      </c>
      <c r="H587" s="3" t="s">
        <v>1035</v>
      </c>
      <c r="I587" s="4">
        <v>1880.14</v>
      </c>
      <c r="J587" s="3" t="s">
        <v>11</v>
      </c>
    </row>
    <row r="588" spans="1:10" x14ac:dyDescent="0.35">
      <c r="A588" s="3">
        <v>103408603</v>
      </c>
      <c r="B588" s="3" t="s">
        <v>1036</v>
      </c>
      <c r="C588" s="3" t="str">
        <f t="shared" si="12"/>
        <v>2022-07-06</v>
      </c>
      <c r="D588" s="3" t="s">
        <v>9</v>
      </c>
      <c r="E588" s="3" t="s">
        <v>5</v>
      </c>
      <c r="F588" s="3" t="s">
        <v>10</v>
      </c>
      <c r="G588" s="3" t="s">
        <v>1037</v>
      </c>
      <c r="H588" s="3" t="s">
        <v>1038</v>
      </c>
      <c r="I588" s="4">
        <v>1329.05</v>
      </c>
      <c r="J588" s="3" t="s">
        <v>11</v>
      </c>
    </row>
    <row r="589" spans="1:10" x14ac:dyDescent="0.35">
      <c r="A589" s="3">
        <v>103408680</v>
      </c>
      <c r="B589" s="3" t="s">
        <v>1039</v>
      </c>
      <c r="C589" s="3" t="str">
        <f t="shared" si="12"/>
        <v>2022-07-06</v>
      </c>
      <c r="D589" s="3" t="s">
        <v>9</v>
      </c>
      <c r="E589" s="3" t="s">
        <v>5</v>
      </c>
      <c r="F589" s="3" t="s">
        <v>10</v>
      </c>
      <c r="G589" s="3" t="s">
        <v>1040</v>
      </c>
      <c r="H589" s="3" t="s">
        <v>1041</v>
      </c>
      <c r="I589" s="4">
        <v>2834.1</v>
      </c>
      <c r="J589" s="3" t="s">
        <v>11</v>
      </c>
    </row>
    <row r="590" spans="1:10" x14ac:dyDescent="0.35">
      <c r="A590" s="3">
        <v>103408677</v>
      </c>
      <c r="B590" s="3" t="s">
        <v>1042</v>
      </c>
      <c r="C590" s="3" t="str">
        <f t="shared" si="12"/>
        <v>2022-07-06</v>
      </c>
      <c r="D590" s="3" t="s">
        <v>9</v>
      </c>
      <c r="E590" s="3" t="s">
        <v>5</v>
      </c>
      <c r="F590" s="3" t="s">
        <v>10</v>
      </c>
      <c r="G590" s="3" t="s">
        <v>1043</v>
      </c>
      <c r="H590" s="3" t="s">
        <v>1044</v>
      </c>
      <c r="I590" s="4">
        <v>2449.1</v>
      </c>
      <c r="J590" s="3" t="s">
        <v>11</v>
      </c>
    </row>
    <row r="591" spans="1:10" x14ac:dyDescent="0.35">
      <c r="A591" s="3">
        <v>103408676</v>
      </c>
      <c r="B591" s="3" t="s">
        <v>1045</v>
      </c>
      <c r="C591" s="3" t="str">
        <f t="shared" si="12"/>
        <v>2022-07-06</v>
      </c>
      <c r="D591" s="3" t="s">
        <v>9</v>
      </c>
      <c r="E591" s="3" t="s">
        <v>5</v>
      </c>
      <c r="F591" s="3" t="s">
        <v>10</v>
      </c>
      <c r="G591" s="3" t="s">
        <v>1046</v>
      </c>
      <c r="H591" s="3" t="s">
        <v>1047</v>
      </c>
      <c r="I591" s="4">
        <v>1709.05</v>
      </c>
      <c r="J591" s="3" t="s">
        <v>11</v>
      </c>
    </row>
    <row r="592" spans="1:10" x14ac:dyDescent="0.35">
      <c r="A592" s="3">
        <v>103408675</v>
      </c>
      <c r="B592" s="3" t="s">
        <v>1048</v>
      </c>
      <c r="C592" s="3" t="str">
        <f t="shared" si="12"/>
        <v>2022-07-06</v>
      </c>
      <c r="D592" s="3" t="s">
        <v>9</v>
      </c>
      <c r="E592" s="3" t="s">
        <v>5</v>
      </c>
      <c r="F592" s="3" t="s">
        <v>10</v>
      </c>
      <c r="G592" s="3" t="s">
        <v>1049</v>
      </c>
      <c r="H592" s="3" t="s">
        <v>1050</v>
      </c>
      <c r="I592" s="5">
        <v>1199</v>
      </c>
      <c r="J592" s="3" t="s">
        <v>11</v>
      </c>
    </row>
    <row r="593" spans="1:10" x14ac:dyDescent="0.35">
      <c r="A593" s="3">
        <v>103408672</v>
      </c>
      <c r="B593" s="3" t="s">
        <v>1051</v>
      </c>
      <c r="C593" s="3" t="str">
        <f t="shared" si="12"/>
        <v>2022-07-06</v>
      </c>
      <c r="D593" s="3" t="s">
        <v>9</v>
      </c>
      <c r="E593" s="3" t="s">
        <v>5</v>
      </c>
      <c r="F593" s="3" t="s">
        <v>10</v>
      </c>
      <c r="G593" s="3" t="s">
        <v>1052</v>
      </c>
      <c r="H593" s="3" t="s">
        <v>1053</v>
      </c>
      <c r="I593" s="5">
        <v>2228</v>
      </c>
      <c r="J593" s="3" t="s">
        <v>13</v>
      </c>
    </row>
    <row r="594" spans="1:10" x14ac:dyDescent="0.35">
      <c r="A594" s="3">
        <v>103408593</v>
      </c>
      <c r="B594" s="3" t="s">
        <v>1054</v>
      </c>
      <c r="C594" s="3" t="str">
        <f t="shared" si="12"/>
        <v>2022-07-06</v>
      </c>
      <c r="D594" s="3" t="s">
        <v>9</v>
      </c>
      <c r="E594" s="3" t="s">
        <v>5</v>
      </c>
      <c r="F594" s="3" t="s">
        <v>10</v>
      </c>
      <c r="G594" s="3" t="s">
        <v>1055</v>
      </c>
      <c r="H594" s="3" t="s">
        <v>1056</v>
      </c>
      <c r="I594" s="4">
        <v>5000.8900000000003</v>
      </c>
      <c r="J594" s="3" t="s">
        <v>11</v>
      </c>
    </row>
    <row r="595" spans="1:10" x14ac:dyDescent="0.35">
      <c r="A595" s="3">
        <v>103408591</v>
      </c>
      <c r="B595" s="3" t="s">
        <v>1057</v>
      </c>
      <c r="C595" s="3" t="str">
        <f t="shared" si="12"/>
        <v>2022-07-06</v>
      </c>
      <c r="D595" s="3" t="s">
        <v>9</v>
      </c>
      <c r="E595" s="3" t="s">
        <v>5</v>
      </c>
      <c r="F595" s="3" t="s">
        <v>10</v>
      </c>
      <c r="G595" s="3" t="s">
        <v>1058</v>
      </c>
      <c r="H595" s="3" t="s">
        <v>1059</v>
      </c>
      <c r="I595" s="3">
        <v>519</v>
      </c>
      <c r="J595" s="3" t="s">
        <v>11</v>
      </c>
    </row>
    <row r="596" spans="1:10" x14ac:dyDescent="0.35">
      <c r="A596" s="3">
        <v>103408561</v>
      </c>
      <c r="B596" s="3" t="s">
        <v>1060</v>
      </c>
      <c r="C596" s="3" t="str">
        <f t="shared" si="12"/>
        <v>2022-07-06</v>
      </c>
      <c r="D596" s="3" t="s">
        <v>9</v>
      </c>
      <c r="E596" s="3" t="s">
        <v>5</v>
      </c>
      <c r="F596" s="3" t="s">
        <v>10</v>
      </c>
      <c r="G596" s="3" t="s">
        <v>1061</v>
      </c>
      <c r="H596" s="3" t="s">
        <v>1062</v>
      </c>
      <c r="I596" s="5">
        <v>1079</v>
      </c>
      <c r="J596" s="3" t="s">
        <v>11</v>
      </c>
    </row>
    <row r="597" spans="1:10" x14ac:dyDescent="0.35">
      <c r="A597" s="3">
        <v>103408560</v>
      </c>
      <c r="B597" s="3" t="s">
        <v>1063</v>
      </c>
      <c r="C597" s="3" t="str">
        <f t="shared" si="12"/>
        <v>2022-07-06</v>
      </c>
      <c r="D597" s="3" t="s">
        <v>9</v>
      </c>
      <c r="E597" s="3" t="s">
        <v>5</v>
      </c>
      <c r="F597" s="3" t="s">
        <v>10</v>
      </c>
      <c r="G597" s="3" t="s">
        <v>1064</v>
      </c>
      <c r="H597" s="3" t="s">
        <v>1065</v>
      </c>
      <c r="I597" s="3">
        <v>579</v>
      </c>
      <c r="J597" s="3" t="s">
        <v>13</v>
      </c>
    </row>
    <row r="598" spans="1:10" x14ac:dyDescent="0.35">
      <c r="A598" s="3">
        <v>103408556</v>
      </c>
      <c r="B598" s="3" t="s">
        <v>1066</v>
      </c>
      <c r="C598" s="3" t="str">
        <f t="shared" si="12"/>
        <v>2022-07-06</v>
      </c>
      <c r="D598" s="3" t="s">
        <v>9</v>
      </c>
      <c r="E598" s="3" t="s">
        <v>5</v>
      </c>
      <c r="F598" s="3" t="s">
        <v>10</v>
      </c>
      <c r="G598" s="3" t="s">
        <v>1067</v>
      </c>
      <c r="H598" s="3" t="s">
        <v>1068</v>
      </c>
      <c r="I598" s="4">
        <v>5129.1400000000003</v>
      </c>
      <c r="J598" s="3" t="s">
        <v>11</v>
      </c>
    </row>
    <row r="599" spans="1:10" x14ac:dyDescent="0.35">
      <c r="A599" s="3">
        <v>103408550</v>
      </c>
      <c r="B599" s="3" t="s">
        <v>1069</v>
      </c>
      <c r="C599" s="3" t="str">
        <f t="shared" si="12"/>
        <v>2022-07-06</v>
      </c>
      <c r="D599" s="3" t="s">
        <v>9</v>
      </c>
      <c r="E599" s="3" t="s">
        <v>5</v>
      </c>
      <c r="F599" s="3" t="s">
        <v>10</v>
      </c>
      <c r="G599" s="3" t="s">
        <v>1070</v>
      </c>
      <c r="H599" s="3" t="s">
        <v>1071</v>
      </c>
      <c r="I599" s="4">
        <v>2393.14</v>
      </c>
      <c r="J599" s="3" t="s">
        <v>11</v>
      </c>
    </row>
    <row r="600" spans="1:10" x14ac:dyDescent="0.35">
      <c r="A600" s="3">
        <v>103408583</v>
      </c>
      <c r="B600" s="3" t="s">
        <v>1072</v>
      </c>
      <c r="C600" s="3" t="str">
        <f t="shared" si="12"/>
        <v>2022-07-06</v>
      </c>
      <c r="D600" s="3" t="s">
        <v>9</v>
      </c>
      <c r="E600" s="3" t="s">
        <v>5</v>
      </c>
      <c r="F600" s="3" t="s">
        <v>12</v>
      </c>
      <c r="G600" s="3" t="s">
        <v>1073</v>
      </c>
      <c r="H600" s="3" t="s">
        <v>1074</v>
      </c>
      <c r="I600" s="3">
        <v>854.14</v>
      </c>
      <c r="J600" s="3" t="s">
        <v>11</v>
      </c>
    </row>
    <row r="601" spans="1:10" x14ac:dyDescent="0.35">
      <c r="A601" s="3">
        <v>103408546</v>
      </c>
      <c r="B601" s="3" t="s">
        <v>4762</v>
      </c>
      <c r="C601" s="3" t="str">
        <f t="shared" si="12"/>
        <v>2022-07-06</v>
      </c>
      <c r="D601" s="3" t="s">
        <v>9</v>
      </c>
      <c r="E601" s="3" t="s">
        <v>5</v>
      </c>
      <c r="F601" s="3" t="s">
        <v>10</v>
      </c>
      <c r="G601" s="3" t="s">
        <v>4763</v>
      </c>
      <c r="H601" s="3" t="s">
        <v>4764</v>
      </c>
      <c r="I601" s="4">
        <v>1939.99</v>
      </c>
      <c r="J601" s="3" t="s">
        <v>13</v>
      </c>
    </row>
    <row r="602" spans="1:10" x14ac:dyDescent="0.35">
      <c r="A602" s="3">
        <v>103408581</v>
      </c>
      <c r="B602" s="3" t="s">
        <v>1075</v>
      </c>
      <c r="C602" s="3" t="str">
        <f t="shared" si="12"/>
        <v>2022-07-06</v>
      </c>
      <c r="D602" s="3" t="s">
        <v>9</v>
      </c>
      <c r="E602" s="3" t="s">
        <v>5</v>
      </c>
      <c r="F602" s="3" t="s">
        <v>10</v>
      </c>
      <c r="G602" s="3" t="s">
        <v>1076</v>
      </c>
      <c r="H602" s="3" t="s">
        <v>1077</v>
      </c>
      <c r="I602" s="4">
        <v>1922.89</v>
      </c>
      <c r="J602" s="3" t="s">
        <v>11</v>
      </c>
    </row>
    <row r="603" spans="1:10" x14ac:dyDescent="0.35">
      <c r="A603" s="3">
        <v>103408542</v>
      </c>
      <c r="B603" s="3" t="s">
        <v>1078</v>
      </c>
      <c r="C603" s="3" t="str">
        <f t="shared" si="12"/>
        <v>2022-07-06</v>
      </c>
      <c r="D603" s="3" t="s">
        <v>9</v>
      </c>
      <c r="E603" s="3" t="s">
        <v>5</v>
      </c>
      <c r="F603" s="3" t="s">
        <v>10</v>
      </c>
      <c r="G603" s="3" t="s">
        <v>1079</v>
      </c>
      <c r="H603" s="3" t="s">
        <v>1080</v>
      </c>
      <c r="I603" s="4">
        <v>2849.05</v>
      </c>
      <c r="J603" s="3" t="s">
        <v>11</v>
      </c>
    </row>
    <row r="604" spans="1:10" x14ac:dyDescent="0.35">
      <c r="A604" s="3">
        <v>103408541</v>
      </c>
      <c r="B604" s="3" t="s">
        <v>1081</v>
      </c>
      <c r="C604" s="3" t="str">
        <f t="shared" si="12"/>
        <v>2022-07-06</v>
      </c>
      <c r="D604" s="3" t="s">
        <v>9</v>
      </c>
      <c r="E604" s="3" t="s">
        <v>5</v>
      </c>
      <c r="F604" s="3" t="s">
        <v>10</v>
      </c>
      <c r="G604" s="3" t="s">
        <v>1082</v>
      </c>
      <c r="H604" s="3" t="s">
        <v>1083</v>
      </c>
      <c r="I604" s="4">
        <v>1661.55</v>
      </c>
      <c r="J604" s="3" t="s">
        <v>11</v>
      </c>
    </row>
    <row r="605" spans="1:10" x14ac:dyDescent="0.35">
      <c r="A605" s="3">
        <v>103408537</v>
      </c>
      <c r="B605" s="3" t="s">
        <v>1084</v>
      </c>
      <c r="C605" s="3" t="str">
        <f t="shared" si="12"/>
        <v>2022-07-06</v>
      </c>
      <c r="D605" s="3" t="s">
        <v>9</v>
      </c>
      <c r="E605" s="3" t="s">
        <v>5</v>
      </c>
      <c r="F605" s="3" t="s">
        <v>10</v>
      </c>
      <c r="G605" s="3" t="s">
        <v>1085</v>
      </c>
      <c r="H605" s="3" t="s">
        <v>1086</v>
      </c>
      <c r="I605" s="3">
        <v>853.1</v>
      </c>
      <c r="J605" s="3" t="s">
        <v>11</v>
      </c>
    </row>
    <row r="606" spans="1:10" x14ac:dyDescent="0.35">
      <c r="A606" s="3">
        <v>103408574</v>
      </c>
      <c r="B606" s="3" t="s">
        <v>1087</v>
      </c>
      <c r="C606" s="3" t="str">
        <f t="shared" si="12"/>
        <v>2022-07-06</v>
      </c>
      <c r="D606" s="3" t="s">
        <v>9</v>
      </c>
      <c r="E606" s="3" t="s">
        <v>5</v>
      </c>
      <c r="F606" s="3" t="s">
        <v>10</v>
      </c>
      <c r="G606" s="3" t="s">
        <v>1088</v>
      </c>
      <c r="H606" s="3" t="s">
        <v>1089</v>
      </c>
      <c r="I606" s="4">
        <v>2564.14</v>
      </c>
      <c r="J606" s="3" t="s">
        <v>11</v>
      </c>
    </row>
    <row r="607" spans="1:10" x14ac:dyDescent="0.35">
      <c r="A607" s="3">
        <v>103408573</v>
      </c>
      <c r="B607" s="3" t="s">
        <v>1090</v>
      </c>
      <c r="C607" s="3" t="str">
        <f t="shared" si="12"/>
        <v>2022-07-06</v>
      </c>
      <c r="D607" s="3" t="s">
        <v>9</v>
      </c>
      <c r="E607" s="3" t="s">
        <v>5</v>
      </c>
      <c r="F607" s="3" t="s">
        <v>12</v>
      </c>
      <c r="G607" s="3" t="s">
        <v>1091</v>
      </c>
      <c r="H607" s="3" t="s">
        <v>1092</v>
      </c>
      <c r="I607" s="4">
        <v>1352.85</v>
      </c>
      <c r="J607" s="3" t="s">
        <v>11</v>
      </c>
    </row>
    <row r="608" spans="1:10" x14ac:dyDescent="0.35">
      <c r="A608" s="3">
        <v>103408572</v>
      </c>
      <c r="B608" s="3" t="s">
        <v>1093</v>
      </c>
      <c r="C608" s="3" t="str">
        <f t="shared" si="12"/>
        <v>2022-07-06</v>
      </c>
      <c r="D608" s="3" t="s">
        <v>9</v>
      </c>
      <c r="E608" s="3" t="s">
        <v>5</v>
      </c>
      <c r="F608" s="3" t="s">
        <v>10</v>
      </c>
      <c r="G608" s="3" t="s">
        <v>1094</v>
      </c>
      <c r="H608" s="3" t="s">
        <v>1095</v>
      </c>
      <c r="I608" s="5">
        <v>2547</v>
      </c>
      <c r="J608" s="3" t="s">
        <v>11</v>
      </c>
    </row>
    <row r="609" spans="1:10" x14ac:dyDescent="0.35">
      <c r="A609" s="3">
        <v>103408532</v>
      </c>
      <c r="B609" s="3" t="s">
        <v>1096</v>
      </c>
      <c r="C609" s="3" t="str">
        <f t="shared" si="12"/>
        <v>2022-07-06</v>
      </c>
      <c r="D609" s="3" t="s">
        <v>9</v>
      </c>
      <c r="E609" s="3" t="s">
        <v>5</v>
      </c>
      <c r="F609" s="3" t="s">
        <v>10</v>
      </c>
      <c r="G609" s="3" t="s">
        <v>1097</v>
      </c>
      <c r="H609" s="3" t="s">
        <v>1098</v>
      </c>
      <c r="I609" s="5">
        <v>3599</v>
      </c>
      <c r="J609" s="3" t="s">
        <v>11</v>
      </c>
    </row>
    <row r="610" spans="1:10" x14ac:dyDescent="0.35">
      <c r="A610" s="3">
        <v>103408569</v>
      </c>
      <c r="B610" s="3" t="s">
        <v>1099</v>
      </c>
      <c r="C610" s="3" t="str">
        <f t="shared" si="12"/>
        <v>2022-07-06</v>
      </c>
      <c r="D610" s="3" t="s">
        <v>9</v>
      </c>
      <c r="E610" s="3" t="s">
        <v>5</v>
      </c>
      <c r="F610" s="3" t="s">
        <v>10</v>
      </c>
      <c r="G610" s="3" t="s">
        <v>1100</v>
      </c>
      <c r="H610" s="3" t="s">
        <v>1101</v>
      </c>
      <c r="I610" s="3">
        <v>939.55</v>
      </c>
      <c r="J610" s="3" t="s">
        <v>11</v>
      </c>
    </row>
    <row r="611" spans="1:10" x14ac:dyDescent="0.35">
      <c r="A611" s="3">
        <v>103408531</v>
      </c>
      <c r="B611" s="3" t="s">
        <v>1102</v>
      </c>
      <c r="C611" s="3" t="str">
        <f t="shared" si="12"/>
        <v>2022-07-06</v>
      </c>
      <c r="D611" s="3" t="s">
        <v>9</v>
      </c>
      <c r="E611" s="3" t="s">
        <v>5</v>
      </c>
      <c r="F611" s="3" t="s">
        <v>10</v>
      </c>
      <c r="G611" s="3" t="s">
        <v>1103</v>
      </c>
      <c r="H611" s="3" t="s">
        <v>1104</v>
      </c>
      <c r="I611" s="4">
        <v>3247.29</v>
      </c>
      <c r="J611" s="3" t="s">
        <v>11</v>
      </c>
    </row>
    <row r="612" spans="1:10" x14ac:dyDescent="0.35">
      <c r="A612" s="3">
        <v>103408566</v>
      </c>
      <c r="B612" s="3" t="s">
        <v>1105</v>
      </c>
      <c r="C612" s="3" t="str">
        <f t="shared" si="12"/>
        <v>2022-07-06</v>
      </c>
      <c r="D612" s="3" t="s">
        <v>9</v>
      </c>
      <c r="E612" s="3" t="s">
        <v>5</v>
      </c>
      <c r="F612" s="3" t="s">
        <v>10</v>
      </c>
      <c r="G612" s="3" t="s">
        <v>1106</v>
      </c>
      <c r="H612" s="3" t="s">
        <v>1107</v>
      </c>
      <c r="I612" s="5">
        <v>1798</v>
      </c>
      <c r="J612" s="3" t="s">
        <v>11</v>
      </c>
    </row>
    <row r="613" spans="1:10" x14ac:dyDescent="0.35">
      <c r="A613" s="3">
        <v>103408565</v>
      </c>
      <c r="B613" s="3" t="s">
        <v>1108</v>
      </c>
      <c r="C613" s="3" t="str">
        <f t="shared" si="12"/>
        <v>2022-07-06</v>
      </c>
      <c r="D613" s="3" t="s">
        <v>9</v>
      </c>
      <c r="E613" s="3" t="s">
        <v>5</v>
      </c>
      <c r="F613" s="3" t="s">
        <v>10</v>
      </c>
      <c r="G613" s="3" t="s">
        <v>1109</v>
      </c>
      <c r="H613" s="3" t="s">
        <v>1110</v>
      </c>
      <c r="I613" s="4">
        <v>1424.05</v>
      </c>
      <c r="J613" s="3" t="s">
        <v>11</v>
      </c>
    </row>
    <row r="614" spans="1:10" x14ac:dyDescent="0.35">
      <c r="A614" s="3">
        <v>103408528</v>
      </c>
      <c r="B614" s="3" t="s">
        <v>1108</v>
      </c>
      <c r="C614" s="3" t="str">
        <f t="shared" si="12"/>
        <v>2022-07-06</v>
      </c>
      <c r="D614" s="3" t="s">
        <v>9</v>
      </c>
      <c r="E614" s="3" t="s">
        <v>5</v>
      </c>
      <c r="F614" s="3" t="s">
        <v>10</v>
      </c>
      <c r="G614" s="3" t="s">
        <v>1111</v>
      </c>
      <c r="H614" s="3" t="s">
        <v>1112</v>
      </c>
      <c r="I614" s="5">
        <v>4999</v>
      </c>
      <c r="J614" s="3" t="s">
        <v>11</v>
      </c>
    </row>
    <row r="615" spans="1:10" x14ac:dyDescent="0.35">
      <c r="A615" s="3">
        <v>103408462</v>
      </c>
      <c r="B615" s="3" t="s">
        <v>1113</v>
      </c>
      <c r="C615" s="3" t="str">
        <f t="shared" si="12"/>
        <v>2022-07-06</v>
      </c>
      <c r="D615" s="3" t="s">
        <v>9</v>
      </c>
      <c r="E615" s="3" t="s">
        <v>5</v>
      </c>
      <c r="F615" s="3" t="s">
        <v>10</v>
      </c>
      <c r="G615" s="3" t="s">
        <v>1114</v>
      </c>
      <c r="H615" s="3" t="s">
        <v>1115</v>
      </c>
      <c r="I615" s="3">
        <v>969</v>
      </c>
      <c r="J615" s="3" t="s">
        <v>11</v>
      </c>
    </row>
    <row r="616" spans="1:10" x14ac:dyDescent="0.35">
      <c r="A616" s="3">
        <v>103408526</v>
      </c>
      <c r="B616" s="3" t="s">
        <v>1116</v>
      </c>
      <c r="C616" s="3" t="str">
        <f t="shared" si="12"/>
        <v>2022-07-06</v>
      </c>
      <c r="D616" s="3" t="s">
        <v>9</v>
      </c>
      <c r="E616" s="3" t="s">
        <v>5</v>
      </c>
      <c r="F616" s="3" t="s">
        <v>10</v>
      </c>
      <c r="G616" s="3" t="s">
        <v>1117</v>
      </c>
      <c r="H616" s="3" t="s">
        <v>1118</v>
      </c>
      <c r="I616" s="5">
        <v>4999</v>
      </c>
      <c r="J616" s="3" t="s">
        <v>11</v>
      </c>
    </row>
    <row r="617" spans="1:10" x14ac:dyDescent="0.35">
      <c r="A617" s="3">
        <v>103408521</v>
      </c>
      <c r="B617" s="3" t="s">
        <v>1119</v>
      </c>
      <c r="C617" s="3" t="str">
        <f t="shared" si="12"/>
        <v>2022-07-06</v>
      </c>
      <c r="D617" s="3" t="s">
        <v>9</v>
      </c>
      <c r="E617" s="3" t="s">
        <v>5</v>
      </c>
      <c r="F617" s="3" t="s">
        <v>10</v>
      </c>
      <c r="G617" s="3" t="s">
        <v>1117</v>
      </c>
      <c r="H617" s="3" t="s">
        <v>1118</v>
      </c>
      <c r="I617" s="5">
        <v>5399</v>
      </c>
      <c r="J617" s="3" t="s">
        <v>11</v>
      </c>
    </row>
    <row r="618" spans="1:10" x14ac:dyDescent="0.35">
      <c r="A618" s="3">
        <v>103408458</v>
      </c>
      <c r="B618" s="3" t="s">
        <v>1120</v>
      </c>
      <c r="C618" s="3" t="str">
        <f t="shared" si="12"/>
        <v>2022-07-06</v>
      </c>
      <c r="D618" s="3" t="s">
        <v>9</v>
      </c>
      <c r="E618" s="3" t="s">
        <v>5</v>
      </c>
      <c r="F618" s="3" t="s">
        <v>10</v>
      </c>
      <c r="G618" s="3" t="s">
        <v>1121</v>
      </c>
      <c r="H618" s="3" t="s">
        <v>1122</v>
      </c>
      <c r="I618" s="3">
        <v>969</v>
      </c>
      <c r="J618" s="3" t="s">
        <v>11</v>
      </c>
    </row>
    <row r="619" spans="1:10" x14ac:dyDescent="0.35">
      <c r="A619" s="3">
        <v>103408511</v>
      </c>
      <c r="B619" s="3" t="s">
        <v>1123</v>
      </c>
      <c r="C619" s="3" t="str">
        <f t="shared" si="12"/>
        <v>2022-07-06</v>
      </c>
      <c r="D619" s="3" t="s">
        <v>9</v>
      </c>
      <c r="E619" s="3" t="s">
        <v>5</v>
      </c>
      <c r="F619" s="3" t="s">
        <v>10</v>
      </c>
      <c r="G619" s="3" t="s">
        <v>1124</v>
      </c>
      <c r="H619" s="3" t="s">
        <v>1125</v>
      </c>
      <c r="I619" s="3">
        <v>969</v>
      </c>
      <c r="J619" s="3" t="s">
        <v>11</v>
      </c>
    </row>
    <row r="620" spans="1:10" x14ac:dyDescent="0.35">
      <c r="A620" s="3">
        <v>103408508</v>
      </c>
      <c r="B620" s="3" t="s">
        <v>1126</v>
      </c>
      <c r="C620" s="3" t="str">
        <f t="shared" si="12"/>
        <v>2022-07-06</v>
      </c>
      <c r="D620" s="3" t="s">
        <v>9</v>
      </c>
      <c r="E620" s="3" t="s">
        <v>5</v>
      </c>
      <c r="F620" s="3" t="s">
        <v>10</v>
      </c>
      <c r="G620" s="3" t="s">
        <v>1127</v>
      </c>
      <c r="H620" s="3" t="s">
        <v>1128</v>
      </c>
      <c r="I620" s="4">
        <v>2461.54</v>
      </c>
      <c r="J620" s="3" t="s">
        <v>11</v>
      </c>
    </row>
    <row r="621" spans="1:10" x14ac:dyDescent="0.35">
      <c r="A621" s="3">
        <v>103408507</v>
      </c>
      <c r="B621" s="3" t="s">
        <v>1129</v>
      </c>
      <c r="C621" s="3" t="str">
        <f t="shared" si="12"/>
        <v>2022-07-06</v>
      </c>
      <c r="D621" s="3" t="s">
        <v>9</v>
      </c>
      <c r="E621" s="3" t="s">
        <v>5</v>
      </c>
      <c r="F621" s="3" t="s">
        <v>12</v>
      </c>
      <c r="G621" s="3" t="s">
        <v>1130</v>
      </c>
      <c r="H621" s="3" t="s">
        <v>1131</v>
      </c>
      <c r="I621" s="4">
        <v>2519.1</v>
      </c>
      <c r="J621" s="3" t="s">
        <v>11</v>
      </c>
    </row>
    <row r="622" spans="1:10" x14ac:dyDescent="0.35">
      <c r="A622" s="3">
        <v>103408447</v>
      </c>
      <c r="B622" s="3" t="s">
        <v>1132</v>
      </c>
      <c r="C622" s="3" t="str">
        <f t="shared" si="12"/>
        <v>2022-07-06</v>
      </c>
      <c r="D622" s="3" t="s">
        <v>9</v>
      </c>
      <c r="E622" s="3" t="s">
        <v>5</v>
      </c>
      <c r="F622" s="3" t="s">
        <v>10</v>
      </c>
      <c r="G622" s="3" t="s">
        <v>1133</v>
      </c>
      <c r="H622" s="3" t="s">
        <v>1134</v>
      </c>
      <c r="I622" s="4">
        <v>1110.55</v>
      </c>
      <c r="J622" s="3" t="s">
        <v>11</v>
      </c>
    </row>
    <row r="623" spans="1:10" x14ac:dyDescent="0.35">
      <c r="A623" s="3">
        <v>103408502</v>
      </c>
      <c r="B623" s="3" t="s">
        <v>1135</v>
      </c>
      <c r="C623" s="3" t="str">
        <f t="shared" si="12"/>
        <v>2022-07-06</v>
      </c>
      <c r="D623" s="3" t="s">
        <v>9</v>
      </c>
      <c r="E623" s="3" t="s">
        <v>5</v>
      </c>
      <c r="F623" s="3" t="s">
        <v>10</v>
      </c>
      <c r="G623" s="3" t="s">
        <v>1136</v>
      </c>
      <c r="H623" s="3" t="s">
        <v>1137</v>
      </c>
      <c r="I623" s="5">
        <v>3149</v>
      </c>
      <c r="J623" s="3" t="s">
        <v>11</v>
      </c>
    </row>
    <row r="624" spans="1:10" x14ac:dyDescent="0.35">
      <c r="A624" s="3">
        <v>103408439</v>
      </c>
      <c r="B624" s="3" t="s">
        <v>1138</v>
      </c>
      <c r="C624" s="3" t="str">
        <f t="shared" si="12"/>
        <v>2022-07-06</v>
      </c>
      <c r="D624" s="3" t="s">
        <v>9</v>
      </c>
      <c r="E624" s="3" t="s">
        <v>5</v>
      </c>
      <c r="F624" s="3" t="s">
        <v>10</v>
      </c>
      <c r="G624" s="3" t="s">
        <v>1139</v>
      </c>
      <c r="H624" s="3" t="s">
        <v>1140</v>
      </c>
      <c r="I624" s="3">
        <v>369</v>
      </c>
      <c r="J624" s="3" t="s">
        <v>11</v>
      </c>
    </row>
    <row r="625" spans="1:10" x14ac:dyDescent="0.35">
      <c r="A625" s="3">
        <v>103408437</v>
      </c>
      <c r="B625" s="3" t="s">
        <v>1141</v>
      </c>
      <c r="C625" s="3" t="str">
        <f t="shared" si="12"/>
        <v>2022-07-06</v>
      </c>
      <c r="D625" s="3" t="s">
        <v>9</v>
      </c>
      <c r="E625" s="3" t="s">
        <v>5</v>
      </c>
      <c r="F625" s="3" t="s">
        <v>10</v>
      </c>
      <c r="G625" s="3" t="s">
        <v>1142</v>
      </c>
      <c r="H625" s="3" t="s">
        <v>1143</v>
      </c>
      <c r="I625" s="4">
        <v>1423.1</v>
      </c>
      <c r="J625" s="3" t="s">
        <v>11</v>
      </c>
    </row>
    <row r="626" spans="1:10" x14ac:dyDescent="0.35">
      <c r="A626" s="3">
        <v>103408436</v>
      </c>
      <c r="B626" s="3" t="s">
        <v>1144</v>
      </c>
      <c r="C626" s="3" t="str">
        <f t="shared" si="12"/>
        <v>2022-07-06</v>
      </c>
      <c r="D626" s="3" t="s">
        <v>9</v>
      </c>
      <c r="E626" s="3" t="s">
        <v>5</v>
      </c>
      <c r="F626" s="3" t="s">
        <v>10</v>
      </c>
      <c r="G626" s="3" t="s">
        <v>1145</v>
      </c>
      <c r="H626" s="3" t="s">
        <v>1146</v>
      </c>
      <c r="I626" s="3">
        <v>969</v>
      </c>
      <c r="J626" s="3" t="s">
        <v>11</v>
      </c>
    </row>
    <row r="627" spans="1:10" x14ac:dyDescent="0.35">
      <c r="A627" s="3">
        <v>103408432</v>
      </c>
      <c r="B627" s="3" t="s">
        <v>1147</v>
      </c>
      <c r="C627" s="3" t="str">
        <f t="shared" si="12"/>
        <v>2022-07-06</v>
      </c>
      <c r="D627" s="3" t="s">
        <v>9</v>
      </c>
      <c r="E627" s="3" t="s">
        <v>5</v>
      </c>
      <c r="F627" s="3" t="s">
        <v>12</v>
      </c>
      <c r="G627" s="3" t="s">
        <v>1148</v>
      </c>
      <c r="H627" s="3" t="s">
        <v>1149</v>
      </c>
      <c r="I627" s="5">
        <v>3019</v>
      </c>
      <c r="J627" s="3" t="s">
        <v>11</v>
      </c>
    </row>
    <row r="628" spans="1:10" x14ac:dyDescent="0.35">
      <c r="A628" s="3">
        <v>103408497</v>
      </c>
      <c r="B628" s="3" t="s">
        <v>1150</v>
      </c>
      <c r="C628" s="3" t="str">
        <f t="shared" si="12"/>
        <v>2022-07-06</v>
      </c>
      <c r="D628" s="3" t="s">
        <v>9</v>
      </c>
      <c r="E628" s="3" t="s">
        <v>5</v>
      </c>
      <c r="F628" s="3" t="s">
        <v>10</v>
      </c>
      <c r="G628" s="3" t="s">
        <v>1151</v>
      </c>
      <c r="H628" s="3" t="s">
        <v>1152</v>
      </c>
      <c r="I628" s="4">
        <v>2849.05</v>
      </c>
      <c r="J628" s="3" t="s">
        <v>11</v>
      </c>
    </row>
    <row r="629" spans="1:10" x14ac:dyDescent="0.35">
      <c r="A629" s="3">
        <v>103408495</v>
      </c>
      <c r="B629" s="3" t="s">
        <v>1153</v>
      </c>
      <c r="C629" s="3" t="str">
        <f t="shared" si="12"/>
        <v>2022-07-06</v>
      </c>
      <c r="D629" s="3" t="s">
        <v>9</v>
      </c>
      <c r="E629" s="3" t="s">
        <v>5</v>
      </c>
      <c r="F629" s="3" t="s">
        <v>10</v>
      </c>
      <c r="G629" s="3" t="s">
        <v>1154</v>
      </c>
      <c r="H629" s="3" t="s">
        <v>1155</v>
      </c>
      <c r="I629" s="4">
        <v>1709.05</v>
      </c>
      <c r="J629" s="3" t="s">
        <v>11</v>
      </c>
    </row>
    <row r="630" spans="1:10" x14ac:dyDescent="0.35">
      <c r="A630" s="3">
        <v>103408492</v>
      </c>
      <c r="B630" s="3" t="s">
        <v>1156</v>
      </c>
      <c r="C630" s="3" t="str">
        <f t="shared" si="12"/>
        <v>2022-07-06</v>
      </c>
      <c r="D630" s="3" t="s">
        <v>9</v>
      </c>
      <c r="E630" s="3" t="s">
        <v>5</v>
      </c>
      <c r="F630" s="3" t="s">
        <v>10</v>
      </c>
      <c r="G630" s="3" t="s">
        <v>1157</v>
      </c>
      <c r="H630" s="3" t="s">
        <v>1158</v>
      </c>
      <c r="I630" s="5">
        <v>1259</v>
      </c>
      <c r="J630" s="3" t="s">
        <v>11</v>
      </c>
    </row>
    <row r="631" spans="1:10" x14ac:dyDescent="0.35">
      <c r="A631" s="3">
        <v>103408425</v>
      </c>
      <c r="B631" s="3" t="s">
        <v>1159</v>
      </c>
      <c r="C631" s="3" t="str">
        <f t="shared" si="12"/>
        <v>2022-07-06</v>
      </c>
      <c r="D631" s="3" t="s">
        <v>9</v>
      </c>
      <c r="E631" s="3" t="s">
        <v>5</v>
      </c>
      <c r="F631" s="3" t="s">
        <v>10</v>
      </c>
      <c r="G631" s="3" t="s">
        <v>1160</v>
      </c>
      <c r="H631" s="3" t="s">
        <v>1161</v>
      </c>
      <c r="I631" s="4">
        <v>1435.54</v>
      </c>
      <c r="J631" s="3" t="s">
        <v>11</v>
      </c>
    </row>
    <row r="632" spans="1:10" x14ac:dyDescent="0.35">
      <c r="A632" s="3">
        <v>103408489</v>
      </c>
      <c r="B632" s="3" t="s">
        <v>1162</v>
      </c>
      <c r="C632" s="3" t="str">
        <f t="shared" si="12"/>
        <v>2022-07-06</v>
      </c>
      <c r="D632" s="3" t="s">
        <v>9</v>
      </c>
      <c r="E632" s="3" t="s">
        <v>5</v>
      </c>
      <c r="F632" s="3" t="s">
        <v>10</v>
      </c>
      <c r="G632" s="3" t="s">
        <v>1163</v>
      </c>
      <c r="H632" s="3" t="s">
        <v>1164</v>
      </c>
      <c r="I632" s="4">
        <v>2093.89</v>
      </c>
      <c r="J632" s="3" t="s">
        <v>11</v>
      </c>
    </row>
    <row r="633" spans="1:10" x14ac:dyDescent="0.35">
      <c r="A633" s="3">
        <v>103408488</v>
      </c>
      <c r="B633" s="3" t="s">
        <v>1165</v>
      </c>
      <c r="C633" s="3" t="str">
        <f t="shared" si="12"/>
        <v>2022-07-06</v>
      </c>
      <c r="D633" s="3" t="s">
        <v>9</v>
      </c>
      <c r="E633" s="3" t="s">
        <v>5</v>
      </c>
      <c r="F633" s="3" t="s">
        <v>10</v>
      </c>
      <c r="G633" s="3" t="s">
        <v>1166</v>
      </c>
      <c r="H633" s="3" t="s">
        <v>1167</v>
      </c>
      <c r="I633" s="5">
        <v>1649</v>
      </c>
      <c r="J633" s="3" t="s">
        <v>11</v>
      </c>
    </row>
    <row r="634" spans="1:10" x14ac:dyDescent="0.35">
      <c r="A634" s="3">
        <v>103408419</v>
      </c>
      <c r="B634" s="3" t="s">
        <v>1168</v>
      </c>
      <c r="C634" s="3" t="str">
        <f t="shared" si="12"/>
        <v>2022-07-06</v>
      </c>
      <c r="D634" s="3" t="s">
        <v>9</v>
      </c>
      <c r="E634" s="3" t="s">
        <v>5</v>
      </c>
      <c r="F634" s="3" t="s">
        <v>10</v>
      </c>
      <c r="G634" s="3" t="s">
        <v>1169</v>
      </c>
      <c r="H634" s="3" t="s">
        <v>1170</v>
      </c>
      <c r="I634" s="3">
        <v>969</v>
      </c>
      <c r="J634" s="3" t="s">
        <v>11</v>
      </c>
    </row>
    <row r="635" spans="1:10" x14ac:dyDescent="0.35">
      <c r="A635" s="3">
        <v>103408482</v>
      </c>
      <c r="B635" s="3" t="s">
        <v>1171</v>
      </c>
      <c r="C635" s="3" t="str">
        <f t="shared" si="12"/>
        <v>2022-07-06</v>
      </c>
      <c r="D635" s="3" t="s">
        <v>9</v>
      </c>
      <c r="E635" s="3" t="s">
        <v>5</v>
      </c>
      <c r="F635" s="3" t="s">
        <v>10</v>
      </c>
      <c r="G635" s="3" t="s">
        <v>1172</v>
      </c>
      <c r="H635" s="3" t="s">
        <v>1173</v>
      </c>
      <c r="I635" s="4">
        <v>1025.05</v>
      </c>
      <c r="J635" s="3" t="s">
        <v>11</v>
      </c>
    </row>
    <row r="636" spans="1:10" x14ac:dyDescent="0.35">
      <c r="A636" s="3">
        <v>103408418</v>
      </c>
      <c r="B636" s="3" t="s">
        <v>1174</v>
      </c>
      <c r="C636" s="3" t="str">
        <f t="shared" si="12"/>
        <v>2022-07-06</v>
      </c>
      <c r="D636" s="3" t="s">
        <v>9</v>
      </c>
      <c r="E636" s="3" t="s">
        <v>5</v>
      </c>
      <c r="F636" s="3" t="s">
        <v>10</v>
      </c>
      <c r="G636" s="3" t="s">
        <v>1175</v>
      </c>
      <c r="H636" s="3" t="s">
        <v>1176</v>
      </c>
      <c r="I636" s="4">
        <v>2991.55</v>
      </c>
      <c r="J636" s="3" t="s">
        <v>11</v>
      </c>
    </row>
    <row r="637" spans="1:10" x14ac:dyDescent="0.35">
      <c r="A637" s="3">
        <v>103408417</v>
      </c>
      <c r="B637" s="3" t="s">
        <v>1177</v>
      </c>
      <c r="C637" s="3" t="str">
        <f t="shared" si="12"/>
        <v>2022-07-06</v>
      </c>
      <c r="D637" s="3" t="s">
        <v>9</v>
      </c>
      <c r="E637" s="3" t="s">
        <v>5</v>
      </c>
      <c r="F637" s="3" t="s">
        <v>12</v>
      </c>
      <c r="G637" s="3" t="s">
        <v>1178</v>
      </c>
      <c r="H637" s="3" t="s">
        <v>1179</v>
      </c>
      <c r="I637" s="4">
        <v>1538.05</v>
      </c>
      <c r="J637" s="3" t="s">
        <v>11</v>
      </c>
    </row>
    <row r="638" spans="1:10" x14ac:dyDescent="0.35">
      <c r="A638" s="3">
        <v>103408416</v>
      </c>
      <c r="B638" s="3" t="s">
        <v>1180</v>
      </c>
      <c r="C638" s="3" t="str">
        <f t="shared" si="12"/>
        <v>2022-07-06</v>
      </c>
      <c r="D638" s="3" t="s">
        <v>9</v>
      </c>
      <c r="E638" s="3" t="s">
        <v>5</v>
      </c>
      <c r="F638" s="3" t="s">
        <v>10</v>
      </c>
      <c r="G638" s="3" t="s">
        <v>1181</v>
      </c>
      <c r="H638" s="3" t="s">
        <v>1182</v>
      </c>
      <c r="I638" s="4">
        <v>1799.1</v>
      </c>
      <c r="J638" s="3" t="s">
        <v>11</v>
      </c>
    </row>
    <row r="639" spans="1:10" x14ac:dyDescent="0.35">
      <c r="A639" s="3">
        <v>103408415</v>
      </c>
      <c r="B639" s="3" t="s">
        <v>4765</v>
      </c>
      <c r="C639" s="3" t="str">
        <f t="shared" si="12"/>
        <v>2022-07-06</v>
      </c>
      <c r="D639" s="3" t="s">
        <v>9</v>
      </c>
      <c r="E639" s="3" t="s">
        <v>5</v>
      </c>
      <c r="F639" s="3" t="s">
        <v>10</v>
      </c>
      <c r="G639" s="3" t="s">
        <v>4766</v>
      </c>
      <c r="H639" s="3" t="s">
        <v>4767</v>
      </c>
      <c r="I639" s="4">
        <v>3133.1</v>
      </c>
      <c r="J639" s="3" t="s">
        <v>13</v>
      </c>
    </row>
    <row r="640" spans="1:10" x14ac:dyDescent="0.35">
      <c r="A640" s="3">
        <v>103408414</v>
      </c>
      <c r="B640" s="3" t="s">
        <v>1183</v>
      </c>
      <c r="C640" s="3" t="str">
        <f t="shared" si="12"/>
        <v>2022-07-06</v>
      </c>
      <c r="D640" s="3" t="s">
        <v>9</v>
      </c>
      <c r="E640" s="3" t="s">
        <v>5</v>
      </c>
      <c r="F640" s="3" t="s">
        <v>10</v>
      </c>
      <c r="G640" s="3" t="s">
        <v>1184</v>
      </c>
      <c r="H640" s="3" t="s">
        <v>1185</v>
      </c>
      <c r="I640" s="3">
        <v>987.05</v>
      </c>
      <c r="J640" s="3" t="s">
        <v>11</v>
      </c>
    </row>
    <row r="641" spans="1:10" x14ac:dyDescent="0.35">
      <c r="A641" s="3">
        <v>103408479</v>
      </c>
      <c r="B641" s="3" t="s">
        <v>1186</v>
      </c>
      <c r="C641" s="3" t="str">
        <f t="shared" si="12"/>
        <v>2022-07-06</v>
      </c>
      <c r="D641" s="3" t="s">
        <v>9</v>
      </c>
      <c r="E641" s="3" t="s">
        <v>5</v>
      </c>
      <c r="F641" s="3" t="s">
        <v>12</v>
      </c>
      <c r="G641" s="3" t="s">
        <v>1187</v>
      </c>
      <c r="H641" s="3" t="s">
        <v>1188</v>
      </c>
      <c r="I641" s="4">
        <v>4558.1000000000004</v>
      </c>
      <c r="J641" s="3" t="s">
        <v>11</v>
      </c>
    </row>
    <row r="642" spans="1:10" x14ac:dyDescent="0.35">
      <c r="A642" s="3">
        <v>103408475</v>
      </c>
      <c r="B642" s="3" t="s">
        <v>1189</v>
      </c>
      <c r="C642" s="3" t="str">
        <f t="shared" si="12"/>
        <v>2022-07-06</v>
      </c>
      <c r="D642" s="3" t="s">
        <v>9</v>
      </c>
      <c r="E642" s="3" t="s">
        <v>5</v>
      </c>
      <c r="F642" s="3" t="s">
        <v>10</v>
      </c>
      <c r="G642" s="3" t="s">
        <v>1190</v>
      </c>
      <c r="H642" s="3" t="s">
        <v>1191</v>
      </c>
      <c r="I642" s="5">
        <v>2398</v>
      </c>
      <c r="J642" s="3" t="s">
        <v>11</v>
      </c>
    </row>
    <row r="643" spans="1:10" x14ac:dyDescent="0.35">
      <c r="A643" s="3">
        <v>103408473</v>
      </c>
      <c r="B643" s="3" t="s">
        <v>1192</v>
      </c>
      <c r="C643" s="3" t="str">
        <f t="shared" ref="C643:C706" si="13">LEFT(B643,FIND("T",B643)-1)</f>
        <v>2022-07-06</v>
      </c>
      <c r="D643" s="3" t="s">
        <v>9</v>
      </c>
      <c r="E643" s="3" t="s">
        <v>5</v>
      </c>
      <c r="F643" s="3" t="s">
        <v>10</v>
      </c>
      <c r="G643" s="3" t="s">
        <v>1193</v>
      </c>
      <c r="H643" s="3" t="s">
        <v>1194</v>
      </c>
      <c r="I643" s="3">
        <v>549</v>
      </c>
      <c r="J643" s="3" t="s">
        <v>11</v>
      </c>
    </row>
    <row r="644" spans="1:10" x14ac:dyDescent="0.35">
      <c r="A644" s="3">
        <v>103408472</v>
      </c>
      <c r="B644" s="3" t="s">
        <v>1192</v>
      </c>
      <c r="C644" s="3" t="str">
        <f t="shared" si="13"/>
        <v>2022-07-06</v>
      </c>
      <c r="D644" s="3" t="s">
        <v>9</v>
      </c>
      <c r="E644" s="3" t="s">
        <v>5</v>
      </c>
      <c r="F644" s="3" t="s">
        <v>10</v>
      </c>
      <c r="G644" s="3" t="s">
        <v>1195</v>
      </c>
      <c r="H644" s="3" t="s">
        <v>1196</v>
      </c>
      <c r="I644" s="4">
        <v>2495.7399999999998</v>
      </c>
      <c r="J644" s="3" t="s">
        <v>11</v>
      </c>
    </row>
    <row r="645" spans="1:10" x14ac:dyDescent="0.35">
      <c r="A645" s="3">
        <v>103408470</v>
      </c>
      <c r="B645" s="3" t="s">
        <v>1197</v>
      </c>
      <c r="C645" s="3" t="str">
        <f t="shared" si="13"/>
        <v>2022-07-06</v>
      </c>
      <c r="D645" s="3" t="s">
        <v>9</v>
      </c>
      <c r="E645" s="3" t="s">
        <v>5</v>
      </c>
      <c r="F645" s="3" t="s">
        <v>10</v>
      </c>
      <c r="G645" s="3" t="s">
        <v>1198</v>
      </c>
      <c r="H645" s="3" t="s">
        <v>1199</v>
      </c>
      <c r="I645" s="5">
        <v>4999</v>
      </c>
      <c r="J645" s="3" t="s">
        <v>11</v>
      </c>
    </row>
    <row r="646" spans="1:10" x14ac:dyDescent="0.35">
      <c r="A646" s="3">
        <v>103408465</v>
      </c>
      <c r="B646" s="3" t="s">
        <v>1200</v>
      </c>
      <c r="C646" s="3" t="str">
        <f t="shared" si="13"/>
        <v>2022-07-06</v>
      </c>
      <c r="D646" s="3" t="s">
        <v>9</v>
      </c>
      <c r="E646" s="3" t="s">
        <v>5</v>
      </c>
      <c r="F646" s="3" t="s">
        <v>10</v>
      </c>
      <c r="G646" s="3" t="s">
        <v>1201</v>
      </c>
      <c r="H646" s="3" t="s">
        <v>1202</v>
      </c>
      <c r="I646" s="4">
        <v>1794.64</v>
      </c>
      <c r="J646" s="3" t="s">
        <v>11</v>
      </c>
    </row>
    <row r="647" spans="1:10" x14ac:dyDescent="0.35">
      <c r="A647" s="3">
        <v>103408364</v>
      </c>
      <c r="B647" s="3" t="s">
        <v>1203</v>
      </c>
      <c r="C647" s="3" t="str">
        <f t="shared" si="13"/>
        <v>2022-07-06</v>
      </c>
      <c r="D647" s="3" t="s">
        <v>9</v>
      </c>
      <c r="E647" s="3" t="s">
        <v>5</v>
      </c>
      <c r="F647" s="3" t="s">
        <v>10</v>
      </c>
      <c r="G647" s="3" t="s">
        <v>1204</v>
      </c>
      <c r="H647" s="3" t="s">
        <v>1205</v>
      </c>
      <c r="I647" s="4">
        <v>1044.05</v>
      </c>
      <c r="J647" s="3" t="s">
        <v>11</v>
      </c>
    </row>
    <row r="648" spans="1:10" x14ac:dyDescent="0.35">
      <c r="A648" s="3">
        <v>103408407</v>
      </c>
      <c r="B648" s="3" t="s">
        <v>1206</v>
      </c>
      <c r="C648" s="3" t="str">
        <f t="shared" si="13"/>
        <v>2022-07-06</v>
      </c>
      <c r="D648" s="3" t="s">
        <v>9</v>
      </c>
      <c r="E648" s="3" t="s">
        <v>5</v>
      </c>
      <c r="F648" s="3" t="s">
        <v>10</v>
      </c>
      <c r="G648" s="3" t="s">
        <v>1207</v>
      </c>
      <c r="H648" s="3" t="s">
        <v>1208</v>
      </c>
      <c r="I648" s="5">
        <v>3149</v>
      </c>
      <c r="J648" s="3" t="s">
        <v>11</v>
      </c>
    </row>
    <row r="649" spans="1:10" x14ac:dyDescent="0.35">
      <c r="A649" s="3">
        <v>103408360</v>
      </c>
      <c r="B649" s="3" t="s">
        <v>1209</v>
      </c>
      <c r="C649" s="3" t="str">
        <f t="shared" si="13"/>
        <v>2022-07-06</v>
      </c>
      <c r="D649" s="3" t="s">
        <v>9</v>
      </c>
      <c r="E649" s="3" t="s">
        <v>5</v>
      </c>
      <c r="F649" s="3" t="s">
        <v>10</v>
      </c>
      <c r="G649" s="3" t="s">
        <v>1210</v>
      </c>
      <c r="H649" s="3" t="s">
        <v>1211</v>
      </c>
      <c r="I649" s="4">
        <v>3419.05</v>
      </c>
      <c r="J649" s="3" t="s">
        <v>11</v>
      </c>
    </row>
    <row r="650" spans="1:10" x14ac:dyDescent="0.35">
      <c r="A650" s="3">
        <v>103408401</v>
      </c>
      <c r="B650" s="3" t="s">
        <v>1212</v>
      </c>
      <c r="C650" s="3" t="str">
        <f t="shared" si="13"/>
        <v>2022-07-06</v>
      </c>
      <c r="D650" s="3" t="s">
        <v>9</v>
      </c>
      <c r="E650" s="3" t="s">
        <v>5</v>
      </c>
      <c r="F650" s="3" t="s">
        <v>10</v>
      </c>
      <c r="G650" s="3" t="s">
        <v>1213</v>
      </c>
      <c r="H650" s="3" t="s">
        <v>1214</v>
      </c>
      <c r="I650" s="3">
        <v>369.55</v>
      </c>
      <c r="J650" s="3" t="s">
        <v>11</v>
      </c>
    </row>
    <row r="651" spans="1:10" x14ac:dyDescent="0.35">
      <c r="A651" s="3">
        <v>103408398</v>
      </c>
      <c r="B651" s="3" t="s">
        <v>1215</v>
      </c>
      <c r="C651" s="3" t="str">
        <f t="shared" si="13"/>
        <v>2022-07-06</v>
      </c>
      <c r="D651" s="3" t="s">
        <v>9</v>
      </c>
      <c r="E651" s="3" t="s">
        <v>5</v>
      </c>
      <c r="F651" s="3" t="s">
        <v>10</v>
      </c>
      <c r="G651" s="3" t="s">
        <v>1216</v>
      </c>
      <c r="H651" s="3" t="s">
        <v>1217</v>
      </c>
      <c r="I651" s="4">
        <v>1566.55</v>
      </c>
      <c r="J651" s="3" t="s">
        <v>11</v>
      </c>
    </row>
    <row r="652" spans="1:10" x14ac:dyDescent="0.35">
      <c r="A652" s="3">
        <v>103408397</v>
      </c>
      <c r="B652" s="3" t="s">
        <v>4768</v>
      </c>
      <c r="C652" s="3" t="str">
        <f t="shared" si="13"/>
        <v>2022-07-06</v>
      </c>
      <c r="D652" s="3" t="s">
        <v>9</v>
      </c>
      <c r="E652" s="3" t="s">
        <v>5</v>
      </c>
      <c r="F652" s="3" t="s">
        <v>10</v>
      </c>
      <c r="G652" s="3" t="s">
        <v>4769</v>
      </c>
      <c r="H652" s="3" t="s">
        <v>4770</v>
      </c>
      <c r="I652" s="4">
        <v>2374.0500000000002</v>
      </c>
      <c r="J652" s="3" t="s">
        <v>13</v>
      </c>
    </row>
    <row r="653" spans="1:10" x14ac:dyDescent="0.35">
      <c r="A653" s="3">
        <v>103408353</v>
      </c>
      <c r="B653" s="3" t="s">
        <v>1218</v>
      </c>
      <c r="C653" s="3" t="str">
        <f t="shared" si="13"/>
        <v>2022-07-06</v>
      </c>
      <c r="D653" s="3" t="s">
        <v>9</v>
      </c>
      <c r="E653" s="3" t="s">
        <v>5</v>
      </c>
      <c r="F653" s="3" t="s">
        <v>10</v>
      </c>
      <c r="G653" s="3" t="s">
        <v>1219</v>
      </c>
      <c r="H653" s="3" t="s">
        <v>1220</v>
      </c>
      <c r="I653" s="4">
        <v>3134.05</v>
      </c>
      <c r="J653" s="3" t="s">
        <v>11</v>
      </c>
    </row>
    <row r="654" spans="1:10" x14ac:dyDescent="0.35">
      <c r="A654" s="3">
        <v>103408393</v>
      </c>
      <c r="B654" s="3" t="s">
        <v>1221</v>
      </c>
      <c r="C654" s="3" t="str">
        <f t="shared" si="13"/>
        <v>2022-07-06</v>
      </c>
      <c r="D654" s="3" t="s">
        <v>9</v>
      </c>
      <c r="E654" s="3" t="s">
        <v>5</v>
      </c>
      <c r="F654" s="3" t="s">
        <v>10</v>
      </c>
      <c r="G654" s="3" t="s">
        <v>1222</v>
      </c>
      <c r="H654" s="3" t="s">
        <v>1223</v>
      </c>
      <c r="I654" s="4">
        <v>4021.2</v>
      </c>
      <c r="J654" s="3" t="s">
        <v>11</v>
      </c>
    </row>
    <row r="655" spans="1:10" x14ac:dyDescent="0.35">
      <c r="A655" s="3">
        <v>103408391</v>
      </c>
      <c r="B655" s="3" t="s">
        <v>1224</v>
      </c>
      <c r="C655" s="3" t="str">
        <f t="shared" si="13"/>
        <v>2022-07-06</v>
      </c>
      <c r="D655" s="3" t="s">
        <v>9</v>
      </c>
      <c r="E655" s="3" t="s">
        <v>5</v>
      </c>
      <c r="F655" s="3" t="s">
        <v>10</v>
      </c>
      <c r="G655" s="3" t="s">
        <v>1225</v>
      </c>
      <c r="H655" s="3" t="s">
        <v>1226</v>
      </c>
      <c r="I655" s="4">
        <v>1138.0999999999999</v>
      </c>
      <c r="J655" s="3" t="s">
        <v>11</v>
      </c>
    </row>
    <row r="656" spans="1:10" x14ac:dyDescent="0.35">
      <c r="A656" s="3">
        <v>103408351</v>
      </c>
      <c r="B656" s="3" t="s">
        <v>1227</v>
      </c>
      <c r="C656" s="3" t="str">
        <f t="shared" si="13"/>
        <v>2022-07-06</v>
      </c>
      <c r="D656" s="3" t="s">
        <v>9</v>
      </c>
      <c r="E656" s="3" t="s">
        <v>5</v>
      </c>
      <c r="F656" s="3" t="s">
        <v>10</v>
      </c>
      <c r="G656" s="3" t="s">
        <v>1228</v>
      </c>
      <c r="H656" s="3" t="s">
        <v>1229</v>
      </c>
      <c r="I656" s="3">
        <v>969</v>
      </c>
      <c r="J656" s="3" t="s">
        <v>11</v>
      </c>
    </row>
    <row r="657" spans="1:10" x14ac:dyDescent="0.35">
      <c r="A657" s="3">
        <v>103408390</v>
      </c>
      <c r="B657" s="3" t="s">
        <v>1230</v>
      </c>
      <c r="C657" s="3" t="str">
        <f t="shared" si="13"/>
        <v>2022-07-06</v>
      </c>
      <c r="D657" s="3" t="s">
        <v>9</v>
      </c>
      <c r="E657" s="3" t="s">
        <v>5</v>
      </c>
      <c r="F657" s="3" t="s">
        <v>10</v>
      </c>
      <c r="G657" s="3" t="s">
        <v>1231</v>
      </c>
      <c r="H657" s="3" t="s">
        <v>1232</v>
      </c>
      <c r="I657" s="5">
        <v>4669</v>
      </c>
      <c r="J657" s="3" t="s">
        <v>11</v>
      </c>
    </row>
    <row r="658" spans="1:10" x14ac:dyDescent="0.35">
      <c r="A658" s="3">
        <v>103408388</v>
      </c>
      <c r="B658" s="3" t="s">
        <v>1233</v>
      </c>
      <c r="C658" s="3" t="str">
        <f t="shared" si="13"/>
        <v>2022-07-06</v>
      </c>
      <c r="D658" s="3" t="s">
        <v>9</v>
      </c>
      <c r="E658" s="3" t="s">
        <v>5</v>
      </c>
      <c r="F658" s="3" t="s">
        <v>10</v>
      </c>
      <c r="G658" s="3" t="s">
        <v>1234</v>
      </c>
      <c r="H658" s="3" t="s">
        <v>1235</v>
      </c>
      <c r="I658" s="5">
        <v>1119</v>
      </c>
      <c r="J658" s="3" t="s">
        <v>11</v>
      </c>
    </row>
    <row r="659" spans="1:10" x14ac:dyDescent="0.35">
      <c r="A659" s="3">
        <v>103408347</v>
      </c>
      <c r="B659" s="3" t="s">
        <v>1236</v>
      </c>
      <c r="C659" s="3" t="str">
        <f t="shared" si="13"/>
        <v>2022-07-06</v>
      </c>
      <c r="D659" s="3" t="s">
        <v>9</v>
      </c>
      <c r="E659" s="3" t="s">
        <v>5</v>
      </c>
      <c r="F659" s="3" t="s">
        <v>10</v>
      </c>
      <c r="G659" s="3" t="s">
        <v>1237</v>
      </c>
      <c r="H659" s="3" t="s">
        <v>1238</v>
      </c>
      <c r="I659" s="5">
        <v>3149</v>
      </c>
      <c r="J659" s="3" t="s">
        <v>11</v>
      </c>
    </row>
    <row r="660" spans="1:10" x14ac:dyDescent="0.35">
      <c r="A660" s="3">
        <v>103408345</v>
      </c>
      <c r="B660" s="3" t="s">
        <v>1239</v>
      </c>
      <c r="C660" s="3" t="str">
        <f t="shared" si="13"/>
        <v>2022-07-06</v>
      </c>
      <c r="D660" s="3" t="s">
        <v>9</v>
      </c>
      <c r="E660" s="3" t="s">
        <v>5</v>
      </c>
      <c r="F660" s="3" t="s">
        <v>10</v>
      </c>
      <c r="G660" s="3" t="s">
        <v>1240</v>
      </c>
      <c r="H660" s="3" t="s">
        <v>1241</v>
      </c>
      <c r="I660" s="4">
        <v>5724.7</v>
      </c>
      <c r="J660" s="3" t="s">
        <v>11</v>
      </c>
    </row>
    <row r="661" spans="1:10" x14ac:dyDescent="0.35">
      <c r="A661" s="3">
        <v>103408381</v>
      </c>
      <c r="B661" s="3" t="s">
        <v>1242</v>
      </c>
      <c r="C661" s="3" t="str">
        <f t="shared" si="13"/>
        <v>2022-07-06</v>
      </c>
      <c r="D661" s="3" t="s">
        <v>9</v>
      </c>
      <c r="E661" s="3" t="s">
        <v>5</v>
      </c>
      <c r="F661" s="3" t="s">
        <v>10</v>
      </c>
      <c r="G661" s="3" t="s">
        <v>1243</v>
      </c>
      <c r="H661" s="3" t="s">
        <v>1244</v>
      </c>
      <c r="I661" s="4">
        <v>4749.05</v>
      </c>
      <c r="J661" s="3" t="s">
        <v>11</v>
      </c>
    </row>
    <row r="662" spans="1:10" x14ac:dyDescent="0.35">
      <c r="A662" s="3">
        <v>103408380</v>
      </c>
      <c r="B662" s="3" t="s">
        <v>1245</v>
      </c>
      <c r="C662" s="3" t="str">
        <f t="shared" si="13"/>
        <v>2022-07-06</v>
      </c>
      <c r="D662" s="3" t="s">
        <v>9</v>
      </c>
      <c r="E662" s="3" t="s">
        <v>5</v>
      </c>
      <c r="F662" s="3" t="s">
        <v>10</v>
      </c>
      <c r="G662" s="3" t="s">
        <v>1246</v>
      </c>
      <c r="H662" s="3" t="s">
        <v>1247</v>
      </c>
      <c r="I662" s="4">
        <v>1063.05</v>
      </c>
      <c r="J662" s="3" t="s">
        <v>11</v>
      </c>
    </row>
    <row r="663" spans="1:10" x14ac:dyDescent="0.35">
      <c r="A663" s="3">
        <v>103408339</v>
      </c>
      <c r="B663" s="3" t="s">
        <v>1248</v>
      </c>
      <c r="C663" s="3" t="str">
        <f t="shared" si="13"/>
        <v>2022-07-06</v>
      </c>
      <c r="D663" s="3" t="s">
        <v>9</v>
      </c>
      <c r="E663" s="3" t="s">
        <v>5</v>
      </c>
      <c r="F663" s="3" t="s">
        <v>10</v>
      </c>
      <c r="G663" s="3" t="s">
        <v>1249</v>
      </c>
      <c r="H663" s="3" t="s">
        <v>1250</v>
      </c>
      <c r="I663" s="4">
        <v>2345.5500000000002</v>
      </c>
      <c r="J663" s="3" t="s">
        <v>11</v>
      </c>
    </row>
    <row r="664" spans="1:10" x14ac:dyDescent="0.35">
      <c r="A664" s="3">
        <v>103408377</v>
      </c>
      <c r="B664" s="3" t="s">
        <v>1251</v>
      </c>
      <c r="C664" s="3" t="str">
        <f t="shared" si="13"/>
        <v>2022-07-06</v>
      </c>
      <c r="D664" s="3" t="s">
        <v>9</v>
      </c>
      <c r="E664" s="3" t="s">
        <v>5</v>
      </c>
      <c r="F664" s="3" t="s">
        <v>12</v>
      </c>
      <c r="G664" s="3" t="s">
        <v>1252</v>
      </c>
      <c r="H664" s="3" t="s">
        <v>1253</v>
      </c>
      <c r="I664" s="3">
        <v>969</v>
      </c>
      <c r="J664" s="3" t="s">
        <v>11</v>
      </c>
    </row>
    <row r="665" spans="1:10" x14ac:dyDescent="0.35">
      <c r="A665" s="3">
        <v>103408333</v>
      </c>
      <c r="B665" s="3" t="s">
        <v>1254</v>
      </c>
      <c r="C665" s="3" t="str">
        <f t="shared" si="13"/>
        <v>2022-07-06</v>
      </c>
      <c r="D665" s="3" t="s">
        <v>9</v>
      </c>
      <c r="E665" s="3" t="s">
        <v>5</v>
      </c>
      <c r="F665" s="3" t="s">
        <v>10</v>
      </c>
      <c r="G665" s="3" t="s">
        <v>1255</v>
      </c>
      <c r="H665" s="3" t="s">
        <v>1256</v>
      </c>
      <c r="I665" s="4">
        <v>4928.6000000000004</v>
      </c>
      <c r="J665" s="3" t="s">
        <v>11</v>
      </c>
    </row>
    <row r="666" spans="1:10" x14ac:dyDescent="0.35">
      <c r="A666" s="3">
        <v>103408373</v>
      </c>
      <c r="B666" s="3" t="s">
        <v>1257</v>
      </c>
      <c r="C666" s="3" t="str">
        <f t="shared" si="13"/>
        <v>2022-07-06</v>
      </c>
      <c r="D666" s="3" t="s">
        <v>9</v>
      </c>
      <c r="E666" s="3" t="s">
        <v>5</v>
      </c>
      <c r="F666" s="3" t="s">
        <v>10</v>
      </c>
      <c r="G666" s="3" t="s">
        <v>1258</v>
      </c>
      <c r="H666" s="3" t="s">
        <v>1259</v>
      </c>
      <c r="I666" s="4">
        <v>2279.0500000000002</v>
      </c>
      <c r="J666" s="3" t="s">
        <v>11</v>
      </c>
    </row>
    <row r="667" spans="1:10" x14ac:dyDescent="0.35">
      <c r="A667" s="3">
        <v>103408370</v>
      </c>
      <c r="B667" s="3" t="s">
        <v>1260</v>
      </c>
      <c r="C667" s="3" t="str">
        <f t="shared" si="13"/>
        <v>2022-07-06</v>
      </c>
      <c r="D667" s="3" t="s">
        <v>9</v>
      </c>
      <c r="E667" s="3" t="s">
        <v>5</v>
      </c>
      <c r="F667" s="3" t="s">
        <v>10</v>
      </c>
      <c r="G667" s="3" t="s">
        <v>1261</v>
      </c>
      <c r="H667" s="3" t="s">
        <v>1262</v>
      </c>
      <c r="I667" s="4">
        <v>3324.05</v>
      </c>
      <c r="J667" s="3" t="s">
        <v>11</v>
      </c>
    </row>
    <row r="668" spans="1:10" x14ac:dyDescent="0.35">
      <c r="A668" s="3">
        <v>103408327</v>
      </c>
      <c r="B668" s="3" t="s">
        <v>1263</v>
      </c>
      <c r="C668" s="3" t="str">
        <f t="shared" si="13"/>
        <v>2022-07-06</v>
      </c>
      <c r="D668" s="3" t="s">
        <v>9</v>
      </c>
      <c r="E668" s="3" t="s">
        <v>5</v>
      </c>
      <c r="F668" s="3" t="s">
        <v>10</v>
      </c>
      <c r="G668" s="3" t="s">
        <v>1264</v>
      </c>
      <c r="H668" s="3" t="s">
        <v>1265</v>
      </c>
      <c r="I668" s="4">
        <v>4274.05</v>
      </c>
      <c r="J668" s="3" t="s">
        <v>11</v>
      </c>
    </row>
    <row r="669" spans="1:10" x14ac:dyDescent="0.35">
      <c r="A669" s="3">
        <v>103408369</v>
      </c>
      <c r="B669" s="3" t="s">
        <v>1266</v>
      </c>
      <c r="C669" s="3" t="str">
        <f t="shared" si="13"/>
        <v>2022-07-06</v>
      </c>
      <c r="D669" s="3" t="s">
        <v>9</v>
      </c>
      <c r="E669" s="3" t="s">
        <v>5</v>
      </c>
      <c r="F669" s="3" t="s">
        <v>10</v>
      </c>
      <c r="G669" s="3" t="s">
        <v>1267</v>
      </c>
      <c r="H669" s="3" t="s">
        <v>1268</v>
      </c>
      <c r="I669" s="5">
        <v>3499</v>
      </c>
      <c r="J669" s="3" t="s">
        <v>11</v>
      </c>
    </row>
    <row r="670" spans="1:10" x14ac:dyDescent="0.35">
      <c r="A670" s="3">
        <v>103408325</v>
      </c>
      <c r="B670" s="3" t="s">
        <v>1269</v>
      </c>
      <c r="C670" s="3" t="str">
        <f t="shared" si="13"/>
        <v>2022-07-06</v>
      </c>
      <c r="D670" s="3" t="s">
        <v>9</v>
      </c>
      <c r="E670" s="3" t="s">
        <v>5</v>
      </c>
      <c r="F670" s="3" t="s">
        <v>10</v>
      </c>
      <c r="G670" s="3" t="s">
        <v>1270</v>
      </c>
      <c r="H670" s="3" t="s">
        <v>1271</v>
      </c>
      <c r="I670" s="3">
        <v>521.54999999999995</v>
      </c>
      <c r="J670" s="3" t="s">
        <v>11</v>
      </c>
    </row>
    <row r="671" spans="1:10" x14ac:dyDescent="0.35">
      <c r="A671" s="3">
        <v>103408323</v>
      </c>
      <c r="B671" s="3" t="s">
        <v>1272</v>
      </c>
      <c r="C671" s="3" t="str">
        <f t="shared" si="13"/>
        <v>2022-07-06</v>
      </c>
      <c r="D671" s="3" t="s">
        <v>9</v>
      </c>
      <c r="E671" s="3" t="s">
        <v>5</v>
      </c>
      <c r="F671" s="3" t="s">
        <v>10</v>
      </c>
      <c r="G671" s="3" t="s">
        <v>1273</v>
      </c>
      <c r="H671" s="3" t="s">
        <v>1274</v>
      </c>
      <c r="I671" s="4">
        <v>3797.1</v>
      </c>
      <c r="J671" s="3" t="s">
        <v>11</v>
      </c>
    </row>
    <row r="672" spans="1:10" x14ac:dyDescent="0.35">
      <c r="A672" s="3">
        <v>103408318</v>
      </c>
      <c r="B672" s="3" t="s">
        <v>4771</v>
      </c>
      <c r="C672" s="3" t="str">
        <f t="shared" si="13"/>
        <v>2022-07-06</v>
      </c>
      <c r="D672" s="3" t="s">
        <v>9</v>
      </c>
      <c r="E672" s="3" t="s">
        <v>5</v>
      </c>
      <c r="F672" s="3" t="s">
        <v>10</v>
      </c>
      <c r="G672" s="3" t="s">
        <v>4772</v>
      </c>
      <c r="H672" s="3" t="s">
        <v>4773</v>
      </c>
      <c r="I672" s="4">
        <v>1128.5999999999999</v>
      </c>
      <c r="J672" s="3" t="s">
        <v>13</v>
      </c>
    </row>
    <row r="673" spans="1:10" x14ac:dyDescent="0.35">
      <c r="A673" s="3">
        <v>103408317</v>
      </c>
      <c r="B673" s="3" t="s">
        <v>1275</v>
      </c>
      <c r="C673" s="3" t="str">
        <f t="shared" si="13"/>
        <v>2022-07-06</v>
      </c>
      <c r="D673" s="3" t="s">
        <v>9</v>
      </c>
      <c r="E673" s="3" t="s">
        <v>5</v>
      </c>
      <c r="F673" s="3" t="s">
        <v>10</v>
      </c>
      <c r="G673" s="3" t="s">
        <v>1276</v>
      </c>
      <c r="H673" s="3" t="s">
        <v>1277</v>
      </c>
      <c r="I673" s="3">
        <v>969</v>
      </c>
      <c r="J673" s="3" t="s">
        <v>11</v>
      </c>
    </row>
    <row r="674" spans="1:10" x14ac:dyDescent="0.35">
      <c r="A674" s="3">
        <v>103408262</v>
      </c>
      <c r="B674" s="3" t="s">
        <v>1278</v>
      </c>
      <c r="C674" s="3" t="str">
        <f t="shared" si="13"/>
        <v>2022-07-06</v>
      </c>
      <c r="D674" s="3" t="s">
        <v>9</v>
      </c>
      <c r="E674" s="3" t="s">
        <v>5</v>
      </c>
      <c r="F674" s="3" t="s">
        <v>12</v>
      </c>
      <c r="G674" s="3" t="s">
        <v>1279</v>
      </c>
      <c r="H674" s="3" t="s">
        <v>1280</v>
      </c>
      <c r="I674" s="5">
        <v>3499</v>
      </c>
      <c r="J674" s="3" t="s">
        <v>11</v>
      </c>
    </row>
    <row r="675" spans="1:10" x14ac:dyDescent="0.35">
      <c r="A675" s="3">
        <v>103408314</v>
      </c>
      <c r="B675" s="3" t="s">
        <v>1278</v>
      </c>
      <c r="C675" s="3" t="str">
        <f t="shared" si="13"/>
        <v>2022-07-06</v>
      </c>
      <c r="D675" s="3" t="s">
        <v>9</v>
      </c>
      <c r="E675" s="3" t="s">
        <v>5</v>
      </c>
      <c r="F675" s="3" t="s">
        <v>10</v>
      </c>
      <c r="G675" s="3" t="s">
        <v>1281</v>
      </c>
      <c r="H675" s="3" t="s">
        <v>1282</v>
      </c>
      <c r="I675" s="5">
        <v>2699</v>
      </c>
      <c r="J675" s="3" t="s">
        <v>11</v>
      </c>
    </row>
    <row r="676" spans="1:10" x14ac:dyDescent="0.35">
      <c r="A676" s="3">
        <v>103408312</v>
      </c>
      <c r="B676" s="3" t="s">
        <v>1283</v>
      </c>
      <c r="C676" s="3" t="str">
        <f t="shared" si="13"/>
        <v>2022-07-06</v>
      </c>
      <c r="D676" s="3" t="s">
        <v>9</v>
      </c>
      <c r="E676" s="3" t="s">
        <v>5</v>
      </c>
      <c r="F676" s="3" t="s">
        <v>10</v>
      </c>
      <c r="G676" s="3" t="s">
        <v>1284</v>
      </c>
      <c r="H676" s="3" t="s">
        <v>1285</v>
      </c>
      <c r="I676" s="4">
        <v>3419.14</v>
      </c>
      <c r="J676" s="3" t="s">
        <v>11</v>
      </c>
    </row>
    <row r="677" spans="1:10" x14ac:dyDescent="0.35">
      <c r="A677" s="3">
        <v>103408259</v>
      </c>
      <c r="B677" s="3" t="s">
        <v>1286</v>
      </c>
      <c r="C677" s="3" t="str">
        <f t="shared" si="13"/>
        <v>2022-07-06</v>
      </c>
      <c r="D677" s="3" t="s">
        <v>9</v>
      </c>
      <c r="E677" s="3" t="s">
        <v>5</v>
      </c>
      <c r="F677" s="3" t="s">
        <v>10</v>
      </c>
      <c r="G677" s="3" t="s">
        <v>340</v>
      </c>
      <c r="H677" s="3" t="s">
        <v>341</v>
      </c>
      <c r="I677" s="3">
        <v>351.07</v>
      </c>
      <c r="J677" s="3" t="s">
        <v>11</v>
      </c>
    </row>
    <row r="678" spans="1:10" x14ac:dyDescent="0.35">
      <c r="A678" s="3">
        <v>103408258</v>
      </c>
      <c r="B678" s="3" t="s">
        <v>1287</v>
      </c>
      <c r="C678" s="3" t="str">
        <f t="shared" si="13"/>
        <v>2022-07-06</v>
      </c>
      <c r="D678" s="3" t="s">
        <v>9</v>
      </c>
      <c r="E678" s="3" t="s">
        <v>5</v>
      </c>
      <c r="F678" s="3" t="s">
        <v>12</v>
      </c>
      <c r="G678" s="3" t="s">
        <v>1288</v>
      </c>
      <c r="H678" s="3" t="s">
        <v>1289</v>
      </c>
      <c r="I678" s="3">
        <v>899</v>
      </c>
      <c r="J678" s="3" t="s">
        <v>11</v>
      </c>
    </row>
    <row r="679" spans="1:10" x14ac:dyDescent="0.35">
      <c r="A679" s="3">
        <v>103408257</v>
      </c>
      <c r="B679" s="3" t="s">
        <v>1290</v>
      </c>
      <c r="C679" s="3" t="str">
        <f t="shared" si="13"/>
        <v>2022-07-06</v>
      </c>
      <c r="D679" s="3" t="s">
        <v>9</v>
      </c>
      <c r="E679" s="3" t="s">
        <v>5</v>
      </c>
      <c r="F679" s="3" t="s">
        <v>10</v>
      </c>
      <c r="G679" s="3" t="s">
        <v>1291</v>
      </c>
      <c r="H679" s="3" t="s">
        <v>1292</v>
      </c>
      <c r="I679" s="5">
        <v>4549</v>
      </c>
      <c r="J679" s="3" t="s">
        <v>11</v>
      </c>
    </row>
    <row r="680" spans="1:10" x14ac:dyDescent="0.35">
      <c r="A680" s="3">
        <v>103408246</v>
      </c>
      <c r="B680" s="3" t="s">
        <v>1293</v>
      </c>
      <c r="C680" s="3" t="str">
        <f t="shared" si="13"/>
        <v>2022-07-06</v>
      </c>
      <c r="D680" s="3" t="s">
        <v>9</v>
      </c>
      <c r="E680" s="3" t="s">
        <v>5</v>
      </c>
      <c r="F680" s="3" t="s">
        <v>10</v>
      </c>
      <c r="G680" s="3" t="s">
        <v>1294</v>
      </c>
      <c r="H680" s="3" t="s">
        <v>1295</v>
      </c>
      <c r="I680" s="4">
        <v>3239.1</v>
      </c>
      <c r="J680" s="3" t="s">
        <v>11</v>
      </c>
    </row>
    <row r="681" spans="1:10" x14ac:dyDescent="0.35">
      <c r="A681" s="3">
        <v>103408301</v>
      </c>
      <c r="B681" s="3" t="s">
        <v>1296</v>
      </c>
      <c r="C681" s="3" t="str">
        <f t="shared" si="13"/>
        <v>2022-07-06</v>
      </c>
      <c r="D681" s="3" t="s">
        <v>9</v>
      </c>
      <c r="E681" s="3" t="s">
        <v>5</v>
      </c>
      <c r="F681" s="3" t="s">
        <v>12</v>
      </c>
      <c r="G681" s="3" t="s">
        <v>1297</v>
      </c>
      <c r="H681" s="3" t="s">
        <v>1298</v>
      </c>
      <c r="I681" s="4">
        <v>2773.05</v>
      </c>
      <c r="J681" s="3" t="s">
        <v>11</v>
      </c>
    </row>
    <row r="682" spans="1:10" x14ac:dyDescent="0.35">
      <c r="A682" s="3">
        <v>103408240</v>
      </c>
      <c r="B682" s="3" t="s">
        <v>1299</v>
      </c>
      <c r="C682" s="3" t="str">
        <f t="shared" si="13"/>
        <v>2022-07-06</v>
      </c>
      <c r="D682" s="3" t="s">
        <v>9</v>
      </c>
      <c r="E682" s="3" t="s">
        <v>5</v>
      </c>
      <c r="F682" s="3" t="s">
        <v>10</v>
      </c>
      <c r="G682" s="3" t="s">
        <v>1300</v>
      </c>
      <c r="H682" s="3" t="s">
        <v>1301</v>
      </c>
      <c r="I682" s="4">
        <v>1566.55</v>
      </c>
      <c r="J682" s="3" t="s">
        <v>11</v>
      </c>
    </row>
    <row r="683" spans="1:10" x14ac:dyDescent="0.35">
      <c r="A683" s="3">
        <v>103408297</v>
      </c>
      <c r="B683" s="3" t="s">
        <v>1302</v>
      </c>
      <c r="C683" s="3" t="str">
        <f t="shared" si="13"/>
        <v>2022-07-06</v>
      </c>
      <c r="D683" s="3" t="s">
        <v>9</v>
      </c>
      <c r="E683" s="3" t="s">
        <v>5</v>
      </c>
      <c r="F683" s="3" t="s">
        <v>10</v>
      </c>
      <c r="G683" s="3" t="s">
        <v>1303</v>
      </c>
      <c r="H683" s="3" t="s">
        <v>1304</v>
      </c>
      <c r="I683" s="3">
        <v>987.05</v>
      </c>
      <c r="J683" s="3" t="s">
        <v>11</v>
      </c>
    </row>
    <row r="684" spans="1:10" x14ac:dyDescent="0.35">
      <c r="A684" s="3">
        <v>103408236</v>
      </c>
      <c r="B684" s="3" t="s">
        <v>1305</v>
      </c>
      <c r="C684" s="3" t="str">
        <f t="shared" si="13"/>
        <v>2022-07-06</v>
      </c>
      <c r="D684" s="3" t="s">
        <v>9</v>
      </c>
      <c r="E684" s="3" t="s">
        <v>5</v>
      </c>
      <c r="F684" s="3" t="s">
        <v>10</v>
      </c>
      <c r="G684" s="3" t="s">
        <v>1306</v>
      </c>
      <c r="H684" s="3" t="s">
        <v>1307</v>
      </c>
      <c r="I684" s="4">
        <v>1661.55</v>
      </c>
      <c r="J684" s="3" t="s">
        <v>11</v>
      </c>
    </row>
    <row r="685" spans="1:10" x14ac:dyDescent="0.35">
      <c r="A685" s="3">
        <v>103408232</v>
      </c>
      <c r="B685" s="3" t="s">
        <v>1308</v>
      </c>
      <c r="C685" s="3" t="str">
        <f t="shared" si="13"/>
        <v>2022-07-06</v>
      </c>
      <c r="D685" s="3" t="s">
        <v>9</v>
      </c>
      <c r="E685" s="3" t="s">
        <v>5</v>
      </c>
      <c r="F685" s="3" t="s">
        <v>10</v>
      </c>
      <c r="G685" s="3" t="s">
        <v>1309</v>
      </c>
      <c r="H685" s="3" t="s">
        <v>1310</v>
      </c>
      <c r="I685" s="5">
        <v>4199</v>
      </c>
      <c r="J685" s="3" t="s">
        <v>11</v>
      </c>
    </row>
    <row r="686" spans="1:10" x14ac:dyDescent="0.35">
      <c r="A686" s="3">
        <v>103408229</v>
      </c>
      <c r="B686" s="3" t="s">
        <v>1311</v>
      </c>
      <c r="C686" s="3" t="str">
        <f t="shared" si="13"/>
        <v>2022-07-06</v>
      </c>
      <c r="D686" s="3" t="s">
        <v>9</v>
      </c>
      <c r="E686" s="3" t="s">
        <v>5</v>
      </c>
      <c r="F686" s="3" t="s">
        <v>10</v>
      </c>
      <c r="G686" s="3" t="s">
        <v>1312</v>
      </c>
      <c r="H686" s="3" t="s">
        <v>1313</v>
      </c>
      <c r="I686" s="3">
        <v>999</v>
      </c>
      <c r="J686" s="3" t="s">
        <v>11</v>
      </c>
    </row>
    <row r="687" spans="1:10" x14ac:dyDescent="0.35">
      <c r="A687" s="3">
        <v>103408294</v>
      </c>
      <c r="B687" s="3" t="s">
        <v>1314</v>
      </c>
      <c r="C687" s="3" t="str">
        <f t="shared" si="13"/>
        <v>2022-07-06</v>
      </c>
      <c r="D687" s="3" t="s">
        <v>9</v>
      </c>
      <c r="E687" s="3" t="s">
        <v>5</v>
      </c>
      <c r="F687" s="3" t="s">
        <v>10</v>
      </c>
      <c r="G687" s="3" t="s">
        <v>1315</v>
      </c>
      <c r="H687" s="3" t="s">
        <v>1316</v>
      </c>
      <c r="I687" s="4">
        <v>1837.39</v>
      </c>
      <c r="J687" s="3" t="s">
        <v>11</v>
      </c>
    </row>
    <row r="688" spans="1:10" x14ac:dyDescent="0.35">
      <c r="A688" s="3">
        <v>103408228</v>
      </c>
      <c r="B688" s="3" t="s">
        <v>1317</v>
      </c>
      <c r="C688" s="3" t="str">
        <f t="shared" si="13"/>
        <v>2022-07-06</v>
      </c>
      <c r="D688" s="3" t="s">
        <v>9</v>
      </c>
      <c r="E688" s="3" t="s">
        <v>5</v>
      </c>
      <c r="F688" s="3" t="s">
        <v>10</v>
      </c>
      <c r="G688" s="3" t="s">
        <v>1318</v>
      </c>
      <c r="H688" s="3" t="s">
        <v>1319</v>
      </c>
      <c r="I688" s="5">
        <v>4799</v>
      </c>
      <c r="J688" s="3" t="s">
        <v>11</v>
      </c>
    </row>
    <row r="689" spans="1:10" x14ac:dyDescent="0.35">
      <c r="A689" s="3">
        <v>103408227</v>
      </c>
      <c r="B689" s="3" t="s">
        <v>1320</v>
      </c>
      <c r="C689" s="3" t="str">
        <f t="shared" si="13"/>
        <v>2022-07-06</v>
      </c>
      <c r="D689" s="3" t="s">
        <v>9</v>
      </c>
      <c r="E689" s="3" t="s">
        <v>5</v>
      </c>
      <c r="F689" s="3" t="s">
        <v>10</v>
      </c>
      <c r="G689" s="3" t="s">
        <v>17</v>
      </c>
      <c r="H689" s="3" t="s">
        <v>18</v>
      </c>
      <c r="I689" s="4">
        <v>1110.55</v>
      </c>
      <c r="J689" s="3" t="s">
        <v>11</v>
      </c>
    </row>
    <row r="690" spans="1:10" x14ac:dyDescent="0.35">
      <c r="A690" s="3">
        <v>103408226</v>
      </c>
      <c r="B690" s="3" t="s">
        <v>1321</v>
      </c>
      <c r="C690" s="3" t="str">
        <f t="shared" si="13"/>
        <v>2022-07-06</v>
      </c>
      <c r="D690" s="3" t="s">
        <v>9</v>
      </c>
      <c r="E690" s="3" t="s">
        <v>5</v>
      </c>
      <c r="F690" s="3" t="s">
        <v>10</v>
      </c>
      <c r="G690" s="3" t="s">
        <v>1322</v>
      </c>
      <c r="H690" s="3" t="s">
        <v>1323</v>
      </c>
      <c r="I690" s="5">
        <v>1558</v>
      </c>
      <c r="J690" s="3" t="s">
        <v>11</v>
      </c>
    </row>
    <row r="691" spans="1:10" x14ac:dyDescent="0.35">
      <c r="A691" s="3">
        <v>103408291</v>
      </c>
      <c r="B691" s="3" t="s">
        <v>1324</v>
      </c>
      <c r="C691" s="3" t="str">
        <f t="shared" si="13"/>
        <v>2022-07-06</v>
      </c>
      <c r="D691" s="3" t="s">
        <v>9</v>
      </c>
      <c r="E691" s="3" t="s">
        <v>5</v>
      </c>
      <c r="F691" s="3" t="s">
        <v>10</v>
      </c>
      <c r="G691" s="3" t="s">
        <v>1325</v>
      </c>
      <c r="H691" s="3" t="s">
        <v>1326</v>
      </c>
      <c r="I691" s="4">
        <v>3419.05</v>
      </c>
      <c r="J691" s="3" t="s">
        <v>11</v>
      </c>
    </row>
    <row r="692" spans="1:10" x14ac:dyDescent="0.35">
      <c r="A692" s="3">
        <v>103408290</v>
      </c>
      <c r="B692" s="3" t="s">
        <v>1327</v>
      </c>
      <c r="C692" s="3" t="str">
        <f t="shared" si="13"/>
        <v>2022-07-06</v>
      </c>
      <c r="D692" s="3" t="s">
        <v>9</v>
      </c>
      <c r="E692" s="3" t="s">
        <v>5</v>
      </c>
      <c r="F692" s="3" t="s">
        <v>12</v>
      </c>
      <c r="G692" s="3" t="s">
        <v>1328</v>
      </c>
      <c r="H692" s="3" t="s">
        <v>1329</v>
      </c>
      <c r="I692" s="5">
        <v>2449</v>
      </c>
      <c r="J692" s="3" t="s">
        <v>11</v>
      </c>
    </row>
    <row r="693" spans="1:10" x14ac:dyDescent="0.35">
      <c r="A693" s="3">
        <v>103408225</v>
      </c>
      <c r="B693" s="3" t="s">
        <v>1330</v>
      </c>
      <c r="C693" s="3" t="str">
        <f t="shared" si="13"/>
        <v>2022-07-06</v>
      </c>
      <c r="D693" s="3" t="s">
        <v>9</v>
      </c>
      <c r="E693" s="3" t="s">
        <v>5</v>
      </c>
      <c r="F693" s="3" t="s">
        <v>10</v>
      </c>
      <c r="G693" s="3" t="s">
        <v>1331</v>
      </c>
      <c r="H693" s="3" t="s">
        <v>1332</v>
      </c>
      <c r="I693" s="4">
        <v>2350.39</v>
      </c>
      <c r="J693" s="3" t="s">
        <v>11</v>
      </c>
    </row>
    <row r="694" spans="1:10" x14ac:dyDescent="0.35">
      <c r="A694" s="3">
        <v>103408289</v>
      </c>
      <c r="B694" s="3" t="s">
        <v>1333</v>
      </c>
      <c r="C694" s="3" t="str">
        <f t="shared" si="13"/>
        <v>2022-07-06</v>
      </c>
      <c r="D694" s="3" t="s">
        <v>9</v>
      </c>
      <c r="E694" s="3" t="s">
        <v>5</v>
      </c>
      <c r="F694" s="3" t="s">
        <v>10</v>
      </c>
      <c r="G694" s="3" t="s">
        <v>1334</v>
      </c>
      <c r="H694" s="3" t="s">
        <v>1335</v>
      </c>
      <c r="I694" s="4">
        <v>2564.14</v>
      </c>
      <c r="J694" s="3" t="s">
        <v>11</v>
      </c>
    </row>
    <row r="695" spans="1:10" x14ac:dyDescent="0.35">
      <c r="A695" s="3">
        <v>103408287</v>
      </c>
      <c r="B695" s="3" t="s">
        <v>1336</v>
      </c>
      <c r="C695" s="3" t="str">
        <f t="shared" si="13"/>
        <v>2022-07-06</v>
      </c>
      <c r="D695" s="3" t="s">
        <v>9</v>
      </c>
      <c r="E695" s="3" t="s">
        <v>5</v>
      </c>
      <c r="F695" s="3" t="s">
        <v>10</v>
      </c>
      <c r="G695" s="3" t="s">
        <v>1337</v>
      </c>
      <c r="H695" s="3" t="s">
        <v>1338</v>
      </c>
      <c r="I695" s="5">
        <v>4799</v>
      </c>
      <c r="J695" s="3" t="s">
        <v>11</v>
      </c>
    </row>
    <row r="696" spans="1:10" x14ac:dyDescent="0.35">
      <c r="A696" s="3">
        <v>103408217</v>
      </c>
      <c r="B696" s="3" t="s">
        <v>1339</v>
      </c>
      <c r="C696" s="3" t="str">
        <f t="shared" si="13"/>
        <v>2022-07-06</v>
      </c>
      <c r="D696" s="3" t="s">
        <v>9</v>
      </c>
      <c r="E696" s="3" t="s">
        <v>5</v>
      </c>
      <c r="F696" s="3" t="s">
        <v>10</v>
      </c>
      <c r="G696" s="3" t="s">
        <v>1340</v>
      </c>
      <c r="H696" s="3" t="s">
        <v>1341</v>
      </c>
      <c r="I696" s="3">
        <v>571.99</v>
      </c>
      <c r="J696" s="3" t="s">
        <v>11</v>
      </c>
    </row>
    <row r="697" spans="1:10" x14ac:dyDescent="0.35">
      <c r="A697" s="3">
        <v>103408278</v>
      </c>
      <c r="B697" s="3" t="s">
        <v>1342</v>
      </c>
      <c r="C697" s="3" t="str">
        <f t="shared" si="13"/>
        <v>2022-07-06</v>
      </c>
      <c r="D697" s="3" t="s">
        <v>9</v>
      </c>
      <c r="E697" s="3" t="s">
        <v>5</v>
      </c>
      <c r="F697" s="3" t="s">
        <v>10</v>
      </c>
      <c r="G697" s="3" t="s">
        <v>1343</v>
      </c>
      <c r="H697" s="3" t="s">
        <v>1344</v>
      </c>
      <c r="I697" s="5">
        <v>1599</v>
      </c>
      <c r="J697" s="3" t="s">
        <v>11</v>
      </c>
    </row>
    <row r="698" spans="1:10" x14ac:dyDescent="0.35">
      <c r="A698" s="3">
        <v>103408215</v>
      </c>
      <c r="B698" s="3" t="s">
        <v>1345</v>
      </c>
      <c r="C698" s="3" t="str">
        <f t="shared" si="13"/>
        <v>2022-07-06</v>
      </c>
      <c r="D698" s="3" t="s">
        <v>9</v>
      </c>
      <c r="E698" s="3" t="s">
        <v>5</v>
      </c>
      <c r="F698" s="3" t="s">
        <v>10</v>
      </c>
      <c r="G698" s="3" t="s">
        <v>1346</v>
      </c>
      <c r="H698" s="3" t="s">
        <v>1347</v>
      </c>
      <c r="I698" s="4">
        <v>2960.2</v>
      </c>
      <c r="J698" s="3" t="s">
        <v>11</v>
      </c>
    </row>
    <row r="699" spans="1:10" x14ac:dyDescent="0.35">
      <c r="A699" s="3">
        <v>103408274</v>
      </c>
      <c r="B699" s="3" t="s">
        <v>1348</v>
      </c>
      <c r="C699" s="3" t="str">
        <f t="shared" si="13"/>
        <v>2022-07-06</v>
      </c>
      <c r="D699" s="3" t="s">
        <v>9</v>
      </c>
      <c r="E699" s="3" t="s">
        <v>5</v>
      </c>
      <c r="F699" s="3" t="s">
        <v>10</v>
      </c>
      <c r="G699" s="3" t="s">
        <v>1349</v>
      </c>
      <c r="H699" s="3" t="s">
        <v>1350</v>
      </c>
      <c r="I699" s="5">
        <v>4949</v>
      </c>
      <c r="J699" s="3" t="s">
        <v>11</v>
      </c>
    </row>
    <row r="700" spans="1:10" x14ac:dyDescent="0.35">
      <c r="A700" s="3">
        <v>103408272</v>
      </c>
      <c r="B700" s="3" t="s">
        <v>1351</v>
      </c>
      <c r="C700" s="3" t="str">
        <f t="shared" si="13"/>
        <v>2022-07-06</v>
      </c>
      <c r="D700" s="3" t="s">
        <v>9</v>
      </c>
      <c r="E700" s="3" t="s">
        <v>5</v>
      </c>
      <c r="F700" s="3" t="s">
        <v>10</v>
      </c>
      <c r="G700" s="3" t="s">
        <v>1352</v>
      </c>
      <c r="H700" s="3" t="s">
        <v>1353</v>
      </c>
      <c r="I700" s="4">
        <v>2699.1</v>
      </c>
      <c r="J700" s="3" t="s">
        <v>11</v>
      </c>
    </row>
    <row r="701" spans="1:10" x14ac:dyDescent="0.35">
      <c r="A701" s="3">
        <v>103408267</v>
      </c>
      <c r="B701" s="3" t="s">
        <v>1354</v>
      </c>
      <c r="C701" s="3" t="str">
        <f t="shared" si="13"/>
        <v>2022-07-06</v>
      </c>
      <c r="D701" s="3" t="s">
        <v>9</v>
      </c>
      <c r="E701" s="3" t="s">
        <v>5</v>
      </c>
      <c r="F701" s="3" t="s">
        <v>10</v>
      </c>
      <c r="G701" s="3" t="s">
        <v>1355</v>
      </c>
      <c r="H701" s="3" t="s">
        <v>1356</v>
      </c>
      <c r="I701" s="5">
        <v>1599</v>
      </c>
      <c r="J701" s="3" t="s">
        <v>11</v>
      </c>
    </row>
    <row r="702" spans="1:10" x14ac:dyDescent="0.35">
      <c r="A702" s="3">
        <v>103408266</v>
      </c>
      <c r="B702" s="3" t="s">
        <v>1357</v>
      </c>
      <c r="C702" s="3" t="str">
        <f t="shared" si="13"/>
        <v>2022-07-06</v>
      </c>
      <c r="D702" s="3" t="s">
        <v>9</v>
      </c>
      <c r="E702" s="3" t="s">
        <v>5</v>
      </c>
      <c r="F702" s="3" t="s">
        <v>10</v>
      </c>
      <c r="G702" s="3" t="s">
        <v>1358</v>
      </c>
      <c r="H702" s="3" t="s">
        <v>1359</v>
      </c>
      <c r="I702" s="4">
        <v>2136.5500000000002</v>
      </c>
      <c r="J702" s="3" t="s">
        <v>11</v>
      </c>
    </row>
    <row r="703" spans="1:10" x14ac:dyDescent="0.35">
      <c r="A703" s="3">
        <v>103408265</v>
      </c>
      <c r="B703" s="3" t="s">
        <v>1360</v>
      </c>
      <c r="C703" s="3" t="str">
        <f t="shared" si="13"/>
        <v>2022-07-06</v>
      </c>
      <c r="D703" s="3" t="s">
        <v>9</v>
      </c>
      <c r="E703" s="3" t="s">
        <v>5</v>
      </c>
      <c r="F703" s="3" t="s">
        <v>10</v>
      </c>
      <c r="G703" s="3" t="s">
        <v>1361</v>
      </c>
      <c r="H703" s="3" t="s">
        <v>1362</v>
      </c>
      <c r="I703" s="5">
        <v>2197</v>
      </c>
      <c r="J703" s="3" t="s">
        <v>11</v>
      </c>
    </row>
    <row r="704" spans="1:10" x14ac:dyDescent="0.35">
      <c r="A704" s="3">
        <v>103408202</v>
      </c>
      <c r="B704" s="3" t="s">
        <v>1363</v>
      </c>
      <c r="C704" s="3" t="str">
        <f t="shared" si="13"/>
        <v>2022-07-06</v>
      </c>
      <c r="D704" s="3" t="s">
        <v>9</v>
      </c>
      <c r="E704" s="3" t="s">
        <v>5</v>
      </c>
      <c r="F704" s="3" t="s">
        <v>10</v>
      </c>
      <c r="G704" s="3" t="s">
        <v>1364</v>
      </c>
      <c r="H704" s="3" t="s">
        <v>1365</v>
      </c>
      <c r="I704" s="4">
        <v>2611.5500000000002</v>
      </c>
      <c r="J704" s="3" t="s">
        <v>11</v>
      </c>
    </row>
    <row r="705" spans="1:10" x14ac:dyDescent="0.35">
      <c r="A705" s="3">
        <v>103408201</v>
      </c>
      <c r="B705" s="3" t="s">
        <v>1366</v>
      </c>
      <c r="C705" s="3" t="str">
        <f t="shared" si="13"/>
        <v>2022-07-06</v>
      </c>
      <c r="D705" s="3" t="s">
        <v>9</v>
      </c>
      <c r="E705" s="3" t="s">
        <v>5</v>
      </c>
      <c r="F705" s="3" t="s">
        <v>10</v>
      </c>
      <c r="G705" s="3" t="s">
        <v>1367</v>
      </c>
      <c r="H705" s="3" t="s">
        <v>1368</v>
      </c>
      <c r="I705" s="4">
        <v>2495.7399999999998</v>
      </c>
      <c r="J705" s="3" t="s">
        <v>11</v>
      </c>
    </row>
    <row r="706" spans="1:10" x14ac:dyDescent="0.35">
      <c r="A706" s="3">
        <v>103408198</v>
      </c>
      <c r="B706" s="3" t="s">
        <v>1369</v>
      </c>
      <c r="C706" s="3" t="str">
        <f t="shared" si="13"/>
        <v>2022-07-06</v>
      </c>
      <c r="D706" s="3" t="s">
        <v>9</v>
      </c>
      <c r="E706" s="3" t="s">
        <v>5</v>
      </c>
      <c r="F706" s="3" t="s">
        <v>10</v>
      </c>
      <c r="G706" s="3" t="s">
        <v>1370</v>
      </c>
      <c r="H706" s="3" t="s">
        <v>1371</v>
      </c>
      <c r="I706" s="5">
        <v>2099</v>
      </c>
      <c r="J706" s="3" t="s">
        <v>11</v>
      </c>
    </row>
    <row r="707" spans="1:10" x14ac:dyDescent="0.35">
      <c r="A707" s="3">
        <v>103408156</v>
      </c>
      <c r="B707" s="3" t="s">
        <v>1372</v>
      </c>
      <c r="C707" s="3" t="str">
        <f t="shared" ref="C707:C770" si="14">LEFT(B707,FIND("T",B707)-1)</f>
        <v>2022-07-06</v>
      </c>
      <c r="D707" s="3" t="s">
        <v>9</v>
      </c>
      <c r="E707" s="3" t="s">
        <v>5</v>
      </c>
      <c r="F707" s="3" t="s">
        <v>10</v>
      </c>
      <c r="G707" s="3" t="s">
        <v>1373</v>
      </c>
      <c r="H707" s="3" t="s">
        <v>1374</v>
      </c>
      <c r="I707" s="4">
        <v>2849.05</v>
      </c>
      <c r="J707" s="3" t="s">
        <v>11</v>
      </c>
    </row>
    <row r="708" spans="1:10" x14ac:dyDescent="0.35">
      <c r="A708" s="3">
        <v>103408157</v>
      </c>
      <c r="B708" s="3" t="s">
        <v>1372</v>
      </c>
      <c r="C708" s="3" t="str">
        <f t="shared" si="14"/>
        <v>2022-07-06</v>
      </c>
      <c r="D708" s="3" t="s">
        <v>9</v>
      </c>
      <c r="E708" s="3" t="s">
        <v>5</v>
      </c>
      <c r="F708" s="3" t="s">
        <v>10</v>
      </c>
      <c r="G708" s="3" t="s">
        <v>694</v>
      </c>
      <c r="H708" s="3" t="s">
        <v>1375</v>
      </c>
      <c r="I708" s="5">
        <v>1569</v>
      </c>
      <c r="J708" s="3" t="s">
        <v>11</v>
      </c>
    </row>
    <row r="709" spans="1:10" x14ac:dyDescent="0.35">
      <c r="A709" s="3">
        <v>103408154</v>
      </c>
      <c r="B709" s="3" t="s">
        <v>1376</v>
      </c>
      <c r="C709" s="3" t="str">
        <f t="shared" si="14"/>
        <v>2022-07-06</v>
      </c>
      <c r="D709" s="3" t="s">
        <v>9</v>
      </c>
      <c r="E709" s="3" t="s">
        <v>5</v>
      </c>
      <c r="F709" s="3" t="s">
        <v>10</v>
      </c>
      <c r="G709" s="3" t="s">
        <v>1377</v>
      </c>
      <c r="H709" s="3" t="s">
        <v>1378</v>
      </c>
      <c r="I709" s="4">
        <v>2488.0500000000002</v>
      </c>
      <c r="J709" s="3" t="s">
        <v>11</v>
      </c>
    </row>
    <row r="710" spans="1:10" x14ac:dyDescent="0.35">
      <c r="A710" s="3">
        <v>103408153</v>
      </c>
      <c r="B710" s="3" t="s">
        <v>1379</v>
      </c>
      <c r="C710" s="3" t="str">
        <f t="shared" si="14"/>
        <v>2022-07-06</v>
      </c>
      <c r="D710" s="3" t="s">
        <v>9</v>
      </c>
      <c r="E710" s="3" t="s">
        <v>5</v>
      </c>
      <c r="F710" s="3" t="s">
        <v>10</v>
      </c>
      <c r="G710" s="3" t="s">
        <v>1380</v>
      </c>
      <c r="H710" s="3" t="s">
        <v>1381</v>
      </c>
      <c r="I710" s="4">
        <v>1799.1</v>
      </c>
      <c r="J710" s="3" t="s">
        <v>11</v>
      </c>
    </row>
    <row r="711" spans="1:10" x14ac:dyDescent="0.35">
      <c r="A711" s="3">
        <v>103408148</v>
      </c>
      <c r="B711" s="3" t="s">
        <v>1382</v>
      </c>
      <c r="C711" s="3" t="str">
        <f t="shared" si="14"/>
        <v>2022-07-06</v>
      </c>
      <c r="D711" s="3" t="s">
        <v>9</v>
      </c>
      <c r="E711" s="3" t="s">
        <v>5</v>
      </c>
      <c r="F711" s="3" t="s">
        <v>10</v>
      </c>
      <c r="G711" s="3" t="s">
        <v>1383</v>
      </c>
      <c r="H711" s="3" t="s">
        <v>1384</v>
      </c>
      <c r="I711" s="5">
        <v>3599</v>
      </c>
      <c r="J711" s="3" t="s">
        <v>11</v>
      </c>
    </row>
    <row r="712" spans="1:10" x14ac:dyDescent="0.35">
      <c r="A712" s="3">
        <v>103408144</v>
      </c>
      <c r="B712" s="3" t="s">
        <v>1385</v>
      </c>
      <c r="C712" s="3" t="str">
        <f t="shared" si="14"/>
        <v>2022-07-06</v>
      </c>
      <c r="D712" s="3" t="s">
        <v>9</v>
      </c>
      <c r="E712" s="3" t="s">
        <v>5</v>
      </c>
      <c r="F712" s="3" t="s">
        <v>10</v>
      </c>
      <c r="G712" s="3" t="s">
        <v>1386</v>
      </c>
      <c r="H712" s="3" t="s">
        <v>1387</v>
      </c>
      <c r="I712" s="4">
        <v>3411.75</v>
      </c>
      <c r="J712" s="3" t="s">
        <v>11</v>
      </c>
    </row>
    <row r="713" spans="1:10" x14ac:dyDescent="0.35">
      <c r="A713" s="3">
        <v>103408143</v>
      </c>
      <c r="B713" s="3" t="s">
        <v>1388</v>
      </c>
      <c r="C713" s="3" t="str">
        <f t="shared" si="14"/>
        <v>2022-07-06</v>
      </c>
      <c r="D713" s="3" t="s">
        <v>9</v>
      </c>
      <c r="E713" s="3" t="s">
        <v>5</v>
      </c>
      <c r="F713" s="3" t="s">
        <v>10</v>
      </c>
      <c r="G713" s="3" t="s">
        <v>1267</v>
      </c>
      <c r="H713" s="3" t="s">
        <v>1268</v>
      </c>
      <c r="I713" s="5">
        <v>4799</v>
      </c>
      <c r="J713" s="3" t="s">
        <v>11</v>
      </c>
    </row>
    <row r="714" spans="1:10" x14ac:dyDescent="0.35">
      <c r="A714" s="3">
        <v>103408184</v>
      </c>
      <c r="B714" s="3" t="s">
        <v>1389</v>
      </c>
      <c r="C714" s="3" t="str">
        <f t="shared" si="14"/>
        <v>2022-07-06</v>
      </c>
      <c r="D714" s="3" t="s">
        <v>9</v>
      </c>
      <c r="E714" s="3" t="s">
        <v>5</v>
      </c>
      <c r="F714" s="3" t="s">
        <v>10</v>
      </c>
      <c r="G714" s="3" t="s">
        <v>1390</v>
      </c>
      <c r="H714" s="3" t="s">
        <v>1391</v>
      </c>
      <c r="I714" s="4">
        <v>1329.05</v>
      </c>
      <c r="J714" s="3" t="s">
        <v>11</v>
      </c>
    </row>
    <row r="715" spans="1:10" x14ac:dyDescent="0.35">
      <c r="A715" s="3">
        <v>103408140</v>
      </c>
      <c r="B715" s="3" t="s">
        <v>1392</v>
      </c>
      <c r="C715" s="3" t="str">
        <f t="shared" si="14"/>
        <v>2022-07-06</v>
      </c>
      <c r="D715" s="3" t="s">
        <v>9</v>
      </c>
      <c r="E715" s="3" t="s">
        <v>5</v>
      </c>
      <c r="F715" s="3" t="s">
        <v>12</v>
      </c>
      <c r="G715" s="3" t="s">
        <v>1393</v>
      </c>
      <c r="H715" s="3" t="s">
        <v>1394</v>
      </c>
      <c r="I715" s="3">
        <v>899</v>
      </c>
      <c r="J715" s="3" t="s">
        <v>11</v>
      </c>
    </row>
    <row r="716" spans="1:10" x14ac:dyDescent="0.35">
      <c r="A716" s="3">
        <v>103408183</v>
      </c>
      <c r="B716" s="3" t="s">
        <v>1395</v>
      </c>
      <c r="C716" s="3" t="str">
        <f t="shared" si="14"/>
        <v>2022-07-06</v>
      </c>
      <c r="D716" s="3" t="s">
        <v>9</v>
      </c>
      <c r="E716" s="3" t="s">
        <v>5</v>
      </c>
      <c r="F716" s="3" t="s">
        <v>10</v>
      </c>
      <c r="G716" s="3" t="s">
        <v>1396</v>
      </c>
      <c r="H716" s="3" t="s">
        <v>1397</v>
      </c>
      <c r="I716" s="4">
        <v>1640.74</v>
      </c>
      <c r="J716" s="3" t="s">
        <v>11</v>
      </c>
    </row>
    <row r="717" spans="1:10" x14ac:dyDescent="0.35">
      <c r="A717" s="3">
        <v>103408139</v>
      </c>
      <c r="B717" s="3" t="s">
        <v>1398</v>
      </c>
      <c r="C717" s="3" t="str">
        <f t="shared" si="14"/>
        <v>2022-07-06</v>
      </c>
      <c r="D717" s="3" t="s">
        <v>9</v>
      </c>
      <c r="E717" s="3" t="s">
        <v>5</v>
      </c>
      <c r="F717" s="3" t="s">
        <v>10</v>
      </c>
      <c r="G717" s="3" t="s">
        <v>1399</v>
      </c>
      <c r="H717" s="3" t="s">
        <v>1400</v>
      </c>
      <c r="I717" s="3">
        <v>768.55</v>
      </c>
      <c r="J717" s="3" t="s">
        <v>11</v>
      </c>
    </row>
    <row r="718" spans="1:10" x14ac:dyDescent="0.35">
      <c r="A718" s="3">
        <v>103408138</v>
      </c>
      <c r="B718" s="3" t="s">
        <v>1401</v>
      </c>
      <c r="C718" s="3" t="str">
        <f t="shared" si="14"/>
        <v>2022-07-06</v>
      </c>
      <c r="D718" s="3" t="s">
        <v>9</v>
      </c>
      <c r="E718" s="3" t="s">
        <v>5</v>
      </c>
      <c r="F718" s="3" t="s">
        <v>10</v>
      </c>
      <c r="G718" s="3" t="s">
        <v>1402</v>
      </c>
      <c r="H718" s="3" t="s">
        <v>1403</v>
      </c>
      <c r="I718" s="4">
        <v>5556.55</v>
      </c>
      <c r="J718" s="3" t="s">
        <v>11</v>
      </c>
    </row>
    <row r="719" spans="1:10" x14ac:dyDescent="0.35">
      <c r="A719" s="3">
        <v>103408137</v>
      </c>
      <c r="B719" s="3" t="s">
        <v>1404</v>
      </c>
      <c r="C719" s="3" t="str">
        <f t="shared" si="14"/>
        <v>2022-07-06</v>
      </c>
      <c r="D719" s="3" t="s">
        <v>9</v>
      </c>
      <c r="E719" s="3" t="s">
        <v>5</v>
      </c>
      <c r="F719" s="3" t="s">
        <v>10</v>
      </c>
      <c r="G719" s="3" t="s">
        <v>1405</v>
      </c>
      <c r="H719" s="3" t="s">
        <v>1406</v>
      </c>
      <c r="I719" s="5">
        <v>2099</v>
      </c>
      <c r="J719" s="3" t="s">
        <v>11</v>
      </c>
    </row>
    <row r="720" spans="1:10" x14ac:dyDescent="0.35">
      <c r="A720" s="3">
        <v>103408179</v>
      </c>
      <c r="B720" s="3" t="s">
        <v>1407</v>
      </c>
      <c r="C720" s="3" t="str">
        <f t="shared" si="14"/>
        <v>2022-07-06</v>
      </c>
      <c r="D720" s="3" t="s">
        <v>9</v>
      </c>
      <c r="E720" s="3" t="s">
        <v>5</v>
      </c>
      <c r="F720" s="3" t="s">
        <v>10</v>
      </c>
      <c r="G720" s="3" t="s">
        <v>1370</v>
      </c>
      <c r="H720" s="3" t="s">
        <v>1371</v>
      </c>
      <c r="I720" s="5">
        <v>2099</v>
      </c>
      <c r="J720" s="3" t="s">
        <v>11</v>
      </c>
    </row>
    <row r="721" spans="1:10" x14ac:dyDescent="0.35">
      <c r="A721" s="3">
        <v>103408178</v>
      </c>
      <c r="B721" s="3" t="s">
        <v>1408</v>
      </c>
      <c r="C721" s="3" t="str">
        <f t="shared" si="14"/>
        <v>2022-07-06</v>
      </c>
      <c r="D721" s="3" t="s">
        <v>9</v>
      </c>
      <c r="E721" s="3" t="s">
        <v>5</v>
      </c>
      <c r="F721" s="3" t="s">
        <v>10</v>
      </c>
      <c r="G721" s="3" t="s">
        <v>1322</v>
      </c>
      <c r="H721" s="3" t="s">
        <v>1323</v>
      </c>
      <c r="I721" s="4">
        <v>1196.05</v>
      </c>
      <c r="J721" s="3" t="s">
        <v>11</v>
      </c>
    </row>
    <row r="722" spans="1:10" x14ac:dyDescent="0.35">
      <c r="A722" s="3">
        <v>103408176</v>
      </c>
      <c r="B722" s="3" t="s">
        <v>1409</v>
      </c>
      <c r="C722" s="3" t="str">
        <f t="shared" si="14"/>
        <v>2022-07-06</v>
      </c>
      <c r="D722" s="3" t="s">
        <v>9</v>
      </c>
      <c r="E722" s="3" t="s">
        <v>5</v>
      </c>
      <c r="F722" s="3" t="s">
        <v>10</v>
      </c>
      <c r="G722" s="3" t="s">
        <v>1410</v>
      </c>
      <c r="H722" s="3" t="s">
        <v>1411</v>
      </c>
      <c r="I722" s="4">
        <v>4511.6000000000004</v>
      </c>
      <c r="J722" s="3" t="s">
        <v>11</v>
      </c>
    </row>
    <row r="723" spans="1:10" x14ac:dyDescent="0.35">
      <c r="A723" s="3">
        <v>103408175</v>
      </c>
      <c r="B723" s="3" t="s">
        <v>1412</v>
      </c>
      <c r="C723" s="3" t="str">
        <f t="shared" si="14"/>
        <v>2022-07-06</v>
      </c>
      <c r="D723" s="3" t="s">
        <v>9</v>
      </c>
      <c r="E723" s="3" t="s">
        <v>5</v>
      </c>
      <c r="F723" s="3" t="s">
        <v>10</v>
      </c>
      <c r="G723" s="3" t="s">
        <v>1413</v>
      </c>
      <c r="H723" s="3" t="s">
        <v>1414</v>
      </c>
      <c r="I723" s="4">
        <v>3419.05</v>
      </c>
      <c r="J723" s="3" t="s">
        <v>11</v>
      </c>
    </row>
    <row r="724" spans="1:10" x14ac:dyDescent="0.35">
      <c r="A724" s="3">
        <v>103408133</v>
      </c>
      <c r="B724" s="3" t="s">
        <v>1415</v>
      </c>
      <c r="C724" s="3" t="str">
        <f t="shared" si="14"/>
        <v>2022-07-06</v>
      </c>
      <c r="D724" s="3" t="s">
        <v>9</v>
      </c>
      <c r="E724" s="3" t="s">
        <v>5</v>
      </c>
      <c r="F724" s="3" t="s">
        <v>10</v>
      </c>
      <c r="G724" s="3" t="s">
        <v>1416</v>
      </c>
      <c r="H724" s="3" t="s">
        <v>1417</v>
      </c>
      <c r="I724" s="5">
        <v>2398</v>
      </c>
      <c r="J724" s="3" t="s">
        <v>11</v>
      </c>
    </row>
    <row r="725" spans="1:10" x14ac:dyDescent="0.35">
      <c r="A725" s="3">
        <v>103408173</v>
      </c>
      <c r="B725" s="3" t="s">
        <v>1418</v>
      </c>
      <c r="C725" s="3" t="str">
        <f t="shared" si="14"/>
        <v>2022-07-06</v>
      </c>
      <c r="D725" s="3" t="s">
        <v>9</v>
      </c>
      <c r="E725" s="3" t="s">
        <v>5</v>
      </c>
      <c r="F725" s="3" t="s">
        <v>12</v>
      </c>
      <c r="G725" s="3" t="s">
        <v>1419</v>
      </c>
      <c r="H725" s="3" t="s">
        <v>1420</v>
      </c>
      <c r="I725" s="4">
        <v>2849.05</v>
      </c>
      <c r="J725" s="3" t="s">
        <v>11</v>
      </c>
    </row>
    <row r="726" spans="1:10" x14ac:dyDescent="0.35">
      <c r="A726" s="3">
        <v>103408170</v>
      </c>
      <c r="B726" s="3" t="s">
        <v>4774</v>
      </c>
      <c r="C726" s="3" t="str">
        <f t="shared" si="14"/>
        <v>2022-07-06</v>
      </c>
      <c r="D726" s="3" t="s">
        <v>9</v>
      </c>
      <c r="E726" s="3" t="s">
        <v>5</v>
      </c>
      <c r="F726" s="3" t="s">
        <v>10</v>
      </c>
      <c r="G726" s="3" t="s">
        <v>4775</v>
      </c>
      <c r="H726" s="3" t="s">
        <v>4776</v>
      </c>
      <c r="I726" s="4">
        <v>2469.0500000000002</v>
      </c>
      <c r="J726" s="3" t="s">
        <v>13</v>
      </c>
    </row>
    <row r="727" spans="1:10" x14ac:dyDescent="0.35">
      <c r="A727" s="3">
        <v>103408169</v>
      </c>
      <c r="B727" s="3" t="s">
        <v>1421</v>
      </c>
      <c r="C727" s="3" t="str">
        <f t="shared" si="14"/>
        <v>2022-07-06</v>
      </c>
      <c r="D727" s="3" t="s">
        <v>9</v>
      </c>
      <c r="E727" s="3" t="s">
        <v>5</v>
      </c>
      <c r="F727" s="3" t="s">
        <v>10</v>
      </c>
      <c r="G727" s="3" t="s">
        <v>1422</v>
      </c>
      <c r="H727" s="3" t="s">
        <v>1423</v>
      </c>
      <c r="I727" s="3">
        <v>479</v>
      </c>
      <c r="J727" s="3" t="s">
        <v>11</v>
      </c>
    </row>
    <row r="728" spans="1:10" x14ac:dyDescent="0.35">
      <c r="A728" s="3">
        <v>103408168</v>
      </c>
      <c r="B728" s="3" t="s">
        <v>1424</v>
      </c>
      <c r="C728" s="3" t="str">
        <f t="shared" si="14"/>
        <v>2022-07-06</v>
      </c>
      <c r="D728" s="3" t="s">
        <v>9</v>
      </c>
      <c r="E728" s="3" t="s">
        <v>5</v>
      </c>
      <c r="F728" s="3" t="s">
        <v>10</v>
      </c>
      <c r="G728" s="3" t="s">
        <v>1425</v>
      </c>
      <c r="H728" s="3" t="s">
        <v>1426</v>
      </c>
      <c r="I728" s="3">
        <v>742.99</v>
      </c>
      <c r="J728" s="3" t="s">
        <v>11</v>
      </c>
    </row>
    <row r="729" spans="1:10" x14ac:dyDescent="0.35">
      <c r="A729" s="3">
        <v>103408166</v>
      </c>
      <c r="B729" s="3" t="s">
        <v>1427</v>
      </c>
      <c r="C729" s="3" t="str">
        <f t="shared" si="14"/>
        <v>2022-07-06</v>
      </c>
      <c r="D729" s="3" t="s">
        <v>9</v>
      </c>
      <c r="E729" s="3" t="s">
        <v>5</v>
      </c>
      <c r="F729" s="3" t="s">
        <v>10</v>
      </c>
      <c r="G729" s="3" t="s">
        <v>1428</v>
      </c>
      <c r="H729" s="3" t="s">
        <v>1429</v>
      </c>
      <c r="I729" s="3">
        <v>999.49</v>
      </c>
      <c r="J729" s="3" t="s">
        <v>11</v>
      </c>
    </row>
    <row r="730" spans="1:10" x14ac:dyDescent="0.35">
      <c r="A730" s="3">
        <v>103408125</v>
      </c>
      <c r="B730" s="3" t="s">
        <v>1430</v>
      </c>
      <c r="C730" s="3" t="str">
        <f t="shared" si="14"/>
        <v>2022-07-06</v>
      </c>
      <c r="D730" s="3" t="s">
        <v>9</v>
      </c>
      <c r="E730" s="3" t="s">
        <v>5</v>
      </c>
      <c r="F730" s="3" t="s">
        <v>10</v>
      </c>
      <c r="G730" s="3" t="s">
        <v>1431</v>
      </c>
      <c r="H730" s="3" t="s">
        <v>1432</v>
      </c>
      <c r="I730" s="3">
        <v>468.4</v>
      </c>
      <c r="J730" s="3" t="s">
        <v>11</v>
      </c>
    </row>
    <row r="731" spans="1:10" x14ac:dyDescent="0.35">
      <c r="A731" s="3">
        <v>103408124</v>
      </c>
      <c r="B731" s="3" t="s">
        <v>1433</v>
      </c>
      <c r="C731" s="3" t="str">
        <f t="shared" si="14"/>
        <v>2022-07-06</v>
      </c>
      <c r="D731" s="3" t="s">
        <v>9</v>
      </c>
      <c r="E731" s="3" t="s">
        <v>5</v>
      </c>
      <c r="F731" s="3" t="s">
        <v>12</v>
      </c>
      <c r="G731" s="3" t="s">
        <v>1434</v>
      </c>
      <c r="H731" s="3" t="s">
        <v>1435</v>
      </c>
      <c r="I731" s="4">
        <v>2526.0500000000002</v>
      </c>
      <c r="J731" s="3" t="s">
        <v>11</v>
      </c>
    </row>
    <row r="732" spans="1:10" x14ac:dyDescent="0.35">
      <c r="A732" s="3">
        <v>103408123</v>
      </c>
      <c r="B732" s="3" t="s">
        <v>1436</v>
      </c>
      <c r="C732" s="3" t="str">
        <f t="shared" si="14"/>
        <v>2022-07-06</v>
      </c>
      <c r="D732" s="3" t="s">
        <v>9</v>
      </c>
      <c r="E732" s="3" t="s">
        <v>5</v>
      </c>
      <c r="F732" s="3" t="s">
        <v>10</v>
      </c>
      <c r="G732" s="3" t="s">
        <v>1437</v>
      </c>
      <c r="H732" s="3" t="s">
        <v>1438</v>
      </c>
      <c r="I732" s="4">
        <v>2849.05</v>
      </c>
      <c r="J732" s="3" t="s">
        <v>11</v>
      </c>
    </row>
    <row r="733" spans="1:10" x14ac:dyDescent="0.35">
      <c r="A733" s="3">
        <v>103408122</v>
      </c>
      <c r="B733" s="3" t="s">
        <v>1439</v>
      </c>
      <c r="C733" s="3" t="str">
        <f t="shared" si="14"/>
        <v>2022-07-06</v>
      </c>
      <c r="D733" s="3" t="s">
        <v>9</v>
      </c>
      <c r="E733" s="3" t="s">
        <v>5</v>
      </c>
      <c r="F733" s="3" t="s">
        <v>10</v>
      </c>
      <c r="G733" s="3" t="s">
        <v>1440</v>
      </c>
      <c r="H733" s="3" t="s">
        <v>1441</v>
      </c>
      <c r="I733" s="4">
        <v>4094.1</v>
      </c>
      <c r="J733" s="3" t="s">
        <v>11</v>
      </c>
    </row>
    <row r="734" spans="1:10" x14ac:dyDescent="0.35">
      <c r="A734" s="3">
        <v>103407964</v>
      </c>
      <c r="B734" s="3" t="s">
        <v>1442</v>
      </c>
      <c r="C734" s="3" t="str">
        <f t="shared" si="14"/>
        <v>2022-07-06</v>
      </c>
      <c r="D734" s="3" t="s">
        <v>9</v>
      </c>
      <c r="E734" s="3" t="s">
        <v>5</v>
      </c>
      <c r="F734" s="3" t="s">
        <v>12</v>
      </c>
      <c r="G734" s="3" t="s">
        <v>1443</v>
      </c>
      <c r="H734" s="3" t="s">
        <v>1444</v>
      </c>
      <c r="I734" s="3">
        <v>969</v>
      </c>
      <c r="J734" s="3" t="s">
        <v>11</v>
      </c>
    </row>
    <row r="735" spans="1:10" x14ac:dyDescent="0.35">
      <c r="A735" s="3">
        <v>103408119</v>
      </c>
      <c r="B735" s="3" t="s">
        <v>1445</v>
      </c>
      <c r="C735" s="3" t="str">
        <f t="shared" si="14"/>
        <v>2022-07-06</v>
      </c>
      <c r="D735" s="3" t="s">
        <v>9</v>
      </c>
      <c r="E735" s="3" t="s">
        <v>5</v>
      </c>
      <c r="F735" s="3" t="s">
        <v>12</v>
      </c>
      <c r="G735" s="3" t="s">
        <v>1446</v>
      </c>
      <c r="H735" s="3" t="s">
        <v>1447</v>
      </c>
      <c r="I735" s="5">
        <v>1499</v>
      </c>
      <c r="J735" s="3" t="s">
        <v>11</v>
      </c>
    </row>
    <row r="736" spans="1:10" x14ac:dyDescent="0.35">
      <c r="A736" s="3">
        <v>103407963</v>
      </c>
      <c r="B736" s="3" t="s">
        <v>1448</v>
      </c>
      <c r="C736" s="3" t="str">
        <f t="shared" si="14"/>
        <v>2022-07-06</v>
      </c>
      <c r="D736" s="3" t="s">
        <v>9</v>
      </c>
      <c r="E736" s="3" t="s">
        <v>5</v>
      </c>
      <c r="F736" s="3" t="s">
        <v>10</v>
      </c>
      <c r="G736" s="3" t="s">
        <v>1449</v>
      </c>
      <c r="H736" s="3" t="s">
        <v>1450</v>
      </c>
      <c r="I736" s="5">
        <v>1999</v>
      </c>
      <c r="J736" s="3" t="s">
        <v>11</v>
      </c>
    </row>
    <row r="737" spans="1:10" x14ac:dyDescent="0.35">
      <c r="A737" s="3">
        <v>103408116</v>
      </c>
      <c r="B737" s="3" t="s">
        <v>1451</v>
      </c>
      <c r="C737" s="3" t="str">
        <f t="shared" si="14"/>
        <v>2022-07-06</v>
      </c>
      <c r="D737" s="3" t="s">
        <v>9</v>
      </c>
      <c r="E737" s="3" t="s">
        <v>5</v>
      </c>
      <c r="F737" s="3" t="s">
        <v>10</v>
      </c>
      <c r="G737" s="3" t="s">
        <v>1267</v>
      </c>
      <c r="H737" s="3" t="s">
        <v>1268</v>
      </c>
      <c r="I737" s="5">
        <v>3569</v>
      </c>
      <c r="J737" s="3" t="s">
        <v>11</v>
      </c>
    </row>
    <row r="738" spans="1:10" x14ac:dyDescent="0.35">
      <c r="A738" s="3">
        <v>103408115</v>
      </c>
      <c r="B738" s="3" t="s">
        <v>1452</v>
      </c>
      <c r="C738" s="3" t="str">
        <f t="shared" si="14"/>
        <v>2022-07-06</v>
      </c>
      <c r="D738" s="3" t="s">
        <v>9</v>
      </c>
      <c r="E738" s="3" t="s">
        <v>5</v>
      </c>
      <c r="F738" s="3" t="s">
        <v>10</v>
      </c>
      <c r="G738" s="3" t="s">
        <v>1431</v>
      </c>
      <c r="H738" s="3" t="s">
        <v>1432</v>
      </c>
      <c r="I738" s="4">
        <v>1216.57</v>
      </c>
      <c r="J738" s="3" t="s">
        <v>11</v>
      </c>
    </row>
    <row r="739" spans="1:10" x14ac:dyDescent="0.35">
      <c r="A739" s="3">
        <v>103407958</v>
      </c>
      <c r="B739" s="3" t="s">
        <v>1453</v>
      </c>
      <c r="C739" s="3" t="str">
        <f t="shared" si="14"/>
        <v>2022-07-06</v>
      </c>
      <c r="D739" s="3" t="s">
        <v>9</v>
      </c>
      <c r="E739" s="3" t="s">
        <v>5</v>
      </c>
      <c r="F739" s="3" t="s">
        <v>10</v>
      </c>
      <c r="G739" s="3" t="s">
        <v>1454</v>
      </c>
      <c r="H739" s="3" t="s">
        <v>1455</v>
      </c>
      <c r="I739" s="4">
        <v>1651.1</v>
      </c>
      <c r="J739" s="3" t="s">
        <v>11</v>
      </c>
    </row>
    <row r="740" spans="1:10" x14ac:dyDescent="0.35">
      <c r="A740" s="3">
        <v>103407957</v>
      </c>
      <c r="B740" s="3" t="s">
        <v>1456</v>
      </c>
      <c r="C740" s="3" t="str">
        <f t="shared" si="14"/>
        <v>2022-07-06</v>
      </c>
      <c r="D740" s="3" t="s">
        <v>9</v>
      </c>
      <c r="E740" s="3" t="s">
        <v>5</v>
      </c>
      <c r="F740" s="3" t="s">
        <v>10</v>
      </c>
      <c r="G740" s="3" t="s">
        <v>1457</v>
      </c>
      <c r="H740" s="3" t="s">
        <v>1458</v>
      </c>
      <c r="I740" s="5">
        <v>3999</v>
      </c>
      <c r="J740" s="3" t="s">
        <v>11</v>
      </c>
    </row>
    <row r="741" spans="1:10" x14ac:dyDescent="0.35">
      <c r="A741" s="3">
        <v>103408113</v>
      </c>
      <c r="B741" s="3" t="s">
        <v>1459</v>
      </c>
      <c r="C741" s="3" t="str">
        <f t="shared" si="14"/>
        <v>2022-07-06</v>
      </c>
      <c r="D741" s="3" t="s">
        <v>9</v>
      </c>
      <c r="E741" s="3" t="s">
        <v>5</v>
      </c>
      <c r="F741" s="3" t="s">
        <v>10</v>
      </c>
      <c r="G741" s="3" t="s">
        <v>1460</v>
      </c>
      <c r="H741" s="3" t="s">
        <v>1461</v>
      </c>
      <c r="I741" s="4">
        <v>3704.05</v>
      </c>
      <c r="J741" s="3" t="s">
        <v>11</v>
      </c>
    </row>
    <row r="742" spans="1:10" x14ac:dyDescent="0.35">
      <c r="A742" s="3">
        <v>103407955</v>
      </c>
      <c r="B742" s="3" t="s">
        <v>1462</v>
      </c>
      <c r="C742" s="3" t="str">
        <f t="shared" si="14"/>
        <v>2022-07-06</v>
      </c>
      <c r="D742" s="3" t="s">
        <v>9</v>
      </c>
      <c r="E742" s="3" t="s">
        <v>5</v>
      </c>
      <c r="F742" s="3" t="s">
        <v>10</v>
      </c>
      <c r="G742" s="3" t="s">
        <v>1463</v>
      </c>
      <c r="H742" s="3" t="s">
        <v>1464</v>
      </c>
      <c r="I742" s="3">
        <v>979</v>
      </c>
      <c r="J742" s="3" t="s">
        <v>11</v>
      </c>
    </row>
    <row r="743" spans="1:10" x14ac:dyDescent="0.35">
      <c r="A743" s="3">
        <v>103408111</v>
      </c>
      <c r="B743" s="3" t="s">
        <v>1465</v>
      </c>
      <c r="C743" s="3" t="str">
        <f t="shared" si="14"/>
        <v>2022-07-06</v>
      </c>
      <c r="D743" s="3" t="s">
        <v>9</v>
      </c>
      <c r="E743" s="3" t="s">
        <v>5</v>
      </c>
      <c r="F743" s="3" t="s">
        <v>10</v>
      </c>
      <c r="G743" s="3" t="s">
        <v>1466</v>
      </c>
      <c r="H743" s="3" t="s">
        <v>1467</v>
      </c>
      <c r="I743" s="4">
        <v>7075.6</v>
      </c>
      <c r="J743" s="3" t="s">
        <v>11</v>
      </c>
    </row>
    <row r="744" spans="1:10" x14ac:dyDescent="0.35">
      <c r="A744" s="3">
        <v>103407952</v>
      </c>
      <c r="B744" s="3" t="s">
        <v>1468</v>
      </c>
      <c r="C744" s="3" t="str">
        <f t="shared" si="14"/>
        <v>2022-07-06</v>
      </c>
      <c r="D744" s="3" t="s">
        <v>9</v>
      </c>
      <c r="E744" s="3" t="s">
        <v>5</v>
      </c>
      <c r="F744" s="3" t="s">
        <v>10</v>
      </c>
      <c r="G744" s="3" t="s">
        <v>1469</v>
      </c>
      <c r="H744" s="3" t="s">
        <v>1470</v>
      </c>
      <c r="I744" s="3">
        <v>691.69</v>
      </c>
      <c r="J744" s="3" t="s">
        <v>11</v>
      </c>
    </row>
    <row r="745" spans="1:10" x14ac:dyDescent="0.35">
      <c r="A745" s="3">
        <v>103408104</v>
      </c>
      <c r="B745" s="3" t="s">
        <v>1471</v>
      </c>
      <c r="C745" s="3" t="str">
        <f t="shared" si="14"/>
        <v>2022-07-06</v>
      </c>
      <c r="D745" s="3" t="s">
        <v>9</v>
      </c>
      <c r="E745" s="3" t="s">
        <v>5</v>
      </c>
      <c r="F745" s="3" t="s">
        <v>10</v>
      </c>
      <c r="G745" s="3" t="s">
        <v>1472</v>
      </c>
      <c r="H745" s="3" t="s">
        <v>1473</v>
      </c>
      <c r="I745" s="3">
        <v>910.1</v>
      </c>
      <c r="J745" s="3" t="s">
        <v>11</v>
      </c>
    </row>
    <row r="746" spans="1:10" x14ac:dyDescent="0.35">
      <c r="A746" s="3">
        <v>103407947</v>
      </c>
      <c r="B746" s="3" t="s">
        <v>1474</v>
      </c>
      <c r="C746" s="3" t="str">
        <f t="shared" si="14"/>
        <v>2022-07-06</v>
      </c>
      <c r="D746" s="3" t="s">
        <v>9</v>
      </c>
      <c r="E746" s="3" t="s">
        <v>5</v>
      </c>
      <c r="F746" s="3" t="s">
        <v>10</v>
      </c>
      <c r="G746" s="3" t="s">
        <v>1475</v>
      </c>
      <c r="H746" s="3" t="s">
        <v>1476</v>
      </c>
      <c r="I746" s="3">
        <v>669</v>
      </c>
      <c r="J746" s="3" t="s">
        <v>11</v>
      </c>
    </row>
    <row r="747" spans="1:10" x14ac:dyDescent="0.35">
      <c r="A747" s="3">
        <v>103408096</v>
      </c>
      <c r="B747" s="3" t="s">
        <v>1477</v>
      </c>
      <c r="C747" s="3" t="str">
        <f t="shared" si="14"/>
        <v>2022-07-06</v>
      </c>
      <c r="D747" s="3" t="s">
        <v>9</v>
      </c>
      <c r="E747" s="3" t="s">
        <v>5</v>
      </c>
      <c r="F747" s="3" t="s">
        <v>10</v>
      </c>
      <c r="G747" s="3" t="s">
        <v>1478</v>
      </c>
      <c r="H747" s="3" t="s">
        <v>1479</v>
      </c>
      <c r="I747" s="3">
        <v>521.54999999999995</v>
      </c>
      <c r="J747" s="3" t="s">
        <v>11</v>
      </c>
    </row>
    <row r="748" spans="1:10" x14ac:dyDescent="0.35">
      <c r="A748" s="3">
        <v>103407940</v>
      </c>
      <c r="B748" s="3" t="s">
        <v>1480</v>
      </c>
      <c r="C748" s="3" t="str">
        <f t="shared" si="14"/>
        <v>2022-07-06</v>
      </c>
      <c r="D748" s="3" t="s">
        <v>9</v>
      </c>
      <c r="E748" s="3" t="s">
        <v>5</v>
      </c>
      <c r="F748" s="3" t="s">
        <v>10</v>
      </c>
      <c r="G748" s="3" t="s">
        <v>1481</v>
      </c>
      <c r="H748" s="3" t="s">
        <v>1482</v>
      </c>
      <c r="I748" s="5">
        <v>1499</v>
      </c>
      <c r="J748" s="3" t="s">
        <v>11</v>
      </c>
    </row>
    <row r="749" spans="1:10" x14ac:dyDescent="0.35">
      <c r="A749" s="3">
        <v>103407939</v>
      </c>
      <c r="B749" s="3" t="s">
        <v>1483</v>
      </c>
      <c r="C749" s="3" t="str">
        <f t="shared" si="14"/>
        <v>2022-07-06</v>
      </c>
      <c r="D749" s="3" t="s">
        <v>9</v>
      </c>
      <c r="E749" s="3" t="s">
        <v>5</v>
      </c>
      <c r="F749" s="3" t="s">
        <v>10</v>
      </c>
      <c r="G749" s="3" t="s">
        <v>1484</v>
      </c>
      <c r="H749" s="3" t="s">
        <v>1485</v>
      </c>
      <c r="I749" s="4">
        <v>3989.05</v>
      </c>
      <c r="J749" s="3" t="s">
        <v>11</v>
      </c>
    </row>
    <row r="750" spans="1:10" x14ac:dyDescent="0.35">
      <c r="A750" s="3">
        <v>103407938</v>
      </c>
      <c r="B750" s="3" t="s">
        <v>1486</v>
      </c>
      <c r="C750" s="3" t="str">
        <f t="shared" si="14"/>
        <v>2022-07-06</v>
      </c>
      <c r="D750" s="3" t="s">
        <v>9</v>
      </c>
      <c r="E750" s="3" t="s">
        <v>5</v>
      </c>
      <c r="F750" s="3" t="s">
        <v>10</v>
      </c>
      <c r="G750" s="3" t="s">
        <v>1487</v>
      </c>
      <c r="H750" s="3" t="s">
        <v>1488</v>
      </c>
      <c r="I750" s="5">
        <v>1949</v>
      </c>
      <c r="J750" s="3" t="s">
        <v>11</v>
      </c>
    </row>
    <row r="751" spans="1:10" x14ac:dyDescent="0.35">
      <c r="A751" s="3">
        <v>103408080</v>
      </c>
      <c r="B751" s="3" t="s">
        <v>1489</v>
      </c>
      <c r="C751" s="3" t="str">
        <f t="shared" si="14"/>
        <v>2022-07-06</v>
      </c>
      <c r="D751" s="3" t="s">
        <v>9</v>
      </c>
      <c r="E751" s="3" t="s">
        <v>5</v>
      </c>
      <c r="F751" s="3" t="s">
        <v>10</v>
      </c>
      <c r="G751" s="3" t="s">
        <v>1490</v>
      </c>
      <c r="H751" s="3" t="s">
        <v>1491</v>
      </c>
      <c r="I751" s="5">
        <v>3207</v>
      </c>
      <c r="J751" s="3" t="s">
        <v>11</v>
      </c>
    </row>
    <row r="752" spans="1:10" x14ac:dyDescent="0.35">
      <c r="A752" s="3">
        <v>103408078</v>
      </c>
      <c r="B752" s="3" t="s">
        <v>1492</v>
      </c>
      <c r="C752" s="3" t="str">
        <f t="shared" si="14"/>
        <v>2022-07-06</v>
      </c>
      <c r="D752" s="3" t="s">
        <v>9</v>
      </c>
      <c r="E752" s="3" t="s">
        <v>5</v>
      </c>
      <c r="F752" s="3" t="s">
        <v>10</v>
      </c>
      <c r="G752" s="3" t="s">
        <v>1493</v>
      </c>
      <c r="H752" s="3" t="s">
        <v>1494</v>
      </c>
      <c r="I752" s="4">
        <v>1775.55</v>
      </c>
      <c r="J752" s="3" t="s">
        <v>11</v>
      </c>
    </row>
    <row r="753" spans="1:10" x14ac:dyDescent="0.35">
      <c r="A753" s="3">
        <v>103408073</v>
      </c>
      <c r="B753" s="3" t="s">
        <v>1495</v>
      </c>
      <c r="C753" s="3" t="str">
        <f t="shared" si="14"/>
        <v>2022-07-06</v>
      </c>
      <c r="D753" s="3" t="s">
        <v>9</v>
      </c>
      <c r="E753" s="3" t="s">
        <v>5</v>
      </c>
      <c r="F753" s="3" t="s">
        <v>10</v>
      </c>
      <c r="G753" s="3" t="s">
        <v>1496</v>
      </c>
      <c r="H753" s="3" t="s">
        <v>1497</v>
      </c>
      <c r="I753" s="4">
        <v>1994.05</v>
      </c>
      <c r="J753" s="3" t="s">
        <v>11</v>
      </c>
    </row>
    <row r="754" spans="1:10" x14ac:dyDescent="0.35">
      <c r="A754" s="3">
        <v>103408070</v>
      </c>
      <c r="B754" s="3" t="s">
        <v>1498</v>
      </c>
      <c r="C754" s="3" t="str">
        <f t="shared" si="14"/>
        <v>2022-07-06</v>
      </c>
      <c r="D754" s="3" t="s">
        <v>9</v>
      </c>
      <c r="E754" s="3" t="s">
        <v>5</v>
      </c>
      <c r="F754" s="3" t="s">
        <v>10</v>
      </c>
      <c r="G754" s="3" t="s">
        <v>1499</v>
      </c>
      <c r="H754" s="3" t="s">
        <v>1500</v>
      </c>
      <c r="I754" s="4">
        <v>2279.0500000000002</v>
      </c>
      <c r="J754" s="3" t="s">
        <v>11</v>
      </c>
    </row>
    <row r="755" spans="1:10" x14ac:dyDescent="0.35">
      <c r="A755" s="3">
        <v>103407934</v>
      </c>
      <c r="B755" s="3" t="s">
        <v>1501</v>
      </c>
      <c r="C755" s="3" t="str">
        <f t="shared" si="14"/>
        <v>2022-07-06</v>
      </c>
      <c r="D755" s="3" t="s">
        <v>9</v>
      </c>
      <c r="E755" s="3" t="s">
        <v>5</v>
      </c>
      <c r="F755" s="3" t="s">
        <v>10</v>
      </c>
      <c r="G755" s="3" t="s">
        <v>1502</v>
      </c>
      <c r="H755" s="3" t="s">
        <v>1503</v>
      </c>
      <c r="I755" s="5">
        <v>1169</v>
      </c>
      <c r="J755" s="3" t="s">
        <v>11</v>
      </c>
    </row>
    <row r="756" spans="1:10" x14ac:dyDescent="0.35">
      <c r="A756" s="3">
        <v>103408065</v>
      </c>
      <c r="B756" s="3" t="s">
        <v>1504</v>
      </c>
      <c r="C756" s="3" t="str">
        <f t="shared" si="14"/>
        <v>2022-07-06</v>
      </c>
      <c r="D756" s="3" t="s">
        <v>9</v>
      </c>
      <c r="E756" s="3" t="s">
        <v>5</v>
      </c>
      <c r="F756" s="3" t="s">
        <v>10</v>
      </c>
      <c r="G756" s="3" t="s">
        <v>1505</v>
      </c>
      <c r="H756" s="3" t="s">
        <v>1506</v>
      </c>
      <c r="I756" s="4">
        <v>1670.1</v>
      </c>
      <c r="J756" s="3" t="s">
        <v>11</v>
      </c>
    </row>
    <row r="757" spans="1:10" x14ac:dyDescent="0.35">
      <c r="A757" s="3">
        <v>103407931</v>
      </c>
      <c r="B757" s="3" t="s">
        <v>1507</v>
      </c>
      <c r="C757" s="3" t="str">
        <f t="shared" si="14"/>
        <v>2022-07-06</v>
      </c>
      <c r="D757" s="3" t="s">
        <v>9</v>
      </c>
      <c r="E757" s="3" t="s">
        <v>5</v>
      </c>
      <c r="F757" s="3" t="s">
        <v>12</v>
      </c>
      <c r="G757" s="3" t="s">
        <v>1508</v>
      </c>
      <c r="H757" s="3" t="s">
        <v>1509</v>
      </c>
      <c r="I757" s="3">
        <v>549</v>
      </c>
      <c r="J757" s="3" t="s">
        <v>11</v>
      </c>
    </row>
    <row r="758" spans="1:10" x14ac:dyDescent="0.35">
      <c r="A758" s="3">
        <v>103408059</v>
      </c>
      <c r="B758" s="3" t="s">
        <v>1510</v>
      </c>
      <c r="C758" s="3" t="str">
        <f t="shared" si="14"/>
        <v>2022-07-06</v>
      </c>
      <c r="D758" s="3" t="s">
        <v>9</v>
      </c>
      <c r="E758" s="3" t="s">
        <v>5</v>
      </c>
      <c r="F758" s="3" t="s">
        <v>10</v>
      </c>
      <c r="G758" s="3" t="s">
        <v>1511</v>
      </c>
      <c r="H758" s="3" t="s">
        <v>1512</v>
      </c>
      <c r="I758" s="4">
        <v>3324.05</v>
      </c>
      <c r="J758" s="3" t="s">
        <v>11</v>
      </c>
    </row>
    <row r="759" spans="1:10" x14ac:dyDescent="0.35">
      <c r="A759" s="3">
        <v>103407928</v>
      </c>
      <c r="B759" s="3" t="s">
        <v>1513</v>
      </c>
      <c r="C759" s="3" t="str">
        <f t="shared" si="14"/>
        <v>2022-07-06</v>
      </c>
      <c r="D759" s="3" t="s">
        <v>9</v>
      </c>
      <c r="E759" s="3" t="s">
        <v>5</v>
      </c>
      <c r="F759" s="3" t="s">
        <v>10</v>
      </c>
      <c r="G759" s="3" t="s">
        <v>1514</v>
      </c>
      <c r="H759" s="3" t="s">
        <v>1515</v>
      </c>
      <c r="I759" s="5">
        <v>2999</v>
      </c>
      <c r="J759" s="3" t="s">
        <v>11</v>
      </c>
    </row>
    <row r="760" spans="1:10" x14ac:dyDescent="0.35">
      <c r="A760" s="3">
        <v>103407927</v>
      </c>
      <c r="B760" s="3" t="s">
        <v>1516</v>
      </c>
      <c r="C760" s="3" t="str">
        <f t="shared" si="14"/>
        <v>2022-07-06</v>
      </c>
      <c r="D760" s="3" t="s">
        <v>9</v>
      </c>
      <c r="E760" s="3" t="s">
        <v>5</v>
      </c>
      <c r="F760" s="3" t="s">
        <v>10</v>
      </c>
      <c r="G760" s="3" t="s">
        <v>1517</v>
      </c>
      <c r="H760" s="3" t="s">
        <v>1518</v>
      </c>
      <c r="I760" s="4">
        <v>4274.05</v>
      </c>
      <c r="J760" s="3" t="s">
        <v>11</v>
      </c>
    </row>
    <row r="761" spans="1:10" x14ac:dyDescent="0.35">
      <c r="A761" s="3">
        <v>103407925</v>
      </c>
      <c r="B761" s="3" t="s">
        <v>1519</v>
      </c>
      <c r="C761" s="3" t="str">
        <f t="shared" si="14"/>
        <v>2022-07-06</v>
      </c>
      <c r="D761" s="3" t="s">
        <v>9</v>
      </c>
      <c r="E761" s="3" t="s">
        <v>5</v>
      </c>
      <c r="F761" s="3" t="s">
        <v>10</v>
      </c>
      <c r="G761" s="3" t="s">
        <v>1520</v>
      </c>
      <c r="H761" s="3" t="s">
        <v>1521</v>
      </c>
      <c r="I761" s="4">
        <v>3632.94</v>
      </c>
      <c r="J761" s="3" t="s">
        <v>11</v>
      </c>
    </row>
    <row r="762" spans="1:10" x14ac:dyDescent="0.35">
      <c r="A762" s="3">
        <v>103408055</v>
      </c>
      <c r="B762" s="3" t="s">
        <v>1522</v>
      </c>
      <c r="C762" s="3" t="str">
        <f t="shared" si="14"/>
        <v>2022-07-06</v>
      </c>
      <c r="D762" s="3" t="s">
        <v>9</v>
      </c>
      <c r="E762" s="3" t="s">
        <v>5</v>
      </c>
      <c r="F762" s="3" t="s">
        <v>10</v>
      </c>
      <c r="G762" s="3" t="s">
        <v>1523</v>
      </c>
      <c r="H762" s="3" t="s">
        <v>1524</v>
      </c>
      <c r="I762" s="4">
        <v>1888.6</v>
      </c>
      <c r="J762" s="3" t="s">
        <v>11</v>
      </c>
    </row>
    <row r="763" spans="1:10" x14ac:dyDescent="0.35">
      <c r="A763" s="3">
        <v>103407923</v>
      </c>
      <c r="B763" s="3" t="s">
        <v>1525</v>
      </c>
      <c r="C763" s="3" t="str">
        <f t="shared" si="14"/>
        <v>2022-07-06</v>
      </c>
      <c r="D763" s="3" t="s">
        <v>9</v>
      </c>
      <c r="E763" s="3" t="s">
        <v>5</v>
      </c>
      <c r="F763" s="3" t="s">
        <v>10</v>
      </c>
      <c r="G763" s="3" t="s">
        <v>1526</v>
      </c>
      <c r="H763" s="3" t="s">
        <v>1527</v>
      </c>
      <c r="I763" s="5">
        <v>2279</v>
      </c>
      <c r="J763" s="3" t="s">
        <v>11</v>
      </c>
    </row>
    <row r="764" spans="1:10" x14ac:dyDescent="0.35">
      <c r="A764" s="3">
        <v>103408049</v>
      </c>
      <c r="B764" s="3" t="s">
        <v>1528</v>
      </c>
      <c r="C764" s="3" t="str">
        <f t="shared" si="14"/>
        <v>2022-07-06</v>
      </c>
      <c r="D764" s="3" t="s">
        <v>9</v>
      </c>
      <c r="E764" s="3" t="s">
        <v>5</v>
      </c>
      <c r="F764" s="3" t="s">
        <v>10</v>
      </c>
      <c r="G764" s="3" t="s">
        <v>1529</v>
      </c>
      <c r="H764" s="3" t="s">
        <v>1530</v>
      </c>
      <c r="I764" s="3">
        <v>455.05</v>
      </c>
      <c r="J764" s="3" t="s">
        <v>11</v>
      </c>
    </row>
    <row r="765" spans="1:10" x14ac:dyDescent="0.35">
      <c r="A765" s="3">
        <v>103408045</v>
      </c>
      <c r="B765" s="3" t="s">
        <v>1531</v>
      </c>
      <c r="C765" s="3" t="str">
        <f t="shared" si="14"/>
        <v>2022-07-06</v>
      </c>
      <c r="D765" s="3" t="s">
        <v>9</v>
      </c>
      <c r="E765" s="3" t="s">
        <v>5</v>
      </c>
      <c r="F765" s="3" t="s">
        <v>10</v>
      </c>
      <c r="G765" s="3" t="s">
        <v>1532</v>
      </c>
      <c r="H765" s="3" t="s">
        <v>1533</v>
      </c>
      <c r="I765" s="4">
        <v>1775.55</v>
      </c>
      <c r="J765" s="3" t="s">
        <v>11</v>
      </c>
    </row>
    <row r="766" spans="1:10" x14ac:dyDescent="0.35">
      <c r="A766" s="3">
        <v>103408044</v>
      </c>
      <c r="B766" s="3" t="s">
        <v>1534</v>
      </c>
      <c r="C766" s="3" t="str">
        <f t="shared" si="14"/>
        <v>2022-07-06</v>
      </c>
      <c r="D766" s="3" t="s">
        <v>9</v>
      </c>
      <c r="E766" s="3" t="s">
        <v>5</v>
      </c>
      <c r="F766" s="3" t="s">
        <v>10</v>
      </c>
      <c r="G766" s="3" t="s">
        <v>1535</v>
      </c>
      <c r="H766" s="3" t="s">
        <v>1536</v>
      </c>
      <c r="I766" s="5">
        <v>1349</v>
      </c>
      <c r="J766" s="3" t="s">
        <v>11</v>
      </c>
    </row>
    <row r="767" spans="1:10" x14ac:dyDescent="0.35">
      <c r="A767" s="3">
        <v>103408041</v>
      </c>
      <c r="B767" s="3" t="s">
        <v>1537</v>
      </c>
      <c r="C767" s="3" t="str">
        <f t="shared" si="14"/>
        <v>2022-07-06</v>
      </c>
      <c r="D767" s="3" t="s">
        <v>9</v>
      </c>
      <c r="E767" s="3" t="s">
        <v>5</v>
      </c>
      <c r="F767" s="3" t="s">
        <v>10</v>
      </c>
      <c r="G767" s="3" t="s">
        <v>1538</v>
      </c>
      <c r="H767" s="3" t="s">
        <v>1539</v>
      </c>
      <c r="I767" s="5">
        <v>3038</v>
      </c>
      <c r="J767" s="3" t="s">
        <v>11</v>
      </c>
    </row>
    <row r="768" spans="1:10" x14ac:dyDescent="0.35">
      <c r="A768" s="3">
        <v>103407918</v>
      </c>
      <c r="B768" s="3" t="s">
        <v>1540</v>
      </c>
      <c r="C768" s="3" t="str">
        <f t="shared" si="14"/>
        <v>2022-07-06</v>
      </c>
      <c r="D768" s="3" t="s">
        <v>9</v>
      </c>
      <c r="E768" s="3" t="s">
        <v>5</v>
      </c>
      <c r="F768" s="3" t="s">
        <v>10</v>
      </c>
      <c r="G768" s="3" t="s">
        <v>1541</v>
      </c>
      <c r="H768" s="3" t="s">
        <v>1542</v>
      </c>
      <c r="I768" s="3">
        <v>629</v>
      </c>
      <c r="J768" s="3" t="s">
        <v>11</v>
      </c>
    </row>
    <row r="769" spans="1:10" x14ac:dyDescent="0.35">
      <c r="A769" s="3">
        <v>103408039</v>
      </c>
      <c r="B769" s="3" t="s">
        <v>1543</v>
      </c>
      <c r="C769" s="3" t="str">
        <f t="shared" si="14"/>
        <v>2022-07-06</v>
      </c>
      <c r="D769" s="3" t="s">
        <v>9</v>
      </c>
      <c r="E769" s="3" t="s">
        <v>5</v>
      </c>
      <c r="F769" s="3" t="s">
        <v>10</v>
      </c>
      <c r="G769" s="3" t="s">
        <v>1544</v>
      </c>
      <c r="H769" s="3" t="s">
        <v>1545</v>
      </c>
      <c r="I769" s="4">
        <v>3390.55</v>
      </c>
      <c r="J769" s="3" t="s">
        <v>11</v>
      </c>
    </row>
    <row r="770" spans="1:10" x14ac:dyDescent="0.35">
      <c r="A770" s="3">
        <v>103408035</v>
      </c>
      <c r="B770" s="3" t="s">
        <v>1546</v>
      </c>
      <c r="C770" s="3" t="str">
        <f t="shared" si="14"/>
        <v>2022-07-06</v>
      </c>
      <c r="D770" s="3" t="s">
        <v>9</v>
      </c>
      <c r="E770" s="3" t="s">
        <v>5</v>
      </c>
      <c r="F770" s="3" t="s">
        <v>10</v>
      </c>
      <c r="G770" s="3" t="s">
        <v>1547</v>
      </c>
      <c r="H770" s="3" t="s">
        <v>1548</v>
      </c>
      <c r="I770" s="4">
        <v>2326.5500000000002</v>
      </c>
      <c r="J770" s="3" t="s">
        <v>11</v>
      </c>
    </row>
    <row r="771" spans="1:10" x14ac:dyDescent="0.35">
      <c r="A771" s="3">
        <v>103407914</v>
      </c>
      <c r="B771" s="3" t="s">
        <v>1549</v>
      </c>
      <c r="C771" s="3" t="str">
        <f t="shared" ref="C771:C834" si="15">LEFT(B771,FIND("T",B771)-1)</f>
        <v>2022-07-06</v>
      </c>
      <c r="D771" s="3" t="s">
        <v>9</v>
      </c>
      <c r="E771" s="3" t="s">
        <v>5</v>
      </c>
      <c r="F771" s="3" t="s">
        <v>10</v>
      </c>
      <c r="G771" s="3" t="s">
        <v>1550</v>
      </c>
      <c r="H771" s="3" t="s">
        <v>1551</v>
      </c>
      <c r="I771" s="5">
        <v>2399</v>
      </c>
      <c r="J771" s="3" t="s">
        <v>11</v>
      </c>
    </row>
    <row r="772" spans="1:10" x14ac:dyDescent="0.35">
      <c r="A772" s="3">
        <v>103408034</v>
      </c>
      <c r="B772" s="3" t="s">
        <v>1549</v>
      </c>
      <c r="C772" s="3" t="str">
        <f t="shared" si="15"/>
        <v>2022-07-06</v>
      </c>
      <c r="D772" s="3" t="s">
        <v>9</v>
      </c>
      <c r="E772" s="3" t="s">
        <v>5</v>
      </c>
      <c r="F772" s="3" t="s">
        <v>10</v>
      </c>
      <c r="G772" s="3" t="s">
        <v>1552</v>
      </c>
      <c r="H772" s="3" t="s">
        <v>1553</v>
      </c>
      <c r="I772" s="5">
        <v>5999</v>
      </c>
      <c r="J772" s="3" t="s">
        <v>11</v>
      </c>
    </row>
    <row r="773" spans="1:10" x14ac:dyDescent="0.35">
      <c r="A773" s="3">
        <v>103407913</v>
      </c>
      <c r="B773" s="3" t="s">
        <v>1554</v>
      </c>
      <c r="C773" s="3" t="str">
        <f t="shared" si="15"/>
        <v>2022-07-06</v>
      </c>
      <c r="D773" s="3" t="s">
        <v>9</v>
      </c>
      <c r="E773" s="3" t="s">
        <v>5</v>
      </c>
      <c r="F773" s="3" t="s">
        <v>10</v>
      </c>
      <c r="G773" s="3" t="s">
        <v>1555</v>
      </c>
      <c r="H773" s="3" t="s">
        <v>1556</v>
      </c>
      <c r="I773" s="4">
        <v>2659.05</v>
      </c>
      <c r="J773" s="3" t="s">
        <v>11</v>
      </c>
    </row>
    <row r="774" spans="1:10" x14ac:dyDescent="0.35">
      <c r="A774" s="3">
        <v>103407912</v>
      </c>
      <c r="B774" s="3" t="s">
        <v>1557</v>
      </c>
      <c r="C774" s="3" t="str">
        <f t="shared" si="15"/>
        <v>2022-07-06</v>
      </c>
      <c r="D774" s="3" t="s">
        <v>9</v>
      </c>
      <c r="E774" s="3" t="s">
        <v>5</v>
      </c>
      <c r="F774" s="3" t="s">
        <v>10</v>
      </c>
      <c r="G774" s="3" t="s">
        <v>1558</v>
      </c>
      <c r="H774" s="3" t="s">
        <v>1559</v>
      </c>
      <c r="I774" s="4">
        <v>2083.87</v>
      </c>
      <c r="J774" s="3" t="s">
        <v>11</v>
      </c>
    </row>
    <row r="775" spans="1:10" x14ac:dyDescent="0.35">
      <c r="A775" s="3">
        <v>103407910</v>
      </c>
      <c r="B775" s="3" t="s">
        <v>1560</v>
      </c>
      <c r="C775" s="3" t="str">
        <f t="shared" si="15"/>
        <v>2022-07-06</v>
      </c>
      <c r="D775" s="3" t="s">
        <v>9</v>
      </c>
      <c r="E775" s="3" t="s">
        <v>5</v>
      </c>
      <c r="F775" s="3" t="s">
        <v>10</v>
      </c>
      <c r="G775" s="3" t="s">
        <v>1561</v>
      </c>
      <c r="H775" s="3" t="s">
        <v>1562</v>
      </c>
      <c r="I775" s="4">
        <v>2991.55</v>
      </c>
      <c r="J775" s="3" t="s">
        <v>11</v>
      </c>
    </row>
    <row r="776" spans="1:10" x14ac:dyDescent="0.35">
      <c r="A776" s="3">
        <v>103407909</v>
      </c>
      <c r="B776" s="3" t="s">
        <v>1563</v>
      </c>
      <c r="C776" s="3" t="str">
        <f t="shared" si="15"/>
        <v>2022-07-06</v>
      </c>
      <c r="D776" s="3" t="s">
        <v>9</v>
      </c>
      <c r="E776" s="3" t="s">
        <v>5</v>
      </c>
      <c r="F776" s="3" t="s">
        <v>12</v>
      </c>
      <c r="G776" s="3" t="s">
        <v>373</v>
      </c>
      <c r="H776" s="3" t="s">
        <v>374</v>
      </c>
      <c r="I776" s="3">
        <v>669</v>
      </c>
      <c r="J776" s="3" t="s">
        <v>11</v>
      </c>
    </row>
    <row r="777" spans="1:10" x14ac:dyDescent="0.35">
      <c r="A777" s="3">
        <v>103407908</v>
      </c>
      <c r="B777" s="3" t="s">
        <v>1564</v>
      </c>
      <c r="C777" s="3" t="str">
        <f t="shared" si="15"/>
        <v>2022-07-06</v>
      </c>
      <c r="D777" s="3" t="s">
        <v>9</v>
      </c>
      <c r="E777" s="3" t="s">
        <v>5</v>
      </c>
      <c r="F777" s="3" t="s">
        <v>10</v>
      </c>
      <c r="G777" s="3" t="s">
        <v>1565</v>
      </c>
      <c r="H777" s="3" t="s">
        <v>1566</v>
      </c>
      <c r="I777" s="4">
        <v>2773.05</v>
      </c>
      <c r="J777" s="3" t="s">
        <v>11</v>
      </c>
    </row>
    <row r="778" spans="1:10" x14ac:dyDescent="0.35">
      <c r="A778" s="3">
        <v>103407906</v>
      </c>
      <c r="B778" s="3" t="s">
        <v>1567</v>
      </c>
      <c r="C778" s="3" t="str">
        <f t="shared" si="15"/>
        <v>2022-07-06</v>
      </c>
      <c r="D778" s="3" t="s">
        <v>9</v>
      </c>
      <c r="E778" s="3" t="s">
        <v>5</v>
      </c>
      <c r="F778" s="3" t="s">
        <v>10</v>
      </c>
      <c r="G778" s="3" t="s">
        <v>1568</v>
      </c>
      <c r="H778" s="3" t="s">
        <v>1569</v>
      </c>
      <c r="I778" s="4">
        <v>2339.1</v>
      </c>
      <c r="J778" s="3" t="s">
        <v>11</v>
      </c>
    </row>
    <row r="779" spans="1:10" x14ac:dyDescent="0.35">
      <c r="A779" s="3">
        <v>103408028</v>
      </c>
      <c r="B779" s="3" t="s">
        <v>1570</v>
      </c>
      <c r="C779" s="3" t="str">
        <f t="shared" si="15"/>
        <v>2022-07-06</v>
      </c>
      <c r="D779" s="3" t="s">
        <v>9</v>
      </c>
      <c r="E779" s="3" t="s">
        <v>5</v>
      </c>
      <c r="F779" s="3" t="s">
        <v>10</v>
      </c>
      <c r="G779" s="3" t="s">
        <v>1571</v>
      </c>
      <c r="H779" s="3" t="s">
        <v>1572</v>
      </c>
      <c r="I779" s="4">
        <v>7294.19</v>
      </c>
      <c r="J779" s="3" t="s">
        <v>11</v>
      </c>
    </row>
    <row r="780" spans="1:10" x14ac:dyDescent="0.35">
      <c r="A780" s="3">
        <v>103408019</v>
      </c>
      <c r="B780" s="3" t="s">
        <v>1573</v>
      </c>
      <c r="C780" s="3" t="str">
        <f t="shared" si="15"/>
        <v>2022-07-06</v>
      </c>
      <c r="D780" s="3" t="s">
        <v>9</v>
      </c>
      <c r="E780" s="3" t="s">
        <v>5</v>
      </c>
      <c r="F780" s="3" t="s">
        <v>10</v>
      </c>
      <c r="G780" s="3" t="s">
        <v>1574</v>
      </c>
      <c r="H780" s="3" t="s">
        <v>1575</v>
      </c>
      <c r="I780" s="4">
        <v>1136.25</v>
      </c>
      <c r="J780" s="3" t="s">
        <v>11</v>
      </c>
    </row>
    <row r="781" spans="1:10" x14ac:dyDescent="0.35">
      <c r="A781" s="3">
        <v>103407905</v>
      </c>
      <c r="B781" s="3" t="s">
        <v>1576</v>
      </c>
      <c r="C781" s="3" t="str">
        <f t="shared" si="15"/>
        <v>2022-07-06</v>
      </c>
      <c r="D781" s="3" t="s">
        <v>9</v>
      </c>
      <c r="E781" s="3" t="s">
        <v>5</v>
      </c>
      <c r="F781" s="3" t="s">
        <v>10</v>
      </c>
      <c r="G781" s="3" t="s">
        <v>1577</v>
      </c>
      <c r="H781" s="3" t="s">
        <v>1578</v>
      </c>
      <c r="I781" s="5">
        <v>1599</v>
      </c>
      <c r="J781" s="3" t="s">
        <v>11</v>
      </c>
    </row>
    <row r="782" spans="1:10" x14ac:dyDescent="0.35">
      <c r="A782" s="3">
        <v>103408018</v>
      </c>
      <c r="B782" s="3" t="s">
        <v>1579</v>
      </c>
      <c r="C782" s="3" t="str">
        <f t="shared" si="15"/>
        <v>2022-07-06</v>
      </c>
      <c r="D782" s="3" t="s">
        <v>9</v>
      </c>
      <c r="E782" s="3" t="s">
        <v>5</v>
      </c>
      <c r="F782" s="3" t="s">
        <v>10</v>
      </c>
      <c r="G782" s="3" t="s">
        <v>1580</v>
      </c>
      <c r="H782" s="3" t="s">
        <v>1581</v>
      </c>
      <c r="I782" s="4">
        <v>5984.05</v>
      </c>
      <c r="J782" s="3" t="s">
        <v>11</v>
      </c>
    </row>
    <row r="783" spans="1:10" x14ac:dyDescent="0.35">
      <c r="A783" s="3">
        <v>103408015</v>
      </c>
      <c r="B783" s="3" t="s">
        <v>1582</v>
      </c>
      <c r="C783" s="3" t="str">
        <f t="shared" si="15"/>
        <v>2022-07-06</v>
      </c>
      <c r="D783" s="3" t="s">
        <v>9</v>
      </c>
      <c r="E783" s="3" t="s">
        <v>5</v>
      </c>
      <c r="F783" s="3" t="s">
        <v>10</v>
      </c>
      <c r="G783" s="3" t="s">
        <v>1583</v>
      </c>
      <c r="H783" s="3" t="s">
        <v>1584</v>
      </c>
      <c r="I783" s="4">
        <v>2469.0500000000002</v>
      </c>
      <c r="J783" s="3" t="s">
        <v>11</v>
      </c>
    </row>
    <row r="784" spans="1:10" x14ac:dyDescent="0.35">
      <c r="A784" s="3">
        <v>103408006</v>
      </c>
      <c r="B784" s="3" t="s">
        <v>1585</v>
      </c>
      <c r="C784" s="3" t="str">
        <f t="shared" si="15"/>
        <v>2022-07-06</v>
      </c>
      <c r="D784" s="3" t="s">
        <v>9</v>
      </c>
      <c r="E784" s="3" t="s">
        <v>5</v>
      </c>
      <c r="F784" s="3" t="s">
        <v>12</v>
      </c>
      <c r="G784" s="3" t="s">
        <v>1586</v>
      </c>
      <c r="H784" s="3" t="s">
        <v>1587</v>
      </c>
      <c r="I784" s="5">
        <v>1528</v>
      </c>
      <c r="J784" s="3" t="s">
        <v>11</v>
      </c>
    </row>
    <row r="785" spans="1:10" x14ac:dyDescent="0.35">
      <c r="A785" s="3">
        <v>103407898</v>
      </c>
      <c r="B785" s="3" t="s">
        <v>1588</v>
      </c>
      <c r="C785" s="3" t="str">
        <f t="shared" si="15"/>
        <v>2022-07-06</v>
      </c>
      <c r="D785" s="3" t="s">
        <v>9</v>
      </c>
      <c r="E785" s="3" t="s">
        <v>5</v>
      </c>
      <c r="F785" s="3" t="s">
        <v>10</v>
      </c>
      <c r="G785" s="3" t="s">
        <v>1589</v>
      </c>
      <c r="H785" s="3" t="s">
        <v>1590</v>
      </c>
      <c r="I785" s="5">
        <v>2199</v>
      </c>
      <c r="J785" s="3" t="s">
        <v>11</v>
      </c>
    </row>
    <row r="786" spans="1:10" x14ac:dyDescent="0.35">
      <c r="A786" s="3">
        <v>103407897</v>
      </c>
      <c r="B786" s="3" t="s">
        <v>1591</v>
      </c>
      <c r="C786" s="3" t="str">
        <f t="shared" si="15"/>
        <v>2022-07-06</v>
      </c>
      <c r="D786" s="3" t="s">
        <v>9</v>
      </c>
      <c r="E786" s="3" t="s">
        <v>5</v>
      </c>
      <c r="F786" s="3" t="s">
        <v>10</v>
      </c>
      <c r="G786" s="3" t="s">
        <v>1592</v>
      </c>
      <c r="H786" s="3" t="s">
        <v>1593</v>
      </c>
      <c r="I786" s="5">
        <v>1119</v>
      </c>
      <c r="J786" s="3" t="s">
        <v>11</v>
      </c>
    </row>
    <row r="787" spans="1:10" x14ac:dyDescent="0.35">
      <c r="A787" s="3">
        <v>103407982</v>
      </c>
      <c r="B787" s="3" t="s">
        <v>1594</v>
      </c>
      <c r="C787" s="3" t="str">
        <f t="shared" si="15"/>
        <v>2022-07-06</v>
      </c>
      <c r="D787" s="3" t="s">
        <v>9</v>
      </c>
      <c r="E787" s="3" t="s">
        <v>5</v>
      </c>
      <c r="F787" s="3" t="s">
        <v>10</v>
      </c>
      <c r="G787" s="3" t="s">
        <v>1595</v>
      </c>
      <c r="H787" s="3" t="s">
        <v>1596</v>
      </c>
      <c r="I787" s="3">
        <v>629</v>
      </c>
      <c r="J787" s="3" t="s">
        <v>11</v>
      </c>
    </row>
    <row r="788" spans="1:10" x14ac:dyDescent="0.35">
      <c r="A788" s="3">
        <v>103407980</v>
      </c>
      <c r="B788" s="3" t="s">
        <v>1597</v>
      </c>
      <c r="C788" s="3" t="str">
        <f t="shared" si="15"/>
        <v>2022-07-06</v>
      </c>
      <c r="D788" s="3" t="s">
        <v>9</v>
      </c>
      <c r="E788" s="3" t="s">
        <v>5</v>
      </c>
      <c r="F788" s="3" t="s">
        <v>10</v>
      </c>
      <c r="G788" s="3" t="s">
        <v>1598</v>
      </c>
      <c r="H788" s="3" t="s">
        <v>1599</v>
      </c>
      <c r="I788" s="5">
        <v>1399</v>
      </c>
      <c r="J788" s="3" t="s">
        <v>11</v>
      </c>
    </row>
    <row r="789" spans="1:10" x14ac:dyDescent="0.35">
      <c r="A789" s="3">
        <v>103407979</v>
      </c>
      <c r="B789" s="3" t="s">
        <v>1600</v>
      </c>
      <c r="C789" s="3" t="str">
        <f t="shared" si="15"/>
        <v>2022-07-06</v>
      </c>
      <c r="D789" s="3" t="s">
        <v>9</v>
      </c>
      <c r="E789" s="3" t="s">
        <v>5</v>
      </c>
      <c r="F789" s="3" t="s">
        <v>10</v>
      </c>
      <c r="G789" s="3" t="s">
        <v>1601</v>
      </c>
      <c r="H789" s="3" t="s">
        <v>1602</v>
      </c>
      <c r="I789" s="4">
        <v>3761.14</v>
      </c>
      <c r="J789" s="3" t="s">
        <v>11</v>
      </c>
    </row>
    <row r="790" spans="1:10" x14ac:dyDescent="0.35">
      <c r="A790" s="3">
        <v>103407978</v>
      </c>
      <c r="B790" s="3" t="s">
        <v>1603</v>
      </c>
      <c r="C790" s="3" t="str">
        <f t="shared" si="15"/>
        <v>2022-07-06</v>
      </c>
      <c r="D790" s="3" t="s">
        <v>9</v>
      </c>
      <c r="E790" s="3" t="s">
        <v>5</v>
      </c>
      <c r="F790" s="3" t="s">
        <v>10</v>
      </c>
      <c r="G790" s="3" t="s">
        <v>1604</v>
      </c>
      <c r="H790" s="3" t="s">
        <v>1605</v>
      </c>
      <c r="I790" s="3">
        <v>999.49</v>
      </c>
      <c r="J790" s="3" t="s">
        <v>11</v>
      </c>
    </row>
    <row r="791" spans="1:10" x14ac:dyDescent="0.35">
      <c r="A791" s="3">
        <v>103407891</v>
      </c>
      <c r="B791" s="3" t="s">
        <v>1606</v>
      </c>
      <c r="C791" s="3" t="str">
        <f t="shared" si="15"/>
        <v>2022-07-06</v>
      </c>
      <c r="D791" s="3" t="s">
        <v>9</v>
      </c>
      <c r="E791" s="3" t="s">
        <v>5</v>
      </c>
      <c r="F791" s="3" t="s">
        <v>10</v>
      </c>
      <c r="G791" s="3" t="s">
        <v>1607</v>
      </c>
      <c r="H791" s="3" t="s">
        <v>1608</v>
      </c>
      <c r="I791" s="4">
        <v>4939.05</v>
      </c>
      <c r="J791" s="3" t="s">
        <v>11</v>
      </c>
    </row>
    <row r="792" spans="1:10" x14ac:dyDescent="0.35">
      <c r="A792" s="3">
        <v>103407890</v>
      </c>
      <c r="B792" s="3" t="s">
        <v>1609</v>
      </c>
      <c r="C792" s="3" t="str">
        <f t="shared" si="15"/>
        <v>2022-07-06</v>
      </c>
      <c r="D792" s="3" t="s">
        <v>9</v>
      </c>
      <c r="E792" s="3" t="s">
        <v>5</v>
      </c>
      <c r="F792" s="3" t="s">
        <v>12</v>
      </c>
      <c r="G792" s="3" t="s">
        <v>1610</v>
      </c>
      <c r="H792" s="3" t="s">
        <v>1611</v>
      </c>
      <c r="I792" s="4">
        <v>2666.74</v>
      </c>
      <c r="J792" s="3" t="s">
        <v>11</v>
      </c>
    </row>
    <row r="793" spans="1:10" x14ac:dyDescent="0.35">
      <c r="A793" s="3">
        <v>103407969</v>
      </c>
      <c r="B793" s="3" t="s">
        <v>1612</v>
      </c>
      <c r="C793" s="3" t="str">
        <f t="shared" si="15"/>
        <v>2022-07-06</v>
      </c>
      <c r="D793" s="3" t="s">
        <v>9</v>
      </c>
      <c r="E793" s="3" t="s">
        <v>5</v>
      </c>
      <c r="F793" s="3" t="s">
        <v>10</v>
      </c>
      <c r="G793" s="3" t="s">
        <v>1613</v>
      </c>
      <c r="H793" s="3" t="s">
        <v>1614</v>
      </c>
      <c r="I793" s="3">
        <v>389</v>
      </c>
      <c r="J793" s="3" t="s">
        <v>11</v>
      </c>
    </row>
    <row r="794" spans="1:10" x14ac:dyDescent="0.35">
      <c r="A794" s="3">
        <v>103407861</v>
      </c>
      <c r="B794" s="3" t="s">
        <v>1615</v>
      </c>
      <c r="C794" s="3" t="str">
        <f t="shared" si="15"/>
        <v>2022-07-06</v>
      </c>
      <c r="D794" s="3" t="s">
        <v>9</v>
      </c>
      <c r="E794" s="3" t="s">
        <v>5</v>
      </c>
      <c r="F794" s="3" t="s">
        <v>12</v>
      </c>
      <c r="G794" s="3" t="s">
        <v>1616</v>
      </c>
      <c r="H794" s="3" t="s">
        <v>1617</v>
      </c>
      <c r="I794" s="4">
        <v>4691.1000000000004</v>
      </c>
      <c r="J794" s="3" t="s">
        <v>11</v>
      </c>
    </row>
    <row r="795" spans="1:10" x14ac:dyDescent="0.35">
      <c r="A795" s="3">
        <v>103407852</v>
      </c>
      <c r="B795" s="3" t="s">
        <v>1618</v>
      </c>
      <c r="C795" s="3" t="str">
        <f t="shared" si="15"/>
        <v>2022-07-06</v>
      </c>
      <c r="D795" s="3" t="s">
        <v>9</v>
      </c>
      <c r="E795" s="3" t="s">
        <v>5</v>
      </c>
      <c r="F795" s="3" t="s">
        <v>10</v>
      </c>
      <c r="G795" s="3" t="s">
        <v>1619</v>
      </c>
      <c r="H795" s="3" t="s">
        <v>1620</v>
      </c>
      <c r="I795" s="5">
        <v>3599</v>
      </c>
      <c r="J795" s="3" t="s">
        <v>11</v>
      </c>
    </row>
    <row r="796" spans="1:10" x14ac:dyDescent="0.35">
      <c r="A796" s="3">
        <v>103407849</v>
      </c>
      <c r="B796" s="3" t="s">
        <v>1621</v>
      </c>
      <c r="C796" s="3" t="str">
        <f t="shared" si="15"/>
        <v>2022-07-06</v>
      </c>
      <c r="D796" s="3" t="s">
        <v>9</v>
      </c>
      <c r="E796" s="3" t="s">
        <v>5</v>
      </c>
      <c r="F796" s="3" t="s">
        <v>10</v>
      </c>
      <c r="G796" s="3" t="s">
        <v>1622</v>
      </c>
      <c r="H796" s="3" t="s">
        <v>1623</v>
      </c>
      <c r="I796" s="3">
        <v>369.55</v>
      </c>
      <c r="J796" s="3" t="s">
        <v>11</v>
      </c>
    </row>
    <row r="797" spans="1:10" x14ac:dyDescent="0.35">
      <c r="A797" s="3">
        <v>103407848</v>
      </c>
      <c r="B797" s="3" t="s">
        <v>1624</v>
      </c>
      <c r="C797" s="3" t="str">
        <f t="shared" si="15"/>
        <v>2022-07-06</v>
      </c>
      <c r="D797" s="3" t="s">
        <v>9</v>
      </c>
      <c r="E797" s="3" t="s">
        <v>5</v>
      </c>
      <c r="F797" s="3" t="s">
        <v>10</v>
      </c>
      <c r="G797" s="3" t="s">
        <v>1625</v>
      </c>
      <c r="H797" s="3" t="s">
        <v>1626</v>
      </c>
      <c r="I797" s="4">
        <v>2469.0500000000002</v>
      </c>
      <c r="J797" s="3" t="s">
        <v>11</v>
      </c>
    </row>
    <row r="798" spans="1:10" x14ac:dyDescent="0.35">
      <c r="A798" s="3">
        <v>103407846</v>
      </c>
      <c r="B798" s="3" t="s">
        <v>1627</v>
      </c>
      <c r="C798" s="3" t="str">
        <f t="shared" si="15"/>
        <v>2022-07-06</v>
      </c>
      <c r="D798" s="3" t="s">
        <v>9</v>
      </c>
      <c r="E798" s="3" t="s">
        <v>5</v>
      </c>
      <c r="F798" s="3" t="s">
        <v>10</v>
      </c>
      <c r="G798" s="3" t="s">
        <v>1628</v>
      </c>
      <c r="H798" s="3" t="s">
        <v>1629</v>
      </c>
      <c r="I798" s="4">
        <v>1424.05</v>
      </c>
      <c r="J798" s="3" t="s">
        <v>11</v>
      </c>
    </row>
    <row r="799" spans="1:10" x14ac:dyDescent="0.35">
      <c r="A799" s="3">
        <v>103407843</v>
      </c>
      <c r="B799" s="3" t="s">
        <v>1630</v>
      </c>
      <c r="C799" s="3" t="str">
        <f t="shared" si="15"/>
        <v>2022-07-06</v>
      </c>
      <c r="D799" s="3" t="s">
        <v>9</v>
      </c>
      <c r="E799" s="3" t="s">
        <v>5</v>
      </c>
      <c r="F799" s="3" t="s">
        <v>10</v>
      </c>
      <c r="G799" s="3" t="s">
        <v>1631</v>
      </c>
      <c r="H799" s="3" t="s">
        <v>1632</v>
      </c>
      <c r="I799" s="5">
        <v>2919</v>
      </c>
      <c r="J799" s="3" t="s">
        <v>11</v>
      </c>
    </row>
    <row r="800" spans="1:10" x14ac:dyDescent="0.35">
      <c r="A800" s="3">
        <v>103407841</v>
      </c>
      <c r="B800" s="3" t="s">
        <v>1633</v>
      </c>
      <c r="C800" s="3" t="str">
        <f t="shared" si="15"/>
        <v>2022-07-06</v>
      </c>
      <c r="D800" s="3" t="s">
        <v>9</v>
      </c>
      <c r="E800" s="3" t="s">
        <v>5</v>
      </c>
      <c r="F800" s="3" t="s">
        <v>10</v>
      </c>
      <c r="G800" s="3" t="s">
        <v>1634</v>
      </c>
      <c r="H800" s="3" t="s">
        <v>1635</v>
      </c>
      <c r="I800" s="5">
        <v>2249</v>
      </c>
      <c r="J800" s="3" t="s">
        <v>11</v>
      </c>
    </row>
    <row r="801" spans="1:10" x14ac:dyDescent="0.35">
      <c r="A801" s="3">
        <v>103407876</v>
      </c>
      <c r="B801" s="3" t="s">
        <v>1636</v>
      </c>
      <c r="C801" s="3" t="str">
        <f t="shared" si="15"/>
        <v>2022-07-06</v>
      </c>
      <c r="D801" s="3" t="s">
        <v>9</v>
      </c>
      <c r="E801" s="3" t="s">
        <v>5</v>
      </c>
      <c r="F801" s="3" t="s">
        <v>10</v>
      </c>
      <c r="G801" s="3" t="s">
        <v>1637</v>
      </c>
      <c r="H801" s="3" t="s">
        <v>1638</v>
      </c>
      <c r="I801" s="5">
        <v>5849</v>
      </c>
      <c r="J801" s="3" t="s">
        <v>11</v>
      </c>
    </row>
    <row r="802" spans="1:10" x14ac:dyDescent="0.35">
      <c r="A802" s="3">
        <v>103407874</v>
      </c>
      <c r="B802" s="3" t="s">
        <v>1639</v>
      </c>
      <c r="C802" s="3" t="str">
        <f t="shared" si="15"/>
        <v>2022-07-06</v>
      </c>
      <c r="D802" s="3" t="s">
        <v>9</v>
      </c>
      <c r="E802" s="3" t="s">
        <v>5</v>
      </c>
      <c r="F802" s="3" t="s">
        <v>10</v>
      </c>
      <c r="G802" s="3" t="s">
        <v>1640</v>
      </c>
      <c r="H802" s="3" t="s">
        <v>1641</v>
      </c>
      <c r="I802" s="5">
        <v>2249</v>
      </c>
      <c r="J802" s="3" t="s">
        <v>11</v>
      </c>
    </row>
    <row r="803" spans="1:10" x14ac:dyDescent="0.35">
      <c r="A803" s="3">
        <v>103407836</v>
      </c>
      <c r="B803" s="3" t="s">
        <v>1642</v>
      </c>
      <c r="C803" s="3" t="str">
        <f t="shared" si="15"/>
        <v>2022-07-06</v>
      </c>
      <c r="D803" s="3" t="s">
        <v>9</v>
      </c>
      <c r="E803" s="3" t="s">
        <v>5</v>
      </c>
      <c r="F803" s="3" t="s">
        <v>10</v>
      </c>
      <c r="G803" s="3" t="s">
        <v>1643</v>
      </c>
      <c r="H803" s="3" t="s">
        <v>1644</v>
      </c>
      <c r="I803" s="4">
        <v>3989.05</v>
      </c>
      <c r="J803" s="3" t="s">
        <v>11</v>
      </c>
    </row>
    <row r="804" spans="1:10" x14ac:dyDescent="0.35">
      <c r="A804" s="3">
        <v>103407832</v>
      </c>
      <c r="B804" s="3" t="s">
        <v>1645</v>
      </c>
      <c r="C804" s="3" t="str">
        <f t="shared" si="15"/>
        <v>2022-07-06</v>
      </c>
      <c r="D804" s="3" t="s">
        <v>9</v>
      </c>
      <c r="E804" s="3" t="s">
        <v>5</v>
      </c>
      <c r="F804" s="3" t="s">
        <v>10</v>
      </c>
      <c r="G804" s="3" t="s">
        <v>1646</v>
      </c>
      <c r="H804" s="3" t="s">
        <v>1647</v>
      </c>
      <c r="I804" s="4">
        <v>3040.52</v>
      </c>
      <c r="J804" s="3" t="s">
        <v>11</v>
      </c>
    </row>
    <row r="805" spans="1:10" x14ac:dyDescent="0.35">
      <c r="A805" s="3">
        <v>103407829</v>
      </c>
      <c r="B805" s="3" t="s">
        <v>1648</v>
      </c>
      <c r="C805" s="3" t="str">
        <f t="shared" si="15"/>
        <v>2022-07-06</v>
      </c>
      <c r="D805" s="3" t="s">
        <v>9</v>
      </c>
      <c r="E805" s="3" t="s">
        <v>5</v>
      </c>
      <c r="F805" s="3" t="s">
        <v>10</v>
      </c>
      <c r="G805" s="3" t="s">
        <v>1649</v>
      </c>
      <c r="H805" s="3" t="s">
        <v>1650</v>
      </c>
      <c r="I805" s="3">
        <v>359</v>
      </c>
      <c r="J805" s="3" t="s">
        <v>11</v>
      </c>
    </row>
    <row r="806" spans="1:10" x14ac:dyDescent="0.35">
      <c r="A806" s="3">
        <v>103407828</v>
      </c>
      <c r="B806" s="3" t="s">
        <v>1651</v>
      </c>
      <c r="C806" s="3" t="str">
        <f t="shared" si="15"/>
        <v>2022-07-06</v>
      </c>
      <c r="D806" s="3" t="s">
        <v>9</v>
      </c>
      <c r="E806" s="3" t="s">
        <v>5</v>
      </c>
      <c r="F806" s="3" t="s">
        <v>10</v>
      </c>
      <c r="G806" s="3" t="s">
        <v>1652</v>
      </c>
      <c r="H806" s="3" t="s">
        <v>1653</v>
      </c>
      <c r="I806" s="4">
        <v>5129.05</v>
      </c>
      <c r="J806" s="3" t="s">
        <v>11</v>
      </c>
    </row>
    <row r="807" spans="1:10" x14ac:dyDescent="0.35">
      <c r="A807" s="3">
        <v>103407867</v>
      </c>
      <c r="B807" s="3" t="s">
        <v>1654</v>
      </c>
      <c r="C807" s="3" t="str">
        <f t="shared" si="15"/>
        <v>2022-07-06</v>
      </c>
      <c r="D807" s="3" t="s">
        <v>9</v>
      </c>
      <c r="E807" s="3" t="s">
        <v>5</v>
      </c>
      <c r="F807" s="3" t="s">
        <v>10</v>
      </c>
      <c r="G807" s="3" t="s">
        <v>1655</v>
      </c>
      <c r="H807" s="3" t="s">
        <v>1656</v>
      </c>
      <c r="I807" s="4">
        <v>1578.47</v>
      </c>
      <c r="J807" s="3" t="s">
        <v>11</v>
      </c>
    </row>
    <row r="808" spans="1:10" x14ac:dyDescent="0.35">
      <c r="A808" s="3">
        <v>103407823</v>
      </c>
      <c r="B808" s="3" t="s">
        <v>1657</v>
      </c>
      <c r="C808" s="3" t="str">
        <f t="shared" si="15"/>
        <v>2022-07-06</v>
      </c>
      <c r="D808" s="3" t="s">
        <v>9</v>
      </c>
      <c r="E808" s="3" t="s">
        <v>5</v>
      </c>
      <c r="F808" s="3" t="s">
        <v>10</v>
      </c>
      <c r="G808" s="3" t="s">
        <v>1658</v>
      </c>
      <c r="H808" s="3" t="s">
        <v>1659</v>
      </c>
      <c r="I808" s="3">
        <v>350.55</v>
      </c>
      <c r="J808" s="3" t="s">
        <v>11</v>
      </c>
    </row>
    <row r="809" spans="1:10" x14ac:dyDescent="0.35">
      <c r="A809" s="3">
        <v>103407760</v>
      </c>
      <c r="B809" s="3" t="s">
        <v>1660</v>
      </c>
      <c r="C809" s="3" t="str">
        <f t="shared" si="15"/>
        <v>2022-07-06</v>
      </c>
      <c r="D809" s="3" t="s">
        <v>9</v>
      </c>
      <c r="E809" s="3" t="s">
        <v>5</v>
      </c>
      <c r="F809" s="3" t="s">
        <v>10</v>
      </c>
      <c r="G809" s="3" t="s">
        <v>998</v>
      </c>
      <c r="H809" s="3" t="s">
        <v>999</v>
      </c>
      <c r="I809" s="5">
        <v>5048</v>
      </c>
      <c r="J809" s="3" t="s">
        <v>11</v>
      </c>
    </row>
    <row r="810" spans="1:10" x14ac:dyDescent="0.35">
      <c r="A810" s="3">
        <v>103407817</v>
      </c>
      <c r="B810" s="3" t="s">
        <v>1661</v>
      </c>
      <c r="C810" s="3" t="str">
        <f t="shared" si="15"/>
        <v>2022-07-06</v>
      </c>
      <c r="D810" s="3" t="s">
        <v>9</v>
      </c>
      <c r="E810" s="3" t="s">
        <v>5</v>
      </c>
      <c r="F810" s="3" t="s">
        <v>10</v>
      </c>
      <c r="G810" s="3" t="s">
        <v>1649</v>
      </c>
      <c r="H810" s="3" t="s">
        <v>1650</v>
      </c>
      <c r="I810" s="3">
        <v>758</v>
      </c>
      <c r="J810" s="3" t="s">
        <v>11</v>
      </c>
    </row>
    <row r="811" spans="1:10" x14ac:dyDescent="0.35">
      <c r="A811" s="3">
        <v>103407752</v>
      </c>
      <c r="B811" s="3" t="s">
        <v>1662</v>
      </c>
      <c r="C811" s="3" t="str">
        <f t="shared" si="15"/>
        <v>2022-07-06</v>
      </c>
      <c r="D811" s="3" t="s">
        <v>9</v>
      </c>
      <c r="E811" s="3" t="s">
        <v>5</v>
      </c>
      <c r="F811" s="3" t="s">
        <v>10</v>
      </c>
      <c r="G811" s="3" t="s">
        <v>1663</v>
      </c>
      <c r="H811" s="3" t="s">
        <v>1664</v>
      </c>
      <c r="I811" s="4">
        <v>5129.05</v>
      </c>
      <c r="J811" s="3" t="s">
        <v>11</v>
      </c>
    </row>
    <row r="812" spans="1:10" x14ac:dyDescent="0.35">
      <c r="A812" s="3">
        <v>103407805</v>
      </c>
      <c r="B812" s="3" t="s">
        <v>1665</v>
      </c>
      <c r="C812" s="3" t="str">
        <f t="shared" si="15"/>
        <v>2022-07-06</v>
      </c>
      <c r="D812" s="3" t="s">
        <v>9</v>
      </c>
      <c r="E812" s="3" t="s">
        <v>5</v>
      </c>
      <c r="F812" s="3" t="s">
        <v>10</v>
      </c>
      <c r="G812" s="3" t="s">
        <v>1666</v>
      </c>
      <c r="H812" s="3" t="s">
        <v>1667</v>
      </c>
      <c r="I812" s="3">
        <v>369</v>
      </c>
      <c r="J812" s="3" t="s">
        <v>11</v>
      </c>
    </row>
    <row r="813" spans="1:10" x14ac:dyDescent="0.35">
      <c r="A813" s="3">
        <v>103407747</v>
      </c>
      <c r="B813" s="3" t="s">
        <v>1668</v>
      </c>
      <c r="C813" s="3" t="str">
        <f t="shared" si="15"/>
        <v>2022-07-06</v>
      </c>
      <c r="D813" s="3" t="s">
        <v>9</v>
      </c>
      <c r="E813" s="3" t="s">
        <v>5</v>
      </c>
      <c r="F813" s="3" t="s">
        <v>10</v>
      </c>
      <c r="G813" s="3" t="s">
        <v>1669</v>
      </c>
      <c r="H813" s="3" t="s">
        <v>1670</v>
      </c>
      <c r="I813" s="4">
        <v>3889.39</v>
      </c>
      <c r="J813" s="3" t="s">
        <v>11</v>
      </c>
    </row>
    <row r="814" spans="1:10" x14ac:dyDescent="0.35">
      <c r="A814" s="3">
        <v>103407803</v>
      </c>
      <c r="B814" s="3" t="s">
        <v>1671</v>
      </c>
      <c r="C814" s="3" t="str">
        <f t="shared" si="15"/>
        <v>2022-07-06</v>
      </c>
      <c r="D814" s="3" t="s">
        <v>9</v>
      </c>
      <c r="E814" s="3" t="s">
        <v>5</v>
      </c>
      <c r="F814" s="3" t="s">
        <v>10</v>
      </c>
      <c r="G814" s="3" t="s">
        <v>1672</v>
      </c>
      <c r="H814" s="3" t="s">
        <v>1673</v>
      </c>
      <c r="I814" s="4">
        <v>1281.55</v>
      </c>
      <c r="J814" s="3" t="s">
        <v>11</v>
      </c>
    </row>
    <row r="815" spans="1:10" x14ac:dyDescent="0.35">
      <c r="A815" s="3">
        <v>103407746</v>
      </c>
      <c r="B815" s="3" t="s">
        <v>1674</v>
      </c>
      <c r="C815" s="3" t="str">
        <f t="shared" si="15"/>
        <v>2022-07-06</v>
      </c>
      <c r="D815" s="3" t="s">
        <v>9</v>
      </c>
      <c r="E815" s="3" t="s">
        <v>5</v>
      </c>
      <c r="F815" s="3" t="s">
        <v>10</v>
      </c>
      <c r="G815" s="3" t="s">
        <v>1675</v>
      </c>
      <c r="H815" s="3" t="s">
        <v>1676</v>
      </c>
      <c r="I815" s="4">
        <v>2611.5500000000002</v>
      </c>
      <c r="J815" s="3" t="s">
        <v>11</v>
      </c>
    </row>
    <row r="816" spans="1:10" x14ac:dyDescent="0.35">
      <c r="A816" s="3">
        <v>103407802</v>
      </c>
      <c r="B816" s="3" t="s">
        <v>1677</v>
      </c>
      <c r="C816" s="3" t="str">
        <f t="shared" si="15"/>
        <v>2022-07-06</v>
      </c>
      <c r="D816" s="3" t="s">
        <v>9</v>
      </c>
      <c r="E816" s="3" t="s">
        <v>5</v>
      </c>
      <c r="F816" s="3" t="s">
        <v>10</v>
      </c>
      <c r="G816" s="3" t="s">
        <v>1678</v>
      </c>
      <c r="H816" s="3" t="s">
        <v>1679</v>
      </c>
      <c r="I816" s="5">
        <v>4499</v>
      </c>
      <c r="J816" s="3" t="s">
        <v>11</v>
      </c>
    </row>
    <row r="817" spans="1:10" x14ac:dyDescent="0.35">
      <c r="A817" s="3">
        <v>103407743</v>
      </c>
      <c r="B817" s="3" t="s">
        <v>1680</v>
      </c>
      <c r="C817" s="3" t="str">
        <f t="shared" si="15"/>
        <v>2022-07-06</v>
      </c>
      <c r="D817" s="3" t="s">
        <v>9</v>
      </c>
      <c r="E817" s="3" t="s">
        <v>5</v>
      </c>
      <c r="F817" s="3" t="s">
        <v>10</v>
      </c>
      <c r="G817" s="3" t="s">
        <v>1681</v>
      </c>
      <c r="H817" s="3" t="s">
        <v>1682</v>
      </c>
      <c r="I817" s="4">
        <v>3375.54</v>
      </c>
      <c r="J817" s="3" t="s">
        <v>11</v>
      </c>
    </row>
    <row r="818" spans="1:10" x14ac:dyDescent="0.35">
      <c r="A818" s="3">
        <v>103407799</v>
      </c>
      <c r="B818" s="3" t="s">
        <v>1683</v>
      </c>
      <c r="C818" s="3" t="str">
        <f t="shared" si="15"/>
        <v>2022-07-06</v>
      </c>
      <c r="D818" s="3" t="s">
        <v>9</v>
      </c>
      <c r="E818" s="3" t="s">
        <v>5</v>
      </c>
      <c r="F818" s="3" t="s">
        <v>10</v>
      </c>
      <c r="G818" s="3" t="s">
        <v>1684</v>
      </c>
      <c r="H818" s="3" t="s">
        <v>1685</v>
      </c>
      <c r="I818" s="4">
        <v>3846.64</v>
      </c>
      <c r="J818" s="3" t="s">
        <v>11</v>
      </c>
    </row>
    <row r="819" spans="1:10" x14ac:dyDescent="0.35">
      <c r="A819" s="3">
        <v>103407798</v>
      </c>
      <c r="B819" s="3" t="s">
        <v>1686</v>
      </c>
      <c r="C819" s="3" t="str">
        <f t="shared" si="15"/>
        <v>2022-07-06</v>
      </c>
      <c r="D819" s="3" t="s">
        <v>9</v>
      </c>
      <c r="E819" s="3" t="s">
        <v>5</v>
      </c>
      <c r="F819" s="3" t="s">
        <v>10</v>
      </c>
      <c r="G819" s="3" t="s">
        <v>1687</v>
      </c>
      <c r="H819" s="3" t="s">
        <v>1688</v>
      </c>
      <c r="I819" s="4">
        <v>1994.05</v>
      </c>
      <c r="J819" s="3" t="s">
        <v>11</v>
      </c>
    </row>
    <row r="820" spans="1:10" x14ac:dyDescent="0.35">
      <c r="A820" s="3">
        <v>103407797</v>
      </c>
      <c r="B820" s="3" t="s">
        <v>1689</v>
      </c>
      <c r="C820" s="3" t="str">
        <f t="shared" si="15"/>
        <v>2022-07-06</v>
      </c>
      <c r="D820" s="3" t="s">
        <v>9</v>
      </c>
      <c r="E820" s="3" t="s">
        <v>5</v>
      </c>
      <c r="F820" s="3" t="s">
        <v>10</v>
      </c>
      <c r="G820" s="3" t="s">
        <v>1690</v>
      </c>
      <c r="H820" s="3" t="s">
        <v>1691</v>
      </c>
      <c r="I820" s="4">
        <v>1129.55</v>
      </c>
      <c r="J820" s="3" t="s">
        <v>11</v>
      </c>
    </row>
    <row r="821" spans="1:10" x14ac:dyDescent="0.35">
      <c r="A821" s="3">
        <v>103407742</v>
      </c>
      <c r="B821" s="3" t="s">
        <v>1692</v>
      </c>
      <c r="C821" s="3" t="str">
        <f t="shared" si="15"/>
        <v>2022-07-06</v>
      </c>
      <c r="D821" s="3" t="s">
        <v>9</v>
      </c>
      <c r="E821" s="3" t="s">
        <v>5</v>
      </c>
      <c r="F821" s="3" t="s">
        <v>10</v>
      </c>
      <c r="G821" s="3" t="s">
        <v>1693</v>
      </c>
      <c r="H821" s="3" t="s">
        <v>1694</v>
      </c>
      <c r="I821" s="5">
        <v>2309</v>
      </c>
      <c r="J821" s="3" t="s">
        <v>11</v>
      </c>
    </row>
    <row r="822" spans="1:10" x14ac:dyDescent="0.35">
      <c r="A822" s="3">
        <v>103407738</v>
      </c>
      <c r="B822" s="3" t="s">
        <v>1695</v>
      </c>
      <c r="C822" s="3" t="str">
        <f t="shared" si="15"/>
        <v>2022-07-06</v>
      </c>
      <c r="D822" s="3" t="s">
        <v>9</v>
      </c>
      <c r="E822" s="3" t="s">
        <v>5</v>
      </c>
      <c r="F822" s="3" t="s">
        <v>12</v>
      </c>
      <c r="G822" s="3" t="s">
        <v>1696</v>
      </c>
      <c r="H822" s="3" t="s">
        <v>1697</v>
      </c>
      <c r="I822" s="3">
        <v>999</v>
      </c>
      <c r="J822" s="3" t="s">
        <v>11</v>
      </c>
    </row>
    <row r="823" spans="1:10" x14ac:dyDescent="0.35">
      <c r="A823" s="3">
        <v>103407796</v>
      </c>
      <c r="B823" s="3" t="s">
        <v>1698</v>
      </c>
      <c r="C823" s="3" t="str">
        <f t="shared" si="15"/>
        <v>2022-07-06</v>
      </c>
      <c r="D823" s="3" t="s">
        <v>9</v>
      </c>
      <c r="E823" s="3" t="s">
        <v>5</v>
      </c>
      <c r="F823" s="3" t="s">
        <v>10</v>
      </c>
      <c r="G823" s="3" t="s">
        <v>1699</v>
      </c>
      <c r="H823" s="3" t="s">
        <v>1700</v>
      </c>
      <c r="I823" s="4">
        <v>1878.3</v>
      </c>
      <c r="J823" s="3" t="s">
        <v>11</v>
      </c>
    </row>
    <row r="824" spans="1:10" x14ac:dyDescent="0.35">
      <c r="A824" s="3">
        <v>103407735</v>
      </c>
      <c r="B824" s="3" t="s">
        <v>1701</v>
      </c>
      <c r="C824" s="3" t="str">
        <f t="shared" si="15"/>
        <v>2022-07-06</v>
      </c>
      <c r="D824" s="3" t="s">
        <v>9</v>
      </c>
      <c r="E824" s="3" t="s">
        <v>5</v>
      </c>
      <c r="F824" s="3" t="s">
        <v>10</v>
      </c>
      <c r="G824" s="3" t="s">
        <v>1702</v>
      </c>
      <c r="H824" s="3" t="s">
        <v>1703</v>
      </c>
      <c r="I824" s="4">
        <v>1758.97</v>
      </c>
      <c r="J824" s="3" t="s">
        <v>11</v>
      </c>
    </row>
    <row r="825" spans="1:10" x14ac:dyDescent="0.35">
      <c r="A825" s="3">
        <v>103407790</v>
      </c>
      <c r="B825" s="3" t="s">
        <v>4777</v>
      </c>
      <c r="C825" s="3" t="str">
        <f t="shared" si="15"/>
        <v>2022-07-06</v>
      </c>
      <c r="D825" s="3" t="s">
        <v>9</v>
      </c>
      <c r="E825" s="3" t="s">
        <v>5</v>
      </c>
      <c r="F825" s="3" t="s">
        <v>10</v>
      </c>
      <c r="G825" s="3" t="s">
        <v>4778</v>
      </c>
      <c r="H825" s="3" t="s">
        <v>4779</v>
      </c>
      <c r="I825" s="3">
        <v>580.54</v>
      </c>
      <c r="J825" s="3" t="s">
        <v>13</v>
      </c>
    </row>
    <row r="826" spans="1:10" x14ac:dyDescent="0.35">
      <c r="A826" s="3">
        <v>103407786</v>
      </c>
      <c r="B826" s="3" t="s">
        <v>1704</v>
      </c>
      <c r="C826" s="3" t="str">
        <f t="shared" si="15"/>
        <v>2022-07-06</v>
      </c>
      <c r="D826" s="3" t="s">
        <v>9</v>
      </c>
      <c r="E826" s="3" t="s">
        <v>5</v>
      </c>
      <c r="F826" s="3" t="s">
        <v>10</v>
      </c>
      <c r="G826" s="3" t="s">
        <v>1705</v>
      </c>
      <c r="H826" s="3" t="s">
        <v>1706</v>
      </c>
      <c r="I826" s="5">
        <v>1349</v>
      </c>
      <c r="J826" s="3" t="s">
        <v>11</v>
      </c>
    </row>
    <row r="827" spans="1:10" x14ac:dyDescent="0.35">
      <c r="A827" s="3">
        <v>103407784</v>
      </c>
      <c r="B827" s="3" t="s">
        <v>1707</v>
      </c>
      <c r="C827" s="3" t="str">
        <f t="shared" si="15"/>
        <v>2022-07-06</v>
      </c>
      <c r="D827" s="3" t="s">
        <v>9</v>
      </c>
      <c r="E827" s="3" t="s">
        <v>5</v>
      </c>
      <c r="F827" s="3" t="s">
        <v>10</v>
      </c>
      <c r="G827" s="3" t="s">
        <v>1708</v>
      </c>
      <c r="H827" s="3" t="s">
        <v>1709</v>
      </c>
      <c r="I827" s="3">
        <v>540.6</v>
      </c>
      <c r="J827" s="3" t="s">
        <v>11</v>
      </c>
    </row>
    <row r="828" spans="1:10" x14ac:dyDescent="0.35">
      <c r="A828" s="3">
        <v>103407730</v>
      </c>
      <c r="B828" s="3" t="s">
        <v>1710</v>
      </c>
      <c r="C828" s="3" t="str">
        <f t="shared" si="15"/>
        <v>2022-07-06</v>
      </c>
      <c r="D828" s="3" t="s">
        <v>9</v>
      </c>
      <c r="E828" s="3" t="s">
        <v>5</v>
      </c>
      <c r="F828" s="3" t="s">
        <v>10</v>
      </c>
      <c r="G828" s="3" t="s">
        <v>1711</v>
      </c>
      <c r="H828" s="3" t="s">
        <v>1712</v>
      </c>
      <c r="I828" s="5">
        <v>2999</v>
      </c>
      <c r="J828" s="3" t="s">
        <v>11</v>
      </c>
    </row>
    <row r="829" spans="1:10" x14ac:dyDescent="0.35">
      <c r="A829" s="3">
        <v>103407728</v>
      </c>
      <c r="B829" s="3" t="s">
        <v>1713</v>
      </c>
      <c r="C829" s="3" t="str">
        <f t="shared" si="15"/>
        <v>2022-07-06</v>
      </c>
      <c r="D829" s="3" t="s">
        <v>9</v>
      </c>
      <c r="E829" s="3" t="s">
        <v>5</v>
      </c>
      <c r="F829" s="3" t="s">
        <v>10</v>
      </c>
      <c r="G829" s="3" t="s">
        <v>20</v>
      </c>
      <c r="H829" s="3" t="s">
        <v>1714</v>
      </c>
      <c r="I829" s="4">
        <v>5865.35</v>
      </c>
      <c r="J829" s="3" t="s">
        <v>11</v>
      </c>
    </row>
    <row r="830" spans="1:10" x14ac:dyDescent="0.35">
      <c r="A830" s="3">
        <v>103407779</v>
      </c>
      <c r="B830" s="3" t="s">
        <v>1715</v>
      </c>
      <c r="C830" s="3" t="str">
        <f t="shared" si="15"/>
        <v>2022-07-06</v>
      </c>
      <c r="D830" s="3" t="s">
        <v>9</v>
      </c>
      <c r="E830" s="3" t="s">
        <v>5</v>
      </c>
      <c r="F830" s="3" t="s">
        <v>10</v>
      </c>
      <c r="G830" s="3" t="s">
        <v>1716</v>
      </c>
      <c r="H830" s="3" t="s">
        <v>1717</v>
      </c>
      <c r="I830" s="4">
        <v>3419.05</v>
      </c>
      <c r="J830" s="3" t="s">
        <v>11</v>
      </c>
    </row>
    <row r="831" spans="1:10" x14ac:dyDescent="0.35">
      <c r="A831" s="3">
        <v>103407776</v>
      </c>
      <c r="B831" s="3" t="s">
        <v>1718</v>
      </c>
      <c r="C831" s="3" t="str">
        <f t="shared" si="15"/>
        <v>2022-07-06</v>
      </c>
      <c r="D831" s="3" t="s">
        <v>9</v>
      </c>
      <c r="E831" s="3" t="s">
        <v>5</v>
      </c>
      <c r="F831" s="3" t="s">
        <v>10</v>
      </c>
      <c r="G831" s="3" t="s">
        <v>1719</v>
      </c>
      <c r="H831" s="3" t="s">
        <v>1720</v>
      </c>
      <c r="I831" s="3">
        <v>329</v>
      </c>
      <c r="J831" s="3" t="s">
        <v>11</v>
      </c>
    </row>
    <row r="832" spans="1:10" x14ac:dyDescent="0.35">
      <c r="A832" s="3">
        <v>103407723</v>
      </c>
      <c r="B832" s="3" t="s">
        <v>1721</v>
      </c>
      <c r="C832" s="3" t="str">
        <f t="shared" si="15"/>
        <v>2022-07-06</v>
      </c>
      <c r="D832" s="3" t="s">
        <v>9</v>
      </c>
      <c r="E832" s="3" t="s">
        <v>5</v>
      </c>
      <c r="F832" s="3" t="s">
        <v>10</v>
      </c>
      <c r="G832" s="3" t="s">
        <v>1722</v>
      </c>
      <c r="H832" s="3" t="s">
        <v>1723</v>
      </c>
      <c r="I832" s="3">
        <v>626.04999999999995</v>
      </c>
      <c r="J832" s="3" t="s">
        <v>11</v>
      </c>
    </row>
    <row r="833" spans="1:10" x14ac:dyDescent="0.35">
      <c r="A833" s="3">
        <v>103407767</v>
      </c>
      <c r="B833" s="3" t="s">
        <v>1724</v>
      </c>
      <c r="C833" s="3" t="str">
        <f t="shared" si="15"/>
        <v>2022-07-06</v>
      </c>
      <c r="D833" s="3" t="s">
        <v>9</v>
      </c>
      <c r="E833" s="3" t="s">
        <v>5</v>
      </c>
      <c r="F833" s="3" t="s">
        <v>10</v>
      </c>
      <c r="G833" s="3" t="s">
        <v>1725</v>
      </c>
      <c r="H833" s="3" t="s">
        <v>1726</v>
      </c>
      <c r="I833" s="4">
        <v>1939.99</v>
      </c>
      <c r="J833" s="3" t="s">
        <v>11</v>
      </c>
    </row>
    <row r="834" spans="1:10" x14ac:dyDescent="0.35">
      <c r="A834" s="3">
        <v>103407766</v>
      </c>
      <c r="B834" s="3" t="s">
        <v>1727</v>
      </c>
      <c r="C834" s="3" t="str">
        <f t="shared" si="15"/>
        <v>2022-07-06</v>
      </c>
      <c r="D834" s="3" t="s">
        <v>9</v>
      </c>
      <c r="E834" s="3" t="s">
        <v>5</v>
      </c>
      <c r="F834" s="3" t="s">
        <v>10</v>
      </c>
      <c r="G834" s="3" t="s">
        <v>1728</v>
      </c>
      <c r="H834" s="3" t="s">
        <v>1729</v>
      </c>
      <c r="I834" s="4">
        <v>4559.05</v>
      </c>
      <c r="J834" s="3" t="s">
        <v>11</v>
      </c>
    </row>
    <row r="835" spans="1:10" x14ac:dyDescent="0.35">
      <c r="A835" s="3">
        <v>103407661</v>
      </c>
      <c r="B835" s="3" t="s">
        <v>1730</v>
      </c>
      <c r="C835" s="3" t="str">
        <f t="shared" ref="C835:C898" si="16">LEFT(B835,FIND("T",B835)-1)</f>
        <v>2022-07-06</v>
      </c>
      <c r="D835" s="3" t="s">
        <v>9</v>
      </c>
      <c r="E835" s="3" t="s">
        <v>5</v>
      </c>
      <c r="F835" s="3" t="s">
        <v>10</v>
      </c>
      <c r="G835" s="3" t="s">
        <v>1731</v>
      </c>
      <c r="H835" s="3" t="s">
        <v>1732</v>
      </c>
      <c r="I835" s="4">
        <v>1388.95</v>
      </c>
      <c r="J835" s="3" t="s">
        <v>11</v>
      </c>
    </row>
    <row r="836" spans="1:10" x14ac:dyDescent="0.35">
      <c r="A836" s="3">
        <v>103407720</v>
      </c>
      <c r="B836" s="3" t="s">
        <v>1733</v>
      </c>
      <c r="C836" s="3" t="str">
        <f t="shared" si="16"/>
        <v>2022-07-06</v>
      </c>
      <c r="D836" s="3" t="s">
        <v>9</v>
      </c>
      <c r="E836" s="3" t="s">
        <v>5</v>
      </c>
      <c r="F836" s="3" t="s">
        <v>10</v>
      </c>
      <c r="G836" s="3" t="s">
        <v>1734</v>
      </c>
      <c r="H836" s="3" t="s">
        <v>1735</v>
      </c>
      <c r="I836" s="3">
        <v>599</v>
      </c>
      <c r="J836" s="3" t="s">
        <v>11</v>
      </c>
    </row>
    <row r="837" spans="1:10" x14ac:dyDescent="0.35">
      <c r="A837" s="3">
        <v>103407717</v>
      </c>
      <c r="B837" s="3" t="s">
        <v>1736</v>
      </c>
      <c r="C837" s="3" t="str">
        <f t="shared" si="16"/>
        <v>2022-07-06</v>
      </c>
      <c r="D837" s="3" t="s">
        <v>9</v>
      </c>
      <c r="E837" s="3" t="s">
        <v>5</v>
      </c>
      <c r="F837" s="3" t="s">
        <v>10</v>
      </c>
      <c r="G837" s="3" t="s">
        <v>1737</v>
      </c>
      <c r="H837" s="3" t="s">
        <v>1738</v>
      </c>
      <c r="I837" s="4">
        <v>2307.64</v>
      </c>
      <c r="J837" s="3" t="s">
        <v>11</v>
      </c>
    </row>
    <row r="838" spans="1:10" x14ac:dyDescent="0.35">
      <c r="A838" s="3">
        <v>103407656</v>
      </c>
      <c r="B838" s="3" t="s">
        <v>1739</v>
      </c>
      <c r="C838" s="3" t="str">
        <f t="shared" si="16"/>
        <v>2022-07-06</v>
      </c>
      <c r="D838" s="3" t="s">
        <v>9</v>
      </c>
      <c r="E838" s="3" t="s">
        <v>5</v>
      </c>
      <c r="F838" s="3" t="s">
        <v>10</v>
      </c>
      <c r="G838" s="3" t="s">
        <v>1740</v>
      </c>
      <c r="H838" s="3" t="s">
        <v>1741</v>
      </c>
      <c r="I838" s="5">
        <v>2999</v>
      </c>
      <c r="J838" s="3" t="s">
        <v>11</v>
      </c>
    </row>
    <row r="839" spans="1:10" x14ac:dyDescent="0.35">
      <c r="A839" s="3">
        <v>103407712</v>
      </c>
      <c r="B839" s="3" t="s">
        <v>1742</v>
      </c>
      <c r="C839" s="3" t="str">
        <f t="shared" si="16"/>
        <v>2022-07-06</v>
      </c>
      <c r="D839" s="3" t="s">
        <v>9</v>
      </c>
      <c r="E839" s="3" t="s">
        <v>5</v>
      </c>
      <c r="F839" s="3" t="s">
        <v>10</v>
      </c>
      <c r="G839" s="3" t="s">
        <v>1743</v>
      </c>
      <c r="H839" s="3" t="s">
        <v>1744</v>
      </c>
      <c r="I839" s="4">
        <v>2307.64</v>
      </c>
      <c r="J839" s="3" t="s">
        <v>11</v>
      </c>
    </row>
    <row r="840" spans="1:10" x14ac:dyDescent="0.35">
      <c r="A840" s="3">
        <v>103407711</v>
      </c>
      <c r="B840" s="3" t="s">
        <v>1745</v>
      </c>
      <c r="C840" s="3" t="str">
        <f t="shared" si="16"/>
        <v>2022-07-06</v>
      </c>
      <c r="D840" s="3" t="s">
        <v>9</v>
      </c>
      <c r="E840" s="3" t="s">
        <v>5</v>
      </c>
      <c r="F840" s="3" t="s">
        <v>10</v>
      </c>
      <c r="G840" s="3" t="s">
        <v>1746</v>
      </c>
      <c r="H840" s="3" t="s">
        <v>1747</v>
      </c>
      <c r="I840" s="5">
        <v>3899</v>
      </c>
      <c r="J840" s="3" t="s">
        <v>11</v>
      </c>
    </row>
    <row r="841" spans="1:10" x14ac:dyDescent="0.35">
      <c r="A841" s="3">
        <v>103407706</v>
      </c>
      <c r="B841" s="3" t="s">
        <v>1748</v>
      </c>
      <c r="C841" s="3" t="str">
        <f t="shared" si="16"/>
        <v>2022-07-06</v>
      </c>
      <c r="D841" s="3" t="s">
        <v>9</v>
      </c>
      <c r="E841" s="3" t="s">
        <v>5</v>
      </c>
      <c r="F841" s="3" t="s">
        <v>10</v>
      </c>
      <c r="G841" s="3" t="s">
        <v>1749</v>
      </c>
      <c r="H841" s="3" t="s">
        <v>1750</v>
      </c>
      <c r="I841" s="4">
        <v>2429.1</v>
      </c>
      <c r="J841" s="3" t="s">
        <v>11</v>
      </c>
    </row>
    <row r="842" spans="1:10" x14ac:dyDescent="0.35">
      <c r="A842" s="3">
        <v>103407650</v>
      </c>
      <c r="B842" s="3" t="s">
        <v>1751</v>
      </c>
      <c r="C842" s="3" t="str">
        <f t="shared" si="16"/>
        <v>2022-07-06</v>
      </c>
      <c r="D842" s="3" t="s">
        <v>9</v>
      </c>
      <c r="E842" s="3" t="s">
        <v>5</v>
      </c>
      <c r="F842" s="3" t="s">
        <v>10</v>
      </c>
      <c r="G842" s="3" t="s">
        <v>1752</v>
      </c>
      <c r="H842" s="3" t="s">
        <v>1753</v>
      </c>
      <c r="I842" s="4">
        <v>5699.05</v>
      </c>
      <c r="J842" s="3" t="s">
        <v>11</v>
      </c>
    </row>
    <row r="843" spans="1:10" x14ac:dyDescent="0.35">
      <c r="A843" s="3">
        <v>103407701</v>
      </c>
      <c r="B843" s="3" t="s">
        <v>1754</v>
      </c>
      <c r="C843" s="3" t="str">
        <f t="shared" si="16"/>
        <v>2022-07-06</v>
      </c>
      <c r="D843" s="3" t="s">
        <v>9</v>
      </c>
      <c r="E843" s="3" t="s">
        <v>5</v>
      </c>
      <c r="F843" s="3" t="s">
        <v>10</v>
      </c>
      <c r="G843" s="3" t="s">
        <v>1755</v>
      </c>
      <c r="H843" s="3" t="s">
        <v>1756</v>
      </c>
      <c r="I843" s="3">
        <v>799</v>
      </c>
      <c r="J843" s="3" t="s">
        <v>11</v>
      </c>
    </row>
    <row r="844" spans="1:10" x14ac:dyDescent="0.35">
      <c r="A844" s="3">
        <v>103407700</v>
      </c>
      <c r="B844" s="3" t="s">
        <v>1757</v>
      </c>
      <c r="C844" s="3" t="str">
        <f t="shared" si="16"/>
        <v>2022-07-06</v>
      </c>
      <c r="D844" s="3" t="s">
        <v>9</v>
      </c>
      <c r="E844" s="3" t="s">
        <v>5</v>
      </c>
      <c r="F844" s="3" t="s">
        <v>10</v>
      </c>
      <c r="G844" s="3" t="s">
        <v>1758</v>
      </c>
      <c r="H844" s="3" t="s">
        <v>1759</v>
      </c>
      <c r="I844" s="4">
        <v>2469.0500000000002</v>
      </c>
      <c r="J844" s="3" t="s">
        <v>11</v>
      </c>
    </row>
    <row r="845" spans="1:10" x14ac:dyDescent="0.35">
      <c r="A845" s="3">
        <v>103407698</v>
      </c>
      <c r="B845" s="3" t="s">
        <v>1760</v>
      </c>
      <c r="C845" s="3" t="str">
        <f t="shared" si="16"/>
        <v>2022-07-06</v>
      </c>
      <c r="D845" s="3" t="s">
        <v>9</v>
      </c>
      <c r="E845" s="3" t="s">
        <v>5</v>
      </c>
      <c r="F845" s="3" t="s">
        <v>10</v>
      </c>
      <c r="G845" s="3" t="s">
        <v>1761</v>
      </c>
      <c r="H845" s="3" t="s">
        <v>1762</v>
      </c>
      <c r="I845" s="4">
        <v>5188.1400000000003</v>
      </c>
      <c r="J845" s="3" t="s">
        <v>11</v>
      </c>
    </row>
    <row r="846" spans="1:10" x14ac:dyDescent="0.35">
      <c r="A846" s="3">
        <v>103407690</v>
      </c>
      <c r="B846" s="3" t="s">
        <v>1763</v>
      </c>
      <c r="C846" s="3" t="str">
        <f t="shared" si="16"/>
        <v>2022-07-06</v>
      </c>
      <c r="D846" s="3" t="s">
        <v>9</v>
      </c>
      <c r="E846" s="3" t="s">
        <v>5</v>
      </c>
      <c r="F846" s="3" t="s">
        <v>10</v>
      </c>
      <c r="G846" s="3" t="s">
        <v>1764</v>
      </c>
      <c r="H846" s="3" t="s">
        <v>1765</v>
      </c>
      <c r="I846" s="4">
        <v>2474.1</v>
      </c>
      <c r="J846" s="3" t="s">
        <v>11</v>
      </c>
    </row>
    <row r="847" spans="1:10" x14ac:dyDescent="0.35">
      <c r="A847" s="3">
        <v>103407685</v>
      </c>
      <c r="B847" s="3" t="s">
        <v>1766</v>
      </c>
      <c r="C847" s="3" t="str">
        <f t="shared" si="16"/>
        <v>2022-07-06</v>
      </c>
      <c r="D847" s="3" t="s">
        <v>9</v>
      </c>
      <c r="E847" s="3" t="s">
        <v>5</v>
      </c>
      <c r="F847" s="3" t="s">
        <v>12</v>
      </c>
      <c r="G847" s="3" t="s">
        <v>1767</v>
      </c>
      <c r="H847" s="3" t="s">
        <v>1768</v>
      </c>
      <c r="I847" s="3">
        <v>959</v>
      </c>
      <c r="J847" s="3" t="s">
        <v>11</v>
      </c>
    </row>
    <row r="848" spans="1:10" x14ac:dyDescent="0.35">
      <c r="A848" s="3">
        <v>103407680</v>
      </c>
      <c r="B848" s="3" t="s">
        <v>1769</v>
      </c>
      <c r="C848" s="3" t="str">
        <f t="shared" si="16"/>
        <v>2022-07-06</v>
      </c>
      <c r="D848" s="3" t="s">
        <v>9</v>
      </c>
      <c r="E848" s="3" t="s">
        <v>5</v>
      </c>
      <c r="F848" s="3" t="s">
        <v>10</v>
      </c>
      <c r="G848" s="3" t="s">
        <v>646</v>
      </c>
      <c r="H848" s="3" t="s">
        <v>647</v>
      </c>
      <c r="I848" s="3">
        <v>740.05</v>
      </c>
      <c r="J848" s="3" t="s">
        <v>11</v>
      </c>
    </row>
    <row r="849" spans="1:10" x14ac:dyDescent="0.35">
      <c r="A849" s="3">
        <v>103407631</v>
      </c>
      <c r="B849" s="3" t="s">
        <v>1770</v>
      </c>
      <c r="C849" s="3" t="str">
        <f t="shared" si="16"/>
        <v>2022-07-06</v>
      </c>
      <c r="D849" s="3" t="s">
        <v>9</v>
      </c>
      <c r="E849" s="3" t="s">
        <v>5</v>
      </c>
      <c r="F849" s="3" t="s">
        <v>10</v>
      </c>
      <c r="G849" s="3" t="s">
        <v>1771</v>
      </c>
      <c r="H849" s="3" t="s">
        <v>1772</v>
      </c>
      <c r="I849" s="5">
        <v>7999</v>
      </c>
      <c r="J849" s="3" t="s">
        <v>11</v>
      </c>
    </row>
    <row r="850" spans="1:10" x14ac:dyDescent="0.35">
      <c r="A850" s="3">
        <v>103407675</v>
      </c>
      <c r="B850" s="3" t="s">
        <v>1773</v>
      </c>
      <c r="C850" s="3" t="str">
        <f t="shared" si="16"/>
        <v>2022-07-06</v>
      </c>
      <c r="D850" s="3" t="s">
        <v>9</v>
      </c>
      <c r="E850" s="3" t="s">
        <v>5</v>
      </c>
      <c r="F850" s="3" t="s">
        <v>12</v>
      </c>
      <c r="G850" s="3" t="s">
        <v>1774</v>
      </c>
      <c r="H850" s="3" t="s">
        <v>1775</v>
      </c>
      <c r="I850" s="5">
        <v>1259</v>
      </c>
      <c r="J850" s="3" t="s">
        <v>11</v>
      </c>
    </row>
    <row r="851" spans="1:10" x14ac:dyDescent="0.35">
      <c r="A851" s="3">
        <v>103407628</v>
      </c>
      <c r="B851" s="3" t="s">
        <v>1776</v>
      </c>
      <c r="C851" s="3" t="str">
        <f t="shared" si="16"/>
        <v>2022-07-06</v>
      </c>
      <c r="D851" s="3" t="s">
        <v>9</v>
      </c>
      <c r="E851" s="3" t="s">
        <v>5</v>
      </c>
      <c r="F851" s="3" t="s">
        <v>10</v>
      </c>
      <c r="G851" s="3" t="s">
        <v>1777</v>
      </c>
      <c r="H851" s="3" t="s">
        <v>1778</v>
      </c>
      <c r="I851" s="4">
        <v>3989.05</v>
      </c>
      <c r="J851" s="3" t="s">
        <v>11</v>
      </c>
    </row>
    <row r="852" spans="1:10" x14ac:dyDescent="0.35">
      <c r="A852" s="3">
        <v>103407673</v>
      </c>
      <c r="B852" s="3" t="s">
        <v>1779</v>
      </c>
      <c r="C852" s="3" t="str">
        <f t="shared" si="16"/>
        <v>2022-07-06</v>
      </c>
      <c r="D852" s="3" t="s">
        <v>9</v>
      </c>
      <c r="E852" s="3" t="s">
        <v>5</v>
      </c>
      <c r="F852" s="3" t="s">
        <v>10</v>
      </c>
      <c r="G852" s="3" t="s">
        <v>1361</v>
      </c>
      <c r="H852" s="3" t="s">
        <v>1362</v>
      </c>
      <c r="I852" s="5">
        <v>3168</v>
      </c>
      <c r="J852" s="3" t="s">
        <v>11</v>
      </c>
    </row>
    <row r="853" spans="1:10" x14ac:dyDescent="0.35">
      <c r="A853" s="3">
        <v>103407625</v>
      </c>
      <c r="B853" s="3" t="s">
        <v>1780</v>
      </c>
      <c r="C853" s="3" t="str">
        <f t="shared" si="16"/>
        <v>2022-07-06</v>
      </c>
      <c r="D853" s="3" t="s">
        <v>9</v>
      </c>
      <c r="E853" s="3" t="s">
        <v>5</v>
      </c>
      <c r="F853" s="3" t="s">
        <v>12</v>
      </c>
      <c r="G853" s="3" t="s">
        <v>1781</v>
      </c>
      <c r="H853" s="3" t="s">
        <v>1782</v>
      </c>
      <c r="I853" s="5">
        <v>1749</v>
      </c>
      <c r="J853" s="3" t="s">
        <v>11</v>
      </c>
    </row>
    <row r="854" spans="1:10" x14ac:dyDescent="0.35">
      <c r="A854" s="3">
        <v>103407623</v>
      </c>
      <c r="B854" s="3" t="s">
        <v>1783</v>
      </c>
      <c r="C854" s="3" t="str">
        <f t="shared" si="16"/>
        <v>2022-07-06</v>
      </c>
      <c r="D854" s="3" t="s">
        <v>9</v>
      </c>
      <c r="E854" s="3" t="s">
        <v>5</v>
      </c>
      <c r="F854" s="3" t="s">
        <v>10</v>
      </c>
      <c r="G854" s="3" t="s">
        <v>15</v>
      </c>
      <c r="H854" s="3" t="s">
        <v>16</v>
      </c>
      <c r="I854" s="4">
        <v>2436.75</v>
      </c>
      <c r="J854" s="3" t="s">
        <v>11</v>
      </c>
    </row>
    <row r="855" spans="1:10" x14ac:dyDescent="0.35">
      <c r="A855" s="3">
        <v>103407622</v>
      </c>
      <c r="B855" s="3" t="s">
        <v>1784</v>
      </c>
      <c r="C855" s="3" t="str">
        <f t="shared" si="16"/>
        <v>2022-07-06</v>
      </c>
      <c r="D855" s="3" t="s">
        <v>9</v>
      </c>
      <c r="E855" s="3" t="s">
        <v>5</v>
      </c>
      <c r="F855" s="3" t="s">
        <v>10</v>
      </c>
      <c r="G855" s="3" t="s">
        <v>1785</v>
      </c>
      <c r="H855" s="3" t="s">
        <v>1786</v>
      </c>
      <c r="I855" s="4">
        <v>2469.0500000000002</v>
      </c>
      <c r="J855" s="3" t="s">
        <v>11</v>
      </c>
    </row>
    <row r="856" spans="1:10" x14ac:dyDescent="0.35">
      <c r="A856" s="3">
        <v>103407621</v>
      </c>
      <c r="B856" s="3" t="s">
        <v>1787</v>
      </c>
      <c r="C856" s="3" t="str">
        <f t="shared" si="16"/>
        <v>2022-07-06</v>
      </c>
      <c r="D856" s="3" t="s">
        <v>9</v>
      </c>
      <c r="E856" s="3" t="s">
        <v>5</v>
      </c>
      <c r="F856" s="3" t="s">
        <v>10</v>
      </c>
      <c r="G856" s="3" t="s">
        <v>1788</v>
      </c>
      <c r="H856" s="3" t="s">
        <v>1789</v>
      </c>
      <c r="I856" s="5">
        <v>2799</v>
      </c>
      <c r="J856" s="3" t="s">
        <v>11</v>
      </c>
    </row>
    <row r="857" spans="1:10" x14ac:dyDescent="0.35">
      <c r="A857" s="3">
        <v>103407613</v>
      </c>
      <c r="B857" s="3" t="s">
        <v>1790</v>
      </c>
      <c r="C857" s="3" t="str">
        <f t="shared" si="16"/>
        <v>2022-07-06</v>
      </c>
      <c r="D857" s="3" t="s">
        <v>9</v>
      </c>
      <c r="E857" s="3" t="s">
        <v>5</v>
      </c>
      <c r="F857" s="3" t="s">
        <v>10</v>
      </c>
      <c r="G857" s="3" t="s">
        <v>1791</v>
      </c>
      <c r="H857" s="3" t="s">
        <v>1792</v>
      </c>
      <c r="I857" s="4">
        <v>2849.05</v>
      </c>
      <c r="J857" s="3" t="s">
        <v>11</v>
      </c>
    </row>
    <row r="858" spans="1:10" x14ac:dyDescent="0.35">
      <c r="A858" s="3">
        <v>103407607</v>
      </c>
      <c r="B858" s="3" t="s">
        <v>1793</v>
      </c>
      <c r="C858" s="3" t="str">
        <f t="shared" si="16"/>
        <v>2022-07-06</v>
      </c>
      <c r="D858" s="3" t="s">
        <v>9</v>
      </c>
      <c r="E858" s="3" t="s">
        <v>5</v>
      </c>
      <c r="F858" s="3" t="s">
        <v>10</v>
      </c>
      <c r="G858" s="3" t="s">
        <v>1794</v>
      </c>
      <c r="H858" s="3" t="s">
        <v>1795</v>
      </c>
      <c r="I858" s="4">
        <v>4787.1400000000003</v>
      </c>
      <c r="J858" s="3" t="s">
        <v>11</v>
      </c>
    </row>
    <row r="859" spans="1:10" x14ac:dyDescent="0.35">
      <c r="A859" s="3">
        <v>103407665</v>
      </c>
      <c r="B859" s="3" t="s">
        <v>1796</v>
      </c>
      <c r="C859" s="3" t="str">
        <f t="shared" si="16"/>
        <v>2022-07-06</v>
      </c>
      <c r="D859" s="3" t="s">
        <v>9</v>
      </c>
      <c r="E859" s="3" t="s">
        <v>5</v>
      </c>
      <c r="F859" s="3" t="s">
        <v>10</v>
      </c>
      <c r="G859" s="3" t="s">
        <v>1797</v>
      </c>
      <c r="H859" s="3" t="s">
        <v>1798</v>
      </c>
      <c r="I859" s="4">
        <v>2991.55</v>
      </c>
      <c r="J859" s="3" t="s">
        <v>11</v>
      </c>
    </row>
    <row r="860" spans="1:10" x14ac:dyDescent="0.35">
      <c r="A860" s="3">
        <v>103407603</v>
      </c>
      <c r="B860" s="3" t="s">
        <v>1799</v>
      </c>
      <c r="C860" s="3" t="str">
        <f t="shared" si="16"/>
        <v>2022-07-06</v>
      </c>
      <c r="D860" s="3" t="s">
        <v>9</v>
      </c>
      <c r="E860" s="3" t="s">
        <v>5</v>
      </c>
      <c r="F860" s="3" t="s">
        <v>10</v>
      </c>
      <c r="G860" s="3" t="s">
        <v>1800</v>
      </c>
      <c r="H860" s="3" t="s">
        <v>1801</v>
      </c>
      <c r="I860" s="4">
        <v>1110.55</v>
      </c>
      <c r="J860" s="3" t="s">
        <v>11</v>
      </c>
    </row>
    <row r="861" spans="1:10" x14ac:dyDescent="0.35">
      <c r="A861" s="3">
        <v>103407598</v>
      </c>
      <c r="B861" s="3" t="s">
        <v>1802</v>
      </c>
      <c r="C861" s="3" t="str">
        <f t="shared" si="16"/>
        <v>2022-07-06</v>
      </c>
      <c r="D861" s="3" t="s">
        <v>9</v>
      </c>
      <c r="E861" s="3" t="s">
        <v>5</v>
      </c>
      <c r="F861" s="3" t="s">
        <v>10</v>
      </c>
      <c r="G861" s="3" t="s">
        <v>1803</v>
      </c>
      <c r="H861" s="3" t="s">
        <v>1804</v>
      </c>
      <c r="I861" s="3">
        <v>920.55</v>
      </c>
      <c r="J861" s="3" t="s">
        <v>11</v>
      </c>
    </row>
    <row r="862" spans="1:10" x14ac:dyDescent="0.35">
      <c r="A862" s="3">
        <v>103407458</v>
      </c>
      <c r="B862" s="3" t="s">
        <v>1805</v>
      </c>
      <c r="C862" s="3" t="str">
        <f t="shared" si="16"/>
        <v>2022-07-06</v>
      </c>
      <c r="D862" s="3" t="s">
        <v>9</v>
      </c>
      <c r="E862" s="3" t="s">
        <v>5</v>
      </c>
      <c r="F862" s="3" t="s">
        <v>10</v>
      </c>
      <c r="G862" s="3" t="s">
        <v>1806</v>
      </c>
      <c r="H862" s="3" t="s">
        <v>1807</v>
      </c>
      <c r="I862" s="4">
        <v>2885.15</v>
      </c>
      <c r="J862" s="3" t="s">
        <v>11</v>
      </c>
    </row>
    <row r="863" spans="1:10" x14ac:dyDescent="0.35">
      <c r="A863" s="3">
        <v>103407459</v>
      </c>
      <c r="B863" s="3" t="s">
        <v>1805</v>
      </c>
      <c r="C863" s="3" t="str">
        <f t="shared" si="16"/>
        <v>2022-07-06</v>
      </c>
      <c r="D863" s="3" t="s">
        <v>9</v>
      </c>
      <c r="E863" s="3" t="s">
        <v>5</v>
      </c>
      <c r="F863" s="3" t="s">
        <v>10</v>
      </c>
      <c r="G863" s="3" t="s">
        <v>1808</v>
      </c>
      <c r="H863" s="3" t="s">
        <v>1809</v>
      </c>
      <c r="I863" s="3">
        <v>417.05</v>
      </c>
      <c r="J863" s="3" t="s">
        <v>11</v>
      </c>
    </row>
    <row r="864" spans="1:10" x14ac:dyDescent="0.35">
      <c r="A864" s="3">
        <v>103407593</v>
      </c>
      <c r="B864" s="3" t="s">
        <v>1810</v>
      </c>
      <c r="C864" s="3" t="str">
        <f t="shared" si="16"/>
        <v>2022-07-06</v>
      </c>
      <c r="D864" s="3" t="s">
        <v>9</v>
      </c>
      <c r="E864" s="3" t="s">
        <v>5</v>
      </c>
      <c r="F864" s="3" t="s">
        <v>10</v>
      </c>
      <c r="G864" s="3" t="s">
        <v>1811</v>
      </c>
      <c r="H864" s="3" t="s">
        <v>1812</v>
      </c>
      <c r="I864" s="4">
        <v>1899.05</v>
      </c>
      <c r="J864" s="3" t="s">
        <v>11</v>
      </c>
    </row>
    <row r="865" spans="1:10" x14ac:dyDescent="0.35">
      <c r="A865" s="3">
        <v>103407583</v>
      </c>
      <c r="B865" s="3" t="s">
        <v>1813</v>
      </c>
      <c r="C865" s="3" t="str">
        <f t="shared" si="16"/>
        <v>2022-07-06</v>
      </c>
      <c r="D865" s="3" t="s">
        <v>9</v>
      </c>
      <c r="E865" s="3" t="s">
        <v>5</v>
      </c>
      <c r="F865" s="3" t="s">
        <v>10</v>
      </c>
      <c r="G865" s="3" t="s">
        <v>1814</v>
      </c>
      <c r="H865" s="3" t="s">
        <v>1815</v>
      </c>
      <c r="I865" s="5">
        <v>2309</v>
      </c>
      <c r="J865" s="3" t="s">
        <v>11</v>
      </c>
    </row>
    <row r="866" spans="1:10" x14ac:dyDescent="0.35">
      <c r="A866" s="3">
        <v>103407580</v>
      </c>
      <c r="B866" s="3" t="s">
        <v>1816</v>
      </c>
      <c r="C866" s="3" t="str">
        <f t="shared" si="16"/>
        <v>2022-07-06</v>
      </c>
      <c r="D866" s="3" t="s">
        <v>9</v>
      </c>
      <c r="E866" s="3" t="s">
        <v>5</v>
      </c>
      <c r="F866" s="3" t="s">
        <v>10</v>
      </c>
      <c r="G866" s="3" t="s">
        <v>1817</v>
      </c>
      <c r="H866" s="3" t="s">
        <v>1818</v>
      </c>
      <c r="I866" s="4">
        <v>2469.0500000000002</v>
      </c>
      <c r="J866" s="3" t="s">
        <v>11</v>
      </c>
    </row>
    <row r="867" spans="1:10" x14ac:dyDescent="0.35">
      <c r="A867" s="3">
        <v>103407577</v>
      </c>
      <c r="B867" s="3" t="s">
        <v>1819</v>
      </c>
      <c r="C867" s="3" t="str">
        <f t="shared" si="16"/>
        <v>2022-07-06</v>
      </c>
      <c r="D867" s="3" t="s">
        <v>9</v>
      </c>
      <c r="E867" s="3" t="s">
        <v>5</v>
      </c>
      <c r="F867" s="3" t="s">
        <v>10</v>
      </c>
      <c r="G867" s="3" t="s">
        <v>1820</v>
      </c>
      <c r="H867" s="3" t="s">
        <v>1821</v>
      </c>
      <c r="I867" s="5">
        <v>2999</v>
      </c>
      <c r="J867" s="3" t="s">
        <v>11</v>
      </c>
    </row>
    <row r="868" spans="1:10" x14ac:dyDescent="0.35">
      <c r="A868" s="3">
        <v>103407575</v>
      </c>
      <c r="B868" s="3" t="s">
        <v>1822</v>
      </c>
      <c r="C868" s="3" t="str">
        <f t="shared" si="16"/>
        <v>2022-07-06</v>
      </c>
      <c r="D868" s="3" t="s">
        <v>9</v>
      </c>
      <c r="E868" s="3" t="s">
        <v>5</v>
      </c>
      <c r="F868" s="3" t="s">
        <v>10</v>
      </c>
      <c r="G868" s="3" t="s">
        <v>1823</v>
      </c>
      <c r="H868" s="3" t="s">
        <v>1824</v>
      </c>
      <c r="I868" s="3">
        <v>521.54999999999995</v>
      </c>
      <c r="J868" s="3" t="s">
        <v>11</v>
      </c>
    </row>
    <row r="869" spans="1:10" x14ac:dyDescent="0.35">
      <c r="A869" s="3">
        <v>103407573</v>
      </c>
      <c r="B869" s="3" t="s">
        <v>1825</v>
      </c>
      <c r="C869" s="3" t="str">
        <f t="shared" si="16"/>
        <v>2022-07-06</v>
      </c>
      <c r="D869" s="3" t="s">
        <v>9</v>
      </c>
      <c r="E869" s="3" t="s">
        <v>5</v>
      </c>
      <c r="F869" s="3" t="s">
        <v>10</v>
      </c>
      <c r="G869" s="3" t="s">
        <v>1826</v>
      </c>
      <c r="H869" s="3" t="s">
        <v>1827</v>
      </c>
      <c r="I869" s="5">
        <v>1499</v>
      </c>
      <c r="J869" s="3" t="s">
        <v>11</v>
      </c>
    </row>
    <row r="870" spans="1:10" x14ac:dyDescent="0.35">
      <c r="A870" s="3">
        <v>103407571</v>
      </c>
      <c r="B870" s="3" t="s">
        <v>1828</v>
      </c>
      <c r="C870" s="3" t="str">
        <f t="shared" si="16"/>
        <v>2022-07-06</v>
      </c>
      <c r="D870" s="3" t="s">
        <v>9</v>
      </c>
      <c r="E870" s="3" t="s">
        <v>5</v>
      </c>
      <c r="F870" s="3" t="s">
        <v>10</v>
      </c>
      <c r="G870" s="3" t="s">
        <v>1829</v>
      </c>
      <c r="H870" s="3" t="s">
        <v>1830</v>
      </c>
      <c r="I870" s="4">
        <v>3797.15</v>
      </c>
      <c r="J870" s="3" t="s">
        <v>11</v>
      </c>
    </row>
    <row r="871" spans="1:10" x14ac:dyDescent="0.35">
      <c r="A871" s="3">
        <v>103407568</v>
      </c>
      <c r="B871" s="3" t="s">
        <v>1831</v>
      </c>
      <c r="C871" s="3" t="str">
        <f t="shared" si="16"/>
        <v>2022-07-06</v>
      </c>
      <c r="D871" s="3" t="s">
        <v>9</v>
      </c>
      <c r="E871" s="3" t="s">
        <v>5</v>
      </c>
      <c r="F871" s="3" t="s">
        <v>10</v>
      </c>
      <c r="G871" s="3" t="s">
        <v>1832</v>
      </c>
      <c r="H871" s="3" t="s">
        <v>1833</v>
      </c>
      <c r="I871" s="5">
        <v>4799</v>
      </c>
      <c r="J871" s="3" t="s">
        <v>11</v>
      </c>
    </row>
    <row r="872" spans="1:10" x14ac:dyDescent="0.35">
      <c r="A872" s="3">
        <v>103407566</v>
      </c>
      <c r="B872" s="3" t="s">
        <v>1834</v>
      </c>
      <c r="C872" s="3" t="str">
        <f t="shared" si="16"/>
        <v>2022-07-06</v>
      </c>
      <c r="D872" s="3" t="s">
        <v>9</v>
      </c>
      <c r="E872" s="3" t="s">
        <v>5</v>
      </c>
      <c r="F872" s="3" t="s">
        <v>10</v>
      </c>
      <c r="G872" s="3" t="s">
        <v>1835</v>
      </c>
      <c r="H872" s="3" t="s">
        <v>1836</v>
      </c>
      <c r="I872" s="5">
        <v>1119</v>
      </c>
      <c r="J872" s="3" t="s">
        <v>11</v>
      </c>
    </row>
    <row r="873" spans="1:10" x14ac:dyDescent="0.35">
      <c r="A873" s="3">
        <v>103407559</v>
      </c>
      <c r="B873" s="3" t="s">
        <v>1837</v>
      </c>
      <c r="C873" s="3" t="str">
        <f t="shared" si="16"/>
        <v>2022-07-06</v>
      </c>
      <c r="D873" s="3" t="s">
        <v>9</v>
      </c>
      <c r="E873" s="3" t="s">
        <v>5</v>
      </c>
      <c r="F873" s="3" t="s">
        <v>12</v>
      </c>
      <c r="G873" s="3" t="s">
        <v>1838</v>
      </c>
      <c r="H873" s="3" t="s">
        <v>1839</v>
      </c>
      <c r="I873" s="3">
        <v>899</v>
      </c>
      <c r="J873" s="3" t="s">
        <v>11</v>
      </c>
    </row>
    <row r="874" spans="1:10" x14ac:dyDescent="0.35">
      <c r="A874" s="3">
        <v>103407558</v>
      </c>
      <c r="B874" s="3" t="s">
        <v>1840</v>
      </c>
      <c r="C874" s="3" t="str">
        <f t="shared" si="16"/>
        <v>2022-07-06</v>
      </c>
      <c r="D874" s="3" t="s">
        <v>9</v>
      </c>
      <c r="E874" s="3" t="s">
        <v>5</v>
      </c>
      <c r="F874" s="3" t="s">
        <v>10</v>
      </c>
      <c r="G874" s="3" t="s">
        <v>1841</v>
      </c>
      <c r="H874" s="3" t="s">
        <v>1842</v>
      </c>
      <c r="I874" s="5">
        <v>3116</v>
      </c>
      <c r="J874" s="3" t="s">
        <v>11</v>
      </c>
    </row>
    <row r="875" spans="1:10" x14ac:dyDescent="0.35">
      <c r="A875" s="3">
        <v>103407557</v>
      </c>
      <c r="B875" s="3" t="s">
        <v>1843</v>
      </c>
      <c r="C875" s="3" t="str">
        <f t="shared" si="16"/>
        <v>2022-07-06</v>
      </c>
      <c r="D875" s="3" t="s">
        <v>9</v>
      </c>
      <c r="E875" s="3" t="s">
        <v>5</v>
      </c>
      <c r="F875" s="3" t="s">
        <v>12</v>
      </c>
      <c r="G875" s="3" t="s">
        <v>1844</v>
      </c>
      <c r="H875" s="3" t="s">
        <v>1845</v>
      </c>
      <c r="I875" s="3">
        <v>759.05</v>
      </c>
      <c r="J875" s="3" t="s">
        <v>11</v>
      </c>
    </row>
    <row r="876" spans="1:10" x14ac:dyDescent="0.35">
      <c r="A876" s="3">
        <v>103407556</v>
      </c>
      <c r="B876" s="3" t="s">
        <v>1846</v>
      </c>
      <c r="C876" s="3" t="str">
        <f t="shared" si="16"/>
        <v>2022-07-06</v>
      </c>
      <c r="D876" s="3" t="s">
        <v>9</v>
      </c>
      <c r="E876" s="3" t="s">
        <v>5</v>
      </c>
      <c r="F876" s="3" t="s">
        <v>10</v>
      </c>
      <c r="G876" s="3" t="s">
        <v>1847</v>
      </c>
      <c r="H876" s="3" t="s">
        <v>1848</v>
      </c>
      <c r="I876" s="4">
        <v>2715.1</v>
      </c>
      <c r="J876" s="3" t="s">
        <v>11</v>
      </c>
    </row>
    <row r="877" spans="1:10" x14ac:dyDescent="0.35">
      <c r="A877" s="3">
        <v>103407555</v>
      </c>
      <c r="B877" s="3" t="s">
        <v>1849</v>
      </c>
      <c r="C877" s="3" t="str">
        <f t="shared" si="16"/>
        <v>2022-07-06</v>
      </c>
      <c r="D877" s="3" t="s">
        <v>9</v>
      </c>
      <c r="E877" s="3" t="s">
        <v>5</v>
      </c>
      <c r="F877" s="3" t="s">
        <v>10</v>
      </c>
      <c r="G877" s="3" t="s">
        <v>1850</v>
      </c>
      <c r="H877" s="3" t="s">
        <v>1851</v>
      </c>
      <c r="I877" s="5">
        <v>2699</v>
      </c>
      <c r="J877" s="3" t="s">
        <v>11</v>
      </c>
    </row>
    <row r="878" spans="1:10" x14ac:dyDescent="0.35">
      <c r="A878" s="3">
        <v>103407550</v>
      </c>
      <c r="B878" s="3" t="s">
        <v>1852</v>
      </c>
      <c r="C878" s="3" t="str">
        <f t="shared" si="16"/>
        <v>2022-07-06</v>
      </c>
      <c r="D878" s="3" t="s">
        <v>9</v>
      </c>
      <c r="E878" s="3" t="s">
        <v>5</v>
      </c>
      <c r="F878" s="3" t="s">
        <v>12</v>
      </c>
      <c r="G878" s="3" t="s">
        <v>1853</v>
      </c>
      <c r="H878" s="3" t="s">
        <v>1854</v>
      </c>
      <c r="I878" s="5">
        <v>4499</v>
      </c>
      <c r="J878" s="3" t="s">
        <v>11</v>
      </c>
    </row>
    <row r="879" spans="1:10" x14ac:dyDescent="0.35">
      <c r="A879" s="3">
        <v>103407547</v>
      </c>
      <c r="B879" s="3" t="s">
        <v>1855</v>
      </c>
      <c r="C879" s="3" t="str">
        <f t="shared" si="16"/>
        <v>2022-07-06</v>
      </c>
      <c r="D879" s="3" t="s">
        <v>9</v>
      </c>
      <c r="E879" s="3" t="s">
        <v>5</v>
      </c>
      <c r="F879" s="3" t="s">
        <v>10</v>
      </c>
      <c r="G879" s="3" t="s">
        <v>1856</v>
      </c>
      <c r="H879" s="3" t="s">
        <v>1857</v>
      </c>
      <c r="I879" s="3">
        <v>649</v>
      </c>
      <c r="J879" s="3" t="s">
        <v>11</v>
      </c>
    </row>
    <row r="880" spans="1:10" x14ac:dyDescent="0.35">
      <c r="A880" s="3">
        <v>103407544</v>
      </c>
      <c r="B880" s="3" t="s">
        <v>1858</v>
      </c>
      <c r="C880" s="3" t="str">
        <f t="shared" si="16"/>
        <v>2022-07-06</v>
      </c>
      <c r="D880" s="3" t="s">
        <v>9</v>
      </c>
      <c r="E880" s="3" t="s">
        <v>5</v>
      </c>
      <c r="F880" s="3" t="s">
        <v>10</v>
      </c>
      <c r="G880" s="3" t="s">
        <v>1859</v>
      </c>
      <c r="H880" s="3" t="s">
        <v>1860</v>
      </c>
      <c r="I880" s="5">
        <v>1259</v>
      </c>
      <c r="J880" s="3" t="s">
        <v>11</v>
      </c>
    </row>
    <row r="881" spans="1:10" x14ac:dyDescent="0.35">
      <c r="A881" s="3">
        <v>103407434</v>
      </c>
      <c r="B881" s="3" t="s">
        <v>1861</v>
      </c>
      <c r="C881" s="3" t="str">
        <f t="shared" si="16"/>
        <v>2022-07-06</v>
      </c>
      <c r="D881" s="3" t="s">
        <v>9</v>
      </c>
      <c r="E881" s="3" t="s">
        <v>5</v>
      </c>
      <c r="F881" s="3" t="s">
        <v>10</v>
      </c>
      <c r="G881" s="3" t="s">
        <v>1862</v>
      </c>
      <c r="H881" s="3" t="s">
        <v>1863</v>
      </c>
      <c r="I881" s="5">
        <v>3899</v>
      </c>
      <c r="J881" s="3" t="s">
        <v>11</v>
      </c>
    </row>
    <row r="882" spans="1:10" x14ac:dyDescent="0.35">
      <c r="A882" s="3">
        <v>103407431</v>
      </c>
      <c r="B882" s="3" t="s">
        <v>1864</v>
      </c>
      <c r="C882" s="3" t="str">
        <f t="shared" si="16"/>
        <v>2022-07-06</v>
      </c>
      <c r="D882" s="3" t="s">
        <v>9</v>
      </c>
      <c r="E882" s="3" t="s">
        <v>5</v>
      </c>
      <c r="F882" s="3" t="s">
        <v>10</v>
      </c>
      <c r="G882" s="3" t="s">
        <v>1865</v>
      </c>
      <c r="H882" s="3" t="s">
        <v>1866</v>
      </c>
      <c r="I882" s="4">
        <v>1136.25</v>
      </c>
      <c r="J882" s="3" t="s">
        <v>11</v>
      </c>
    </row>
    <row r="883" spans="1:10" x14ac:dyDescent="0.35">
      <c r="A883" s="3">
        <v>103407430</v>
      </c>
      <c r="B883" s="3" t="s">
        <v>1867</v>
      </c>
      <c r="C883" s="3" t="str">
        <f t="shared" si="16"/>
        <v>2022-07-06</v>
      </c>
      <c r="D883" s="3" t="s">
        <v>9</v>
      </c>
      <c r="E883" s="3" t="s">
        <v>5</v>
      </c>
      <c r="F883" s="3" t="s">
        <v>10</v>
      </c>
      <c r="G883" s="3" t="s">
        <v>1868</v>
      </c>
      <c r="H883" s="3" t="s">
        <v>1869</v>
      </c>
      <c r="I883" s="4">
        <v>1661.55</v>
      </c>
      <c r="J883" s="3" t="s">
        <v>11</v>
      </c>
    </row>
    <row r="884" spans="1:10" x14ac:dyDescent="0.35">
      <c r="A884" s="3">
        <v>103407539</v>
      </c>
      <c r="B884" s="3" t="s">
        <v>1870</v>
      </c>
      <c r="C884" s="3" t="str">
        <f t="shared" si="16"/>
        <v>2022-07-06</v>
      </c>
      <c r="D884" s="3" t="s">
        <v>9</v>
      </c>
      <c r="E884" s="3" t="s">
        <v>5</v>
      </c>
      <c r="F884" s="3" t="s">
        <v>10</v>
      </c>
      <c r="G884" s="3" t="s">
        <v>1871</v>
      </c>
      <c r="H884" s="3" t="s">
        <v>1872</v>
      </c>
      <c r="I884" s="5">
        <v>1499</v>
      </c>
      <c r="J884" s="3" t="s">
        <v>11</v>
      </c>
    </row>
    <row r="885" spans="1:10" x14ac:dyDescent="0.35">
      <c r="A885" s="3">
        <v>103407428</v>
      </c>
      <c r="B885" s="3" t="s">
        <v>1873</v>
      </c>
      <c r="C885" s="3" t="str">
        <f t="shared" si="16"/>
        <v>2022-07-06</v>
      </c>
      <c r="D885" s="3" t="s">
        <v>9</v>
      </c>
      <c r="E885" s="3" t="s">
        <v>5</v>
      </c>
      <c r="F885" s="3" t="s">
        <v>12</v>
      </c>
      <c r="G885" s="3" t="s">
        <v>1874</v>
      </c>
      <c r="H885" s="3" t="s">
        <v>1875</v>
      </c>
      <c r="I885" s="5">
        <v>2399</v>
      </c>
      <c r="J885" s="3" t="s">
        <v>11</v>
      </c>
    </row>
    <row r="886" spans="1:10" x14ac:dyDescent="0.35">
      <c r="A886" s="3">
        <v>103407538</v>
      </c>
      <c r="B886" s="3" t="s">
        <v>1876</v>
      </c>
      <c r="C886" s="3" t="str">
        <f t="shared" si="16"/>
        <v>2022-07-06</v>
      </c>
      <c r="D886" s="3" t="s">
        <v>9</v>
      </c>
      <c r="E886" s="3" t="s">
        <v>5</v>
      </c>
      <c r="F886" s="3" t="s">
        <v>10</v>
      </c>
      <c r="G886" s="3" t="s">
        <v>1877</v>
      </c>
      <c r="H886" s="3" t="s">
        <v>1878</v>
      </c>
      <c r="I886" s="4">
        <v>4962.8500000000004</v>
      </c>
      <c r="J886" s="3" t="s">
        <v>11</v>
      </c>
    </row>
    <row r="887" spans="1:10" x14ac:dyDescent="0.35">
      <c r="A887" s="3">
        <v>103407536</v>
      </c>
      <c r="B887" s="3" t="s">
        <v>1879</v>
      </c>
      <c r="C887" s="3" t="str">
        <f t="shared" si="16"/>
        <v>2022-07-06</v>
      </c>
      <c r="D887" s="3" t="s">
        <v>9</v>
      </c>
      <c r="E887" s="3" t="s">
        <v>5</v>
      </c>
      <c r="F887" s="3" t="s">
        <v>10</v>
      </c>
      <c r="G887" s="3" t="s">
        <v>1880</v>
      </c>
      <c r="H887" s="3" t="s">
        <v>1881</v>
      </c>
      <c r="I887" s="5">
        <v>3648</v>
      </c>
      <c r="J887" s="3" t="s">
        <v>11</v>
      </c>
    </row>
    <row r="888" spans="1:10" x14ac:dyDescent="0.35">
      <c r="A888" s="3">
        <v>103407533</v>
      </c>
      <c r="B888" s="3" t="s">
        <v>1882</v>
      </c>
      <c r="C888" s="3" t="str">
        <f t="shared" si="16"/>
        <v>2022-07-06</v>
      </c>
      <c r="D888" s="3" t="s">
        <v>9</v>
      </c>
      <c r="E888" s="3" t="s">
        <v>5</v>
      </c>
      <c r="F888" s="3" t="s">
        <v>12</v>
      </c>
      <c r="G888" s="3" t="s">
        <v>1883</v>
      </c>
      <c r="H888" s="3" t="s">
        <v>1884</v>
      </c>
      <c r="I888" s="5">
        <v>1259</v>
      </c>
      <c r="J888" s="3" t="s">
        <v>11</v>
      </c>
    </row>
    <row r="889" spans="1:10" x14ac:dyDescent="0.35">
      <c r="A889" s="3">
        <v>103407532</v>
      </c>
      <c r="B889" s="3" t="s">
        <v>1885</v>
      </c>
      <c r="C889" s="3" t="str">
        <f t="shared" si="16"/>
        <v>2022-07-06</v>
      </c>
      <c r="D889" s="3" t="s">
        <v>9</v>
      </c>
      <c r="E889" s="3" t="s">
        <v>5</v>
      </c>
      <c r="F889" s="3" t="s">
        <v>10</v>
      </c>
      <c r="G889" s="3" t="s">
        <v>1886</v>
      </c>
      <c r="H889" s="3" t="s">
        <v>1887</v>
      </c>
      <c r="I889" s="4">
        <v>4008.05</v>
      </c>
      <c r="J889" s="3" t="s">
        <v>11</v>
      </c>
    </row>
    <row r="890" spans="1:10" x14ac:dyDescent="0.35">
      <c r="A890" s="3">
        <v>103407426</v>
      </c>
      <c r="B890" s="3" t="s">
        <v>1888</v>
      </c>
      <c r="C890" s="3" t="str">
        <f t="shared" si="16"/>
        <v>2022-07-06</v>
      </c>
      <c r="D890" s="3" t="s">
        <v>9</v>
      </c>
      <c r="E890" s="3" t="s">
        <v>5</v>
      </c>
      <c r="F890" s="3" t="s">
        <v>10</v>
      </c>
      <c r="G890" s="3" t="s">
        <v>1889</v>
      </c>
      <c r="H890" s="3" t="s">
        <v>1890</v>
      </c>
      <c r="I890" s="5">
        <v>1428</v>
      </c>
      <c r="J890" s="3" t="s">
        <v>11</v>
      </c>
    </row>
    <row r="891" spans="1:10" x14ac:dyDescent="0.35">
      <c r="A891" s="3">
        <v>103407425</v>
      </c>
      <c r="B891" s="3" t="s">
        <v>1891</v>
      </c>
      <c r="C891" s="3" t="str">
        <f t="shared" si="16"/>
        <v>2022-07-06</v>
      </c>
      <c r="D891" s="3" t="s">
        <v>9</v>
      </c>
      <c r="E891" s="3" t="s">
        <v>5</v>
      </c>
      <c r="F891" s="3" t="s">
        <v>10</v>
      </c>
      <c r="G891" s="3" t="s">
        <v>1892</v>
      </c>
      <c r="H891" s="3" t="s">
        <v>1893</v>
      </c>
      <c r="I891" s="4">
        <v>4767.1000000000004</v>
      </c>
      <c r="J891" s="3" t="s">
        <v>11</v>
      </c>
    </row>
    <row r="892" spans="1:10" x14ac:dyDescent="0.35">
      <c r="A892" s="3">
        <v>103407526</v>
      </c>
      <c r="B892" s="3" t="s">
        <v>1894</v>
      </c>
      <c r="C892" s="3" t="str">
        <f t="shared" si="16"/>
        <v>2022-07-06</v>
      </c>
      <c r="D892" s="3" t="s">
        <v>9</v>
      </c>
      <c r="E892" s="3" t="s">
        <v>5</v>
      </c>
      <c r="F892" s="3" t="s">
        <v>10</v>
      </c>
      <c r="G892" s="3" t="s">
        <v>1895</v>
      </c>
      <c r="H892" s="3" t="s">
        <v>1896</v>
      </c>
      <c r="I892" s="4">
        <v>2098.5</v>
      </c>
      <c r="J892" s="3" t="s">
        <v>11</v>
      </c>
    </row>
    <row r="893" spans="1:10" x14ac:dyDescent="0.35">
      <c r="A893" s="3">
        <v>103407523</v>
      </c>
      <c r="B893" s="3" t="s">
        <v>1897</v>
      </c>
      <c r="C893" s="3" t="str">
        <f t="shared" si="16"/>
        <v>2022-07-06</v>
      </c>
      <c r="D893" s="3" t="s">
        <v>9</v>
      </c>
      <c r="E893" s="3" t="s">
        <v>5</v>
      </c>
      <c r="F893" s="3" t="s">
        <v>10</v>
      </c>
      <c r="G893" s="3" t="s">
        <v>1898</v>
      </c>
      <c r="H893" s="3" t="s">
        <v>1899</v>
      </c>
      <c r="I893" s="4">
        <v>2393.14</v>
      </c>
      <c r="J893" s="3" t="s">
        <v>11</v>
      </c>
    </row>
    <row r="894" spans="1:10" x14ac:dyDescent="0.35">
      <c r="A894" s="3">
        <v>103407422</v>
      </c>
      <c r="B894" s="3" t="s">
        <v>1900</v>
      </c>
      <c r="C894" s="3" t="str">
        <f t="shared" si="16"/>
        <v>2022-07-06</v>
      </c>
      <c r="D894" s="3" t="s">
        <v>9</v>
      </c>
      <c r="E894" s="3" t="s">
        <v>5</v>
      </c>
      <c r="F894" s="3" t="s">
        <v>10</v>
      </c>
      <c r="G894" s="3" t="s">
        <v>1901</v>
      </c>
      <c r="H894" s="3" t="s">
        <v>1902</v>
      </c>
      <c r="I894" s="3">
        <v>839</v>
      </c>
      <c r="J894" s="3" t="s">
        <v>11</v>
      </c>
    </row>
    <row r="895" spans="1:10" x14ac:dyDescent="0.35">
      <c r="A895" s="3">
        <v>103407518</v>
      </c>
      <c r="B895" s="3" t="s">
        <v>1903</v>
      </c>
      <c r="C895" s="3" t="str">
        <f t="shared" si="16"/>
        <v>2022-07-06</v>
      </c>
      <c r="D895" s="3" t="s">
        <v>9</v>
      </c>
      <c r="E895" s="3" t="s">
        <v>5</v>
      </c>
      <c r="F895" s="3" t="s">
        <v>10</v>
      </c>
      <c r="G895" s="3" t="s">
        <v>1904</v>
      </c>
      <c r="H895" s="3" t="s">
        <v>1905</v>
      </c>
      <c r="I895" s="4">
        <v>3656.55</v>
      </c>
      <c r="J895" s="3" t="s">
        <v>11</v>
      </c>
    </row>
    <row r="896" spans="1:10" x14ac:dyDescent="0.35">
      <c r="A896" s="3">
        <v>103407514</v>
      </c>
      <c r="B896" s="3" t="s">
        <v>1906</v>
      </c>
      <c r="C896" s="3" t="str">
        <f t="shared" si="16"/>
        <v>2022-07-06</v>
      </c>
      <c r="D896" s="3" t="s">
        <v>9</v>
      </c>
      <c r="E896" s="3" t="s">
        <v>5</v>
      </c>
      <c r="F896" s="3" t="s">
        <v>10</v>
      </c>
      <c r="G896" s="3" t="s">
        <v>1907</v>
      </c>
      <c r="H896" s="3" t="s">
        <v>1908</v>
      </c>
      <c r="I896" s="5">
        <v>3149</v>
      </c>
      <c r="J896" s="3" t="s">
        <v>11</v>
      </c>
    </row>
    <row r="897" spans="1:10" x14ac:dyDescent="0.35">
      <c r="A897" s="3">
        <v>103407511</v>
      </c>
      <c r="B897" s="3" t="s">
        <v>1909</v>
      </c>
      <c r="C897" s="3" t="str">
        <f t="shared" si="16"/>
        <v>2022-07-06</v>
      </c>
      <c r="D897" s="3" t="s">
        <v>9</v>
      </c>
      <c r="E897" s="3" t="s">
        <v>5</v>
      </c>
      <c r="F897" s="3" t="s">
        <v>12</v>
      </c>
      <c r="G897" s="3" t="s">
        <v>1910</v>
      </c>
      <c r="H897" s="3" t="s">
        <v>1911</v>
      </c>
      <c r="I897" s="5">
        <v>1079</v>
      </c>
      <c r="J897" s="3" t="s">
        <v>11</v>
      </c>
    </row>
    <row r="898" spans="1:10" x14ac:dyDescent="0.35">
      <c r="A898" s="3">
        <v>103407508</v>
      </c>
      <c r="B898" s="3" t="s">
        <v>1912</v>
      </c>
      <c r="C898" s="3" t="str">
        <f t="shared" si="16"/>
        <v>2022-07-06</v>
      </c>
      <c r="D898" s="3" t="s">
        <v>9</v>
      </c>
      <c r="E898" s="3" t="s">
        <v>5</v>
      </c>
      <c r="F898" s="3" t="s">
        <v>12</v>
      </c>
      <c r="G898" s="3" t="s">
        <v>1913</v>
      </c>
      <c r="H898" s="3" t="s">
        <v>1914</v>
      </c>
      <c r="I898" s="4">
        <v>2089.0500000000002</v>
      </c>
      <c r="J898" s="3" t="s">
        <v>11</v>
      </c>
    </row>
    <row r="899" spans="1:10" x14ac:dyDescent="0.35">
      <c r="A899" s="3">
        <v>103407506</v>
      </c>
      <c r="B899" s="3" t="s">
        <v>1915</v>
      </c>
      <c r="C899" s="3" t="str">
        <f t="shared" ref="C899:C962" si="17">LEFT(B899,FIND("T",B899)-1)</f>
        <v>2022-07-06</v>
      </c>
      <c r="D899" s="3" t="s">
        <v>9</v>
      </c>
      <c r="E899" s="3" t="s">
        <v>5</v>
      </c>
      <c r="F899" s="3" t="s">
        <v>10</v>
      </c>
      <c r="G899" s="3" t="s">
        <v>1916</v>
      </c>
      <c r="H899" s="3" t="s">
        <v>1917</v>
      </c>
      <c r="I899" s="4">
        <v>2051.14</v>
      </c>
      <c r="J899" s="3" t="s">
        <v>11</v>
      </c>
    </row>
    <row r="900" spans="1:10" x14ac:dyDescent="0.35">
      <c r="A900" s="3">
        <v>103407410</v>
      </c>
      <c r="B900" s="3" t="s">
        <v>1918</v>
      </c>
      <c r="C900" s="3" t="str">
        <f t="shared" si="17"/>
        <v>2022-07-06</v>
      </c>
      <c r="D900" s="3" t="s">
        <v>9</v>
      </c>
      <c r="E900" s="3" t="s">
        <v>5</v>
      </c>
      <c r="F900" s="3" t="s">
        <v>10</v>
      </c>
      <c r="G900" s="3" t="s">
        <v>1919</v>
      </c>
      <c r="H900" s="3" t="s">
        <v>1920</v>
      </c>
      <c r="I900" s="5">
        <v>1269</v>
      </c>
      <c r="J900" s="3" t="s">
        <v>11</v>
      </c>
    </row>
    <row r="901" spans="1:10" x14ac:dyDescent="0.35">
      <c r="A901" s="3">
        <v>103407505</v>
      </c>
      <c r="B901" s="3" t="s">
        <v>1921</v>
      </c>
      <c r="C901" s="3" t="str">
        <f t="shared" si="17"/>
        <v>2022-07-06</v>
      </c>
      <c r="D901" s="3" t="s">
        <v>9</v>
      </c>
      <c r="E901" s="3" t="s">
        <v>5</v>
      </c>
      <c r="F901" s="3" t="s">
        <v>10</v>
      </c>
      <c r="G901" s="3" t="s">
        <v>1922</v>
      </c>
      <c r="H901" s="3" t="s">
        <v>1923</v>
      </c>
      <c r="I901" s="3">
        <v>540.6</v>
      </c>
      <c r="J901" s="3" t="s">
        <v>11</v>
      </c>
    </row>
    <row r="902" spans="1:10" x14ac:dyDescent="0.35">
      <c r="A902" s="3">
        <v>103407503</v>
      </c>
      <c r="B902" s="3" t="s">
        <v>1924</v>
      </c>
      <c r="C902" s="3" t="str">
        <f t="shared" si="17"/>
        <v>2022-07-06</v>
      </c>
      <c r="D902" s="3" t="s">
        <v>9</v>
      </c>
      <c r="E902" s="3" t="s">
        <v>5</v>
      </c>
      <c r="F902" s="3" t="s">
        <v>10</v>
      </c>
      <c r="G902" s="3" t="s">
        <v>1925</v>
      </c>
      <c r="H902" s="3" t="s">
        <v>1926</v>
      </c>
      <c r="I902" s="4">
        <v>2279.0500000000002</v>
      </c>
      <c r="J902" s="3" t="s">
        <v>11</v>
      </c>
    </row>
    <row r="903" spans="1:10" x14ac:dyDescent="0.35">
      <c r="A903" s="3">
        <v>103407408</v>
      </c>
      <c r="B903" s="3" t="s">
        <v>1927</v>
      </c>
      <c r="C903" s="3" t="str">
        <f t="shared" si="17"/>
        <v>2022-07-06</v>
      </c>
      <c r="D903" s="3" t="s">
        <v>9</v>
      </c>
      <c r="E903" s="3" t="s">
        <v>5</v>
      </c>
      <c r="F903" s="3" t="s">
        <v>10</v>
      </c>
      <c r="G903" s="3" t="s">
        <v>1928</v>
      </c>
      <c r="H903" s="3" t="s">
        <v>1929</v>
      </c>
      <c r="I903" s="5">
        <v>4549</v>
      </c>
      <c r="J903" s="3" t="s">
        <v>11</v>
      </c>
    </row>
    <row r="904" spans="1:10" x14ac:dyDescent="0.35">
      <c r="A904" s="3">
        <v>103407406</v>
      </c>
      <c r="B904" s="3" t="s">
        <v>1930</v>
      </c>
      <c r="C904" s="3" t="str">
        <f t="shared" si="17"/>
        <v>2022-07-06</v>
      </c>
      <c r="D904" s="3" t="s">
        <v>9</v>
      </c>
      <c r="E904" s="3" t="s">
        <v>5</v>
      </c>
      <c r="F904" s="3" t="s">
        <v>10</v>
      </c>
      <c r="G904" s="3" t="s">
        <v>1931</v>
      </c>
      <c r="H904" s="3" t="s">
        <v>1932</v>
      </c>
      <c r="I904" s="3">
        <v>673.55</v>
      </c>
      <c r="J904" s="3" t="s">
        <v>11</v>
      </c>
    </row>
    <row r="905" spans="1:10" x14ac:dyDescent="0.35">
      <c r="A905" s="3">
        <v>103407405</v>
      </c>
      <c r="B905" s="3" t="s">
        <v>1933</v>
      </c>
      <c r="C905" s="3" t="str">
        <f t="shared" si="17"/>
        <v>2022-07-06</v>
      </c>
      <c r="D905" s="3" t="s">
        <v>9</v>
      </c>
      <c r="E905" s="3" t="s">
        <v>5</v>
      </c>
      <c r="F905" s="3" t="s">
        <v>10</v>
      </c>
      <c r="G905" s="3" t="s">
        <v>1934</v>
      </c>
      <c r="H905" s="3" t="s">
        <v>1935</v>
      </c>
      <c r="I905" s="5">
        <v>3499</v>
      </c>
      <c r="J905" s="3" t="s">
        <v>11</v>
      </c>
    </row>
    <row r="906" spans="1:10" x14ac:dyDescent="0.35">
      <c r="A906" s="3">
        <v>103407494</v>
      </c>
      <c r="B906" s="3" t="s">
        <v>1936</v>
      </c>
      <c r="C906" s="3" t="str">
        <f t="shared" si="17"/>
        <v>2022-07-06</v>
      </c>
      <c r="D906" s="3" t="s">
        <v>9</v>
      </c>
      <c r="E906" s="3" t="s">
        <v>5</v>
      </c>
      <c r="F906" s="3" t="s">
        <v>10</v>
      </c>
      <c r="G906" s="3" t="s">
        <v>1937</v>
      </c>
      <c r="H906" s="3" t="s">
        <v>1938</v>
      </c>
      <c r="I906" s="4">
        <v>3324.05</v>
      </c>
      <c r="J906" s="3" t="s">
        <v>11</v>
      </c>
    </row>
    <row r="907" spans="1:10" x14ac:dyDescent="0.35">
      <c r="A907" s="3">
        <v>103407402</v>
      </c>
      <c r="B907" s="3" t="s">
        <v>1939</v>
      </c>
      <c r="C907" s="3" t="str">
        <f t="shared" si="17"/>
        <v>2022-07-06</v>
      </c>
      <c r="D907" s="3" t="s">
        <v>9</v>
      </c>
      <c r="E907" s="3" t="s">
        <v>5</v>
      </c>
      <c r="F907" s="3" t="s">
        <v>10</v>
      </c>
      <c r="G907" s="3" t="s">
        <v>1940</v>
      </c>
      <c r="H907" s="3" t="s">
        <v>1941</v>
      </c>
      <c r="I907" s="3">
        <v>626.04999999999995</v>
      </c>
      <c r="J907" s="3" t="s">
        <v>11</v>
      </c>
    </row>
    <row r="908" spans="1:10" x14ac:dyDescent="0.35">
      <c r="A908" s="3">
        <v>103407491</v>
      </c>
      <c r="B908" s="3" t="s">
        <v>1942</v>
      </c>
      <c r="C908" s="3" t="str">
        <f t="shared" si="17"/>
        <v>2022-07-06</v>
      </c>
      <c r="D908" s="3" t="s">
        <v>9</v>
      </c>
      <c r="E908" s="3" t="s">
        <v>5</v>
      </c>
      <c r="F908" s="3" t="s">
        <v>10</v>
      </c>
      <c r="G908" s="3" t="s">
        <v>1943</v>
      </c>
      <c r="H908" s="3" t="s">
        <v>1944</v>
      </c>
      <c r="I908" s="5">
        <v>2399</v>
      </c>
      <c r="J908" s="3" t="s">
        <v>11</v>
      </c>
    </row>
    <row r="909" spans="1:10" x14ac:dyDescent="0.35">
      <c r="A909" s="3">
        <v>103407392</v>
      </c>
      <c r="B909" s="3" t="s">
        <v>1945</v>
      </c>
      <c r="C909" s="3" t="str">
        <f t="shared" si="17"/>
        <v>2022-07-06</v>
      </c>
      <c r="D909" s="3" t="s">
        <v>9</v>
      </c>
      <c r="E909" s="3" t="s">
        <v>5</v>
      </c>
      <c r="F909" s="3" t="s">
        <v>10</v>
      </c>
      <c r="G909" s="3" t="s">
        <v>1946</v>
      </c>
      <c r="H909" s="3" t="s">
        <v>1947</v>
      </c>
      <c r="I909" s="5">
        <v>2309</v>
      </c>
      <c r="J909" s="3" t="s">
        <v>11</v>
      </c>
    </row>
    <row r="910" spans="1:10" x14ac:dyDescent="0.35">
      <c r="A910" s="3">
        <v>103407489</v>
      </c>
      <c r="B910" s="3" t="s">
        <v>1948</v>
      </c>
      <c r="C910" s="3" t="str">
        <f t="shared" si="17"/>
        <v>2022-07-06</v>
      </c>
      <c r="D910" s="3" t="s">
        <v>9</v>
      </c>
      <c r="E910" s="3" t="s">
        <v>5</v>
      </c>
      <c r="F910" s="3" t="s">
        <v>10</v>
      </c>
      <c r="G910" s="3" t="s">
        <v>1702</v>
      </c>
      <c r="H910" s="3" t="s">
        <v>1703</v>
      </c>
      <c r="I910" s="4">
        <v>1551.4</v>
      </c>
      <c r="J910" s="3" t="s">
        <v>11</v>
      </c>
    </row>
    <row r="911" spans="1:10" x14ac:dyDescent="0.35">
      <c r="A911" s="3">
        <v>103407488</v>
      </c>
      <c r="B911" s="3" t="s">
        <v>1949</v>
      </c>
      <c r="C911" s="3" t="str">
        <f t="shared" si="17"/>
        <v>2022-07-06</v>
      </c>
      <c r="D911" s="3" t="s">
        <v>9</v>
      </c>
      <c r="E911" s="3" t="s">
        <v>5</v>
      </c>
      <c r="F911" s="3" t="s">
        <v>10</v>
      </c>
      <c r="G911" s="3" t="s">
        <v>1950</v>
      </c>
      <c r="H911" s="3" t="s">
        <v>1951</v>
      </c>
      <c r="I911" s="5">
        <v>3999</v>
      </c>
      <c r="J911" s="3" t="s">
        <v>11</v>
      </c>
    </row>
    <row r="912" spans="1:10" x14ac:dyDescent="0.35">
      <c r="A912" s="3">
        <v>103407483</v>
      </c>
      <c r="B912" s="3" t="s">
        <v>1952</v>
      </c>
      <c r="C912" s="3" t="str">
        <f t="shared" si="17"/>
        <v>2022-07-06</v>
      </c>
      <c r="D912" s="3" t="s">
        <v>9</v>
      </c>
      <c r="E912" s="3" t="s">
        <v>5</v>
      </c>
      <c r="F912" s="3" t="s">
        <v>10</v>
      </c>
      <c r="G912" s="3" t="s">
        <v>1953</v>
      </c>
      <c r="H912" s="3" t="s">
        <v>1954</v>
      </c>
      <c r="I912" s="4">
        <v>3590.14</v>
      </c>
      <c r="J912" s="3" t="s">
        <v>11</v>
      </c>
    </row>
    <row r="913" spans="1:10" x14ac:dyDescent="0.35">
      <c r="A913" s="3">
        <v>103407482</v>
      </c>
      <c r="B913" s="3" t="s">
        <v>1955</v>
      </c>
      <c r="C913" s="3" t="str">
        <f t="shared" si="17"/>
        <v>2022-07-06</v>
      </c>
      <c r="D913" s="3" t="s">
        <v>9</v>
      </c>
      <c r="E913" s="3" t="s">
        <v>5</v>
      </c>
      <c r="F913" s="3" t="s">
        <v>10</v>
      </c>
      <c r="G913" s="3" t="s">
        <v>1956</v>
      </c>
      <c r="H913" s="3" t="s">
        <v>1957</v>
      </c>
      <c r="I913" s="4">
        <v>2241.0500000000002</v>
      </c>
      <c r="J913" s="3" t="s">
        <v>11</v>
      </c>
    </row>
    <row r="914" spans="1:10" x14ac:dyDescent="0.35">
      <c r="A914" s="3">
        <v>103407481</v>
      </c>
      <c r="B914" s="3" t="s">
        <v>1958</v>
      </c>
      <c r="C914" s="3" t="str">
        <f t="shared" si="17"/>
        <v>2022-07-06</v>
      </c>
      <c r="D914" s="3" t="s">
        <v>9</v>
      </c>
      <c r="E914" s="3" t="s">
        <v>5</v>
      </c>
      <c r="F914" s="3" t="s">
        <v>10</v>
      </c>
      <c r="G914" s="3" t="s">
        <v>1959</v>
      </c>
      <c r="H914" s="3" t="s">
        <v>1960</v>
      </c>
      <c r="I914" s="3">
        <v>629</v>
      </c>
      <c r="J914" s="3" t="s">
        <v>11</v>
      </c>
    </row>
    <row r="915" spans="1:10" x14ac:dyDescent="0.35">
      <c r="A915" s="3">
        <v>103407480</v>
      </c>
      <c r="B915" s="3" t="s">
        <v>1961</v>
      </c>
      <c r="C915" s="3" t="str">
        <f t="shared" si="17"/>
        <v>2022-07-06</v>
      </c>
      <c r="D915" s="3" t="s">
        <v>9</v>
      </c>
      <c r="E915" s="3" t="s">
        <v>5</v>
      </c>
      <c r="F915" s="3" t="s">
        <v>10</v>
      </c>
      <c r="G915" s="3" t="s">
        <v>1962</v>
      </c>
      <c r="H915" s="3" t="s">
        <v>1963</v>
      </c>
      <c r="I915" s="5">
        <v>2199</v>
      </c>
      <c r="J915" s="3" t="s">
        <v>11</v>
      </c>
    </row>
    <row r="916" spans="1:10" x14ac:dyDescent="0.35">
      <c r="A916" s="3">
        <v>103407478</v>
      </c>
      <c r="B916" s="3" t="s">
        <v>1964</v>
      </c>
      <c r="C916" s="3" t="str">
        <f t="shared" si="17"/>
        <v>2022-07-06</v>
      </c>
      <c r="D916" s="3" t="s">
        <v>9</v>
      </c>
      <c r="E916" s="3" t="s">
        <v>5</v>
      </c>
      <c r="F916" s="3" t="s">
        <v>12</v>
      </c>
      <c r="G916" s="3" t="s">
        <v>1965</v>
      </c>
      <c r="H916" s="3" t="s">
        <v>1966</v>
      </c>
      <c r="I916" s="5">
        <v>2549</v>
      </c>
      <c r="J916" s="3" t="s">
        <v>11</v>
      </c>
    </row>
    <row r="917" spans="1:10" x14ac:dyDescent="0.35">
      <c r="A917" s="3">
        <v>103407381</v>
      </c>
      <c r="B917" s="3" t="s">
        <v>1967</v>
      </c>
      <c r="C917" s="3" t="str">
        <f t="shared" si="17"/>
        <v>2022-07-06</v>
      </c>
      <c r="D917" s="3" t="s">
        <v>9</v>
      </c>
      <c r="E917" s="3" t="s">
        <v>5</v>
      </c>
      <c r="F917" s="3" t="s">
        <v>10</v>
      </c>
      <c r="G917" s="3" t="s">
        <v>1968</v>
      </c>
      <c r="H917" s="3" t="s">
        <v>1969</v>
      </c>
      <c r="I917" s="3">
        <v>675.97</v>
      </c>
      <c r="J917" s="3" t="s">
        <v>11</v>
      </c>
    </row>
    <row r="918" spans="1:10" x14ac:dyDescent="0.35">
      <c r="A918" s="3">
        <v>103407475</v>
      </c>
      <c r="B918" s="3" t="s">
        <v>1970</v>
      </c>
      <c r="C918" s="3" t="str">
        <f t="shared" si="17"/>
        <v>2022-07-06</v>
      </c>
      <c r="D918" s="3" t="s">
        <v>9</v>
      </c>
      <c r="E918" s="3" t="s">
        <v>5</v>
      </c>
      <c r="F918" s="3" t="s">
        <v>12</v>
      </c>
      <c r="G918" s="3" t="s">
        <v>1971</v>
      </c>
      <c r="H918" s="3" t="s">
        <v>1972</v>
      </c>
      <c r="I918" s="3">
        <v>489</v>
      </c>
      <c r="J918" s="3" t="s">
        <v>11</v>
      </c>
    </row>
    <row r="919" spans="1:10" x14ac:dyDescent="0.35">
      <c r="A919" s="3">
        <v>103407377</v>
      </c>
      <c r="B919" s="3" t="s">
        <v>1970</v>
      </c>
      <c r="C919" s="3" t="str">
        <f t="shared" si="17"/>
        <v>2022-07-06</v>
      </c>
      <c r="D919" s="3" t="s">
        <v>9</v>
      </c>
      <c r="E919" s="3" t="s">
        <v>5</v>
      </c>
      <c r="F919" s="3" t="s">
        <v>10</v>
      </c>
      <c r="G919" s="3" t="s">
        <v>1973</v>
      </c>
      <c r="H919" s="3" t="s">
        <v>1974</v>
      </c>
      <c r="I919" s="4">
        <v>4321.55</v>
      </c>
      <c r="J919" s="3" t="s">
        <v>11</v>
      </c>
    </row>
    <row r="920" spans="1:10" x14ac:dyDescent="0.35">
      <c r="A920" s="3">
        <v>103407376</v>
      </c>
      <c r="B920" s="3" t="s">
        <v>1975</v>
      </c>
      <c r="C920" s="3" t="str">
        <f t="shared" si="17"/>
        <v>2022-07-06</v>
      </c>
      <c r="D920" s="3" t="s">
        <v>9</v>
      </c>
      <c r="E920" s="3" t="s">
        <v>5</v>
      </c>
      <c r="F920" s="3" t="s">
        <v>10</v>
      </c>
      <c r="G920" s="3" t="s">
        <v>1976</v>
      </c>
      <c r="H920" s="3" t="s">
        <v>1977</v>
      </c>
      <c r="I920" s="4">
        <v>1984.55</v>
      </c>
      <c r="J920" s="3" t="s">
        <v>11</v>
      </c>
    </row>
    <row r="921" spans="1:10" x14ac:dyDescent="0.35">
      <c r="A921" s="3">
        <v>103407374</v>
      </c>
      <c r="B921" s="3" t="s">
        <v>1978</v>
      </c>
      <c r="C921" s="3" t="str">
        <f t="shared" si="17"/>
        <v>2022-07-06</v>
      </c>
      <c r="D921" s="3" t="s">
        <v>9</v>
      </c>
      <c r="E921" s="3" t="s">
        <v>5</v>
      </c>
      <c r="F921" s="3" t="s">
        <v>10</v>
      </c>
      <c r="G921" s="3" t="s">
        <v>1979</v>
      </c>
      <c r="H921" s="3" t="s">
        <v>1980</v>
      </c>
      <c r="I921" s="4">
        <v>1300.55</v>
      </c>
      <c r="J921" s="3" t="s">
        <v>11</v>
      </c>
    </row>
    <row r="922" spans="1:10" x14ac:dyDescent="0.35">
      <c r="A922" s="3">
        <v>103407474</v>
      </c>
      <c r="B922" s="3" t="s">
        <v>1981</v>
      </c>
      <c r="C922" s="3" t="str">
        <f t="shared" si="17"/>
        <v>2022-07-06</v>
      </c>
      <c r="D922" s="3" t="s">
        <v>9</v>
      </c>
      <c r="E922" s="3" t="s">
        <v>5</v>
      </c>
      <c r="F922" s="3" t="s">
        <v>10</v>
      </c>
      <c r="G922" s="3" t="s">
        <v>1982</v>
      </c>
      <c r="H922" s="3" t="s">
        <v>1983</v>
      </c>
      <c r="I922" s="5">
        <v>1259</v>
      </c>
      <c r="J922" s="3" t="s">
        <v>11</v>
      </c>
    </row>
    <row r="923" spans="1:10" x14ac:dyDescent="0.35">
      <c r="A923" s="3">
        <v>103407466</v>
      </c>
      <c r="B923" s="3" t="s">
        <v>1984</v>
      </c>
      <c r="C923" s="3" t="str">
        <f t="shared" si="17"/>
        <v>2022-07-06</v>
      </c>
      <c r="D923" s="3" t="s">
        <v>9</v>
      </c>
      <c r="E923" s="3" t="s">
        <v>5</v>
      </c>
      <c r="F923" s="3" t="s">
        <v>10</v>
      </c>
      <c r="G923" s="3" t="s">
        <v>1985</v>
      </c>
      <c r="H923" s="3" t="s">
        <v>1986</v>
      </c>
      <c r="I923" s="5">
        <v>4199</v>
      </c>
      <c r="J923" s="3" t="s">
        <v>11</v>
      </c>
    </row>
    <row r="924" spans="1:10" x14ac:dyDescent="0.35">
      <c r="A924" s="3">
        <v>103407367</v>
      </c>
      <c r="B924" s="3" t="s">
        <v>1987</v>
      </c>
      <c r="C924" s="3" t="str">
        <f t="shared" si="17"/>
        <v>2022-07-06</v>
      </c>
      <c r="D924" s="3" t="s">
        <v>9</v>
      </c>
      <c r="E924" s="3" t="s">
        <v>5</v>
      </c>
      <c r="F924" s="3" t="s">
        <v>12</v>
      </c>
      <c r="G924" s="3" t="s">
        <v>1988</v>
      </c>
      <c r="H924" s="3" t="s">
        <v>1989</v>
      </c>
      <c r="I924" s="5">
        <v>9999</v>
      </c>
      <c r="J924" s="3" t="s">
        <v>11</v>
      </c>
    </row>
    <row r="925" spans="1:10" x14ac:dyDescent="0.35">
      <c r="A925" s="3">
        <v>103407365</v>
      </c>
      <c r="B925" s="3" t="s">
        <v>1990</v>
      </c>
      <c r="C925" s="3" t="str">
        <f t="shared" si="17"/>
        <v>2022-07-06</v>
      </c>
      <c r="D925" s="3" t="s">
        <v>9</v>
      </c>
      <c r="E925" s="3" t="s">
        <v>5</v>
      </c>
      <c r="F925" s="3" t="s">
        <v>10</v>
      </c>
      <c r="G925" s="3" t="s">
        <v>1702</v>
      </c>
      <c r="H925" s="3" t="s">
        <v>1703</v>
      </c>
      <c r="I925" s="4">
        <v>2307.69</v>
      </c>
      <c r="J925" s="3" t="s">
        <v>11</v>
      </c>
    </row>
    <row r="926" spans="1:10" x14ac:dyDescent="0.35">
      <c r="A926" s="3">
        <v>103407264</v>
      </c>
      <c r="B926" s="3" t="s">
        <v>1991</v>
      </c>
      <c r="C926" s="3" t="str">
        <f t="shared" si="17"/>
        <v>2022-07-06</v>
      </c>
      <c r="D926" s="3" t="s">
        <v>9</v>
      </c>
      <c r="E926" s="3" t="s">
        <v>5</v>
      </c>
      <c r="F926" s="3" t="s">
        <v>10</v>
      </c>
      <c r="G926" s="3" t="s">
        <v>1992</v>
      </c>
      <c r="H926" s="3" t="s">
        <v>1993</v>
      </c>
      <c r="I926" s="4">
        <v>1406.09</v>
      </c>
      <c r="J926" s="3" t="s">
        <v>11</v>
      </c>
    </row>
    <row r="927" spans="1:10" x14ac:dyDescent="0.35">
      <c r="A927" s="3">
        <v>103407363</v>
      </c>
      <c r="B927" s="3" t="s">
        <v>1994</v>
      </c>
      <c r="C927" s="3" t="str">
        <f t="shared" si="17"/>
        <v>2022-07-06</v>
      </c>
      <c r="D927" s="3" t="s">
        <v>9</v>
      </c>
      <c r="E927" s="3" t="s">
        <v>5</v>
      </c>
      <c r="F927" s="3" t="s">
        <v>10</v>
      </c>
      <c r="G927" s="3" t="s">
        <v>1995</v>
      </c>
      <c r="H927" s="3" t="s">
        <v>1996</v>
      </c>
      <c r="I927" s="5">
        <v>1599</v>
      </c>
      <c r="J927" s="3" t="s">
        <v>11</v>
      </c>
    </row>
    <row r="928" spans="1:10" x14ac:dyDescent="0.35">
      <c r="A928" s="3">
        <v>103407361</v>
      </c>
      <c r="B928" s="3" t="s">
        <v>1997</v>
      </c>
      <c r="C928" s="3" t="str">
        <f t="shared" si="17"/>
        <v>2022-07-06</v>
      </c>
      <c r="D928" s="3" t="s">
        <v>9</v>
      </c>
      <c r="E928" s="3" t="s">
        <v>5</v>
      </c>
      <c r="F928" s="3" t="s">
        <v>10</v>
      </c>
      <c r="G928" s="3" t="s">
        <v>1998</v>
      </c>
      <c r="H928" s="3" t="s">
        <v>1999</v>
      </c>
      <c r="I928" s="5">
        <v>3499</v>
      </c>
      <c r="J928" s="3" t="s">
        <v>11</v>
      </c>
    </row>
    <row r="929" spans="1:10" x14ac:dyDescent="0.35">
      <c r="A929" s="3">
        <v>103407360</v>
      </c>
      <c r="B929" s="3" t="s">
        <v>2000</v>
      </c>
      <c r="C929" s="3" t="str">
        <f t="shared" si="17"/>
        <v>2022-07-06</v>
      </c>
      <c r="D929" s="3" t="s">
        <v>9</v>
      </c>
      <c r="E929" s="3" t="s">
        <v>5</v>
      </c>
      <c r="F929" s="3" t="s">
        <v>10</v>
      </c>
      <c r="G929" s="3" t="s">
        <v>2001</v>
      </c>
      <c r="H929" s="3" t="s">
        <v>2002</v>
      </c>
      <c r="I929" s="5">
        <v>2999</v>
      </c>
      <c r="J929" s="3" t="s">
        <v>11</v>
      </c>
    </row>
    <row r="930" spans="1:10" x14ac:dyDescent="0.35">
      <c r="A930" s="3">
        <v>103407349</v>
      </c>
      <c r="B930" s="3" t="s">
        <v>2003</v>
      </c>
      <c r="C930" s="3" t="str">
        <f t="shared" si="17"/>
        <v>2022-07-06</v>
      </c>
      <c r="D930" s="3" t="s">
        <v>9</v>
      </c>
      <c r="E930" s="3" t="s">
        <v>5</v>
      </c>
      <c r="F930" s="3" t="s">
        <v>10</v>
      </c>
      <c r="G930" s="3" t="s">
        <v>1847</v>
      </c>
      <c r="H930" s="3" t="s">
        <v>1848</v>
      </c>
      <c r="I930" s="3">
        <v>797.05</v>
      </c>
      <c r="J930" s="3" t="s">
        <v>11</v>
      </c>
    </row>
    <row r="931" spans="1:10" x14ac:dyDescent="0.35">
      <c r="A931" s="3">
        <v>103407253</v>
      </c>
      <c r="B931" s="3" t="s">
        <v>2004</v>
      </c>
      <c r="C931" s="3" t="str">
        <f t="shared" si="17"/>
        <v>2022-07-06</v>
      </c>
      <c r="D931" s="3" t="s">
        <v>9</v>
      </c>
      <c r="E931" s="3" t="s">
        <v>5</v>
      </c>
      <c r="F931" s="3" t="s">
        <v>10</v>
      </c>
      <c r="G931" s="3" t="s">
        <v>2005</v>
      </c>
      <c r="H931" s="3" t="s">
        <v>2006</v>
      </c>
      <c r="I931" s="3">
        <v>329</v>
      </c>
      <c r="J931" s="3" t="s">
        <v>13</v>
      </c>
    </row>
    <row r="932" spans="1:10" x14ac:dyDescent="0.35">
      <c r="A932" s="3">
        <v>103407251</v>
      </c>
      <c r="B932" s="3" t="s">
        <v>2007</v>
      </c>
      <c r="C932" s="3" t="str">
        <f t="shared" si="17"/>
        <v>2022-07-06</v>
      </c>
      <c r="D932" s="3" t="s">
        <v>9</v>
      </c>
      <c r="E932" s="3" t="s">
        <v>5</v>
      </c>
      <c r="F932" s="3" t="s">
        <v>10</v>
      </c>
      <c r="G932" s="3" t="s">
        <v>2008</v>
      </c>
      <c r="H932" s="3" t="s">
        <v>2009</v>
      </c>
      <c r="I932" s="4">
        <v>3133.1</v>
      </c>
      <c r="J932" s="3" t="s">
        <v>11</v>
      </c>
    </row>
    <row r="933" spans="1:10" x14ac:dyDescent="0.35">
      <c r="A933" s="3">
        <v>103407248</v>
      </c>
      <c r="B933" s="3" t="s">
        <v>2010</v>
      </c>
      <c r="C933" s="3" t="str">
        <f t="shared" si="17"/>
        <v>2022-07-06</v>
      </c>
      <c r="D933" s="3" t="s">
        <v>9</v>
      </c>
      <c r="E933" s="3" t="s">
        <v>5</v>
      </c>
      <c r="F933" s="3" t="s">
        <v>10</v>
      </c>
      <c r="G933" s="3" t="s">
        <v>2011</v>
      </c>
      <c r="H933" s="3" t="s">
        <v>2012</v>
      </c>
      <c r="I933" s="4">
        <v>2706.6</v>
      </c>
      <c r="J933" s="3" t="s">
        <v>11</v>
      </c>
    </row>
    <row r="934" spans="1:10" x14ac:dyDescent="0.35">
      <c r="A934" s="3">
        <v>103407328</v>
      </c>
      <c r="B934" s="3" t="s">
        <v>2010</v>
      </c>
      <c r="C934" s="3" t="str">
        <f t="shared" si="17"/>
        <v>2022-07-06</v>
      </c>
      <c r="D934" s="3" t="s">
        <v>9</v>
      </c>
      <c r="E934" s="3" t="s">
        <v>5</v>
      </c>
      <c r="F934" s="3" t="s">
        <v>10</v>
      </c>
      <c r="G934" s="3" t="s">
        <v>2013</v>
      </c>
      <c r="H934" s="3" t="s">
        <v>2014</v>
      </c>
      <c r="I934" s="5">
        <v>3499</v>
      </c>
      <c r="J934" s="3" t="s">
        <v>11</v>
      </c>
    </row>
    <row r="935" spans="1:10" x14ac:dyDescent="0.35">
      <c r="A935" s="3">
        <v>103407245</v>
      </c>
      <c r="B935" s="3" t="s">
        <v>2015</v>
      </c>
      <c r="C935" s="3" t="str">
        <f t="shared" si="17"/>
        <v>2022-07-06</v>
      </c>
      <c r="D935" s="3" t="s">
        <v>9</v>
      </c>
      <c r="E935" s="3" t="s">
        <v>5</v>
      </c>
      <c r="F935" s="3" t="s">
        <v>10</v>
      </c>
      <c r="G935" s="3" t="s">
        <v>2016</v>
      </c>
      <c r="H935" s="3" t="s">
        <v>2017</v>
      </c>
      <c r="I935" s="5">
        <v>1959</v>
      </c>
      <c r="J935" s="3" t="s">
        <v>11</v>
      </c>
    </row>
    <row r="936" spans="1:10" x14ac:dyDescent="0.35">
      <c r="A936" s="3">
        <v>103407240</v>
      </c>
      <c r="B936" s="3" t="s">
        <v>2018</v>
      </c>
      <c r="C936" s="3" t="str">
        <f t="shared" si="17"/>
        <v>2022-07-06</v>
      </c>
      <c r="D936" s="3" t="s">
        <v>9</v>
      </c>
      <c r="E936" s="3" t="s">
        <v>5</v>
      </c>
      <c r="F936" s="3" t="s">
        <v>10</v>
      </c>
      <c r="G936" s="3" t="s">
        <v>2019</v>
      </c>
      <c r="H936" s="3" t="s">
        <v>2020</v>
      </c>
      <c r="I936" s="4">
        <v>3419.14</v>
      </c>
      <c r="J936" s="3" t="s">
        <v>11</v>
      </c>
    </row>
    <row r="937" spans="1:10" x14ac:dyDescent="0.35">
      <c r="A937" s="3">
        <v>103407234</v>
      </c>
      <c r="B937" s="3" t="s">
        <v>2021</v>
      </c>
      <c r="C937" s="3" t="str">
        <f t="shared" si="17"/>
        <v>2022-07-06</v>
      </c>
      <c r="D937" s="3" t="s">
        <v>9</v>
      </c>
      <c r="E937" s="3" t="s">
        <v>5</v>
      </c>
      <c r="F937" s="3" t="s">
        <v>12</v>
      </c>
      <c r="G937" s="3" t="s">
        <v>2022</v>
      </c>
      <c r="H937" s="3" t="s">
        <v>2023</v>
      </c>
      <c r="I937" s="4">
        <v>1007.1</v>
      </c>
      <c r="J937" s="3" t="s">
        <v>11</v>
      </c>
    </row>
    <row r="938" spans="1:10" x14ac:dyDescent="0.35">
      <c r="A938" s="3">
        <v>103407228</v>
      </c>
      <c r="B938" s="3" t="s">
        <v>2024</v>
      </c>
      <c r="C938" s="3" t="str">
        <f t="shared" si="17"/>
        <v>2022-07-06</v>
      </c>
      <c r="D938" s="3" t="s">
        <v>9</v>
      </c>
      <c r="E938" s="3" t="s">
        <v>5</v>
      </c>
      <c r="F938" s="3" t="s">
        <v>10</v>
      </c>
      <c r="G938" s="3" t="s">
        <v>2025</v>
      </c>
      <c r="H938" s="3" t="s">
        <v>2026</v>
      </c>
      <c r="I938" s="5">
        <v>1039</v>
      </c>
      <c r="J938" s="3" t="s">
        <v>11</v>
      </c>
    </row>
    <row r="939" spans="1:10" x14ac:dyDescent="0.35">
      <c r="A939" s="3">
        <v>103407313</v>
      </c>
      <c r="B939" s="3" t="s">
        <v>2027</v>
      </c>
      <c r="C939" s="3" t="str">
        <f t="shared" si="17"/>
        <v>2022-07-06</v>
      </c>
      <c r="D939" s="3" t="s">
        <v>9</v>
      </c>
      <c r="E939" s="3" t="s">
        <v>5</v>
      </c>
      <c r="F939" s="3" t="s">
        <v>10</v>
      </c>
      <c r="G939" s="3" t="s">
        <v>2028</v>
      </c>
      <c r="H939" s="3" t="s">
        <v>2029</v>
      </c>
      <c r="I939" s="4">
        <v>2089.0500000000002</v>
      </c>
      <c r="J939" s="3" t="s">
        <v>11</v>
      </c>
    </row>
    <row r="940" spans="1:10" x14ac:dyDescent="0.35">
      <c r="A940" s="3">
        <v>103407312</v>
      </c>
      <c r="B940" s="3" t="s">
        <v>2030</v>
      </c>
      <c r="C940" s="3" t="str">
        <f t="shared" si="17"/>
        <v>2022-07-06</v>
      </c>
      <c r="D940" s="3" t="s">
        <v>9</v>
      </c>
      <c r="E940" s="3" t="s">
        <v>5</v>
      </c>
      <c r="F940" s="3" t="s">
        <v>10</v>
      </c>
      <c r="G940" s="3" t="s">
        <v>2031</v>
      </c>
      <c r="H940" s="3" t="s">
        <v>2032</v>
      </c>
      <c r="I940" s="3">
        <v>759.05</v>
      </c>
      <c r="J940" s="3" t="s">
        <v>11</v>
      </c>
    </row>
    <row r="941" spans="1:10" x14ac:dyDescent="0.35">
      <c r="A941" s="3">
        <v>103407311</v>
      </c>
      <c r="B941" s="3" t="s">
        <v>2033</v>
      </c>
      <c r="C941" s="3" t="str">
        <f t="shared" si="17"/>
        <v>2022-07-06</v>
      </c>
      <c r="D941" s="3" t="s">
        <v>9</v>
      </c>
      <c r="E941" s="3" t="s">
        <v>5</v>
      </c>
      <c r="F941" s="3" t="s">
        <v>10</v>
      </c>
      <c r="G941" s="3" t="s">
        <v>2034</v>
      </c>
      <c r="H941" s="3" t="s">
        <v>2035</v>
      </c>
      <c r="I941" s="4">
        <v>2241.0500000000002</v>
      </c>
      <c r="J941" s="3" t="s">
        <v>11</v>
      </c>
    </row>
    <row r="942" spans="1:10" x14ac:dyDescent="0.35">
      <c r="A942" s="3">
        <v>103407310</v>
      </c>
      <c r="B942" s="3" t="s">
        <v>2036</v>
      </c>
      <c r="C942" s="3" t="str">
        <f t="shared" si="17"/>
        <v>2022-07-06</v>
      </c>
      <c r="D942" s="3" t="s">
        <v>9</v>
      </c>
      <c r="E942" s="3" t="s">
        <v>5</v>
      </c>
      <c r="F942" s="3" t="s">
        <v>10</v>
      </c>
      <c r="G942" s="3" t="s">
        <v>2037</v>
      </c>
      <c r="H942" s="3" t="s">
        <v>2038</v>
      </c>
      <c r="I942" s="4">
        <v>2136.5500000000002</v>
      </c>
      <c r="J942" s="3" t="s">
        <v>11</v>
      </c>
    </row>
    <row r="943" spans="1:10" x14ac:dyDescent="0.35">
      <c r="A943" s="3">
        <v>103407309</v>
      </c>
      <c r="B943" s="3" t="s">
        <v>2039</v>
      </c>
      <c r="C943" s="3" t="str">
        <f t="shared" si="17"/>
        <v>2022-07-06</v>
      </c>
      <c r="D943" s="3" t="s">
        <v>9</v>
      </c>
      <c r="E943" s="3" t="s">
        <v>5</v>
      </c>
      <c r="F943" s="3" t="s">
        <v>10</v>
      </c>
      <c r="G943" s="3" t="s">
        <v>2040</v>
      </c>
      <c r="H943" s="3" t="s">
        <v>2041</v>
      </c>
      <c r="I943" s="5">
        <v>3588</v>
      </c>
      <c r="J943" s="3" t="s">
        <v>11</v>
      </c>
    </row>
    <row r="944" spans="1:10" x14ac:dyDescent="0.35">
      <c r="A944" s="3">
        <v>103407226</v>
      </c>
      <c r="B944" s="3" t="s">
        <v>2042</v>
      </c>
      <c r="C944" s="3" t="str">
        <f t="shared" si="17"/>
        <v>2022-07-06</v>
      </c>
      <c r="D944" s="3" t="s">
        <v>9</v>
      </c>
      <c r="E944" s="3" t="s">
        <v>5</v>
      </c>
      <c r="F944" s="3" t="s">
        <v>10</v>
      </c>
      <c r="G944" s="3" t="s">
        <v>2043</v>
      </c>
      <c r="H944" s="3" t="s">
        <v>2044</v>
      </c>
      <c r="I944" s="5">
        <v>1869</v>
      </c>
      <c r="J944" s="3" t="s">
        <v>11</v>
      </c>
    </row>
    <row r="945" spans="1:10" x14ac:dyDescent="0.35">
      <c r="A945" s="3">
        <v>103407225</v>
      </c>
      <c r="B945" s="3" t="s">
        <v>2045</v>
      </c>
      <c r="C945" s="3" t="str">
        <f t="shared" si="17"/>
        <v>2022-07-06</v>
      </c>
      <c r="D945" s="3" t="s">
        <v>9</v>
      </c>
      <c r="E945" s="3" t="s">
        <v>5</v>
      </c>
      <c r="F945" s="3" t="s">
        <v>10</v>
      </c>
      <c r="G945" s="3" t="s">
        <v>2046</v>
      </c>
      <c r="H945" s="3" t="s">
        <v>2047</v>
      </c>
      <c r="I945" s="3">
        <v>559</v>
      </c>
      <c r="J945" s="3" t="s">
        <v>11</v>
      </c>
    </row>
    <row r="946" spans="1:10" x14ac:dyDescent="0.35">
      <c r="A946" s="3">
        <v>103407305</v>
      </c>
      <c r="B946" s="3" t="s">
        <v>2048</v>
      </c>
      <c r="C946" s="3" t="str">
        <f t="shared" si="17"/>
        <v>2022-07-06</v>
      </c>
      <c r="D946" s="3" t="s">
        <v>9</v>
      </c>
      <c r="E946" s="3" t="s">
        <v>5</v>
      </c>
      <c r="F946" s="3" t="s">
        <v>10</v>
      </c>
      <c r="G946" s="3" t="s">
        <v>2049</v>
      </c>
      <c r="H946" s="3" t="s">
        <v>2050</v>
      </c>
      <c r="I946" s="5">
        <v>3899</v>
      </c>
      <c r="J946" s="3" t="s">
        <v>11</v>
      </c>
    </row>
    <row r="947" spans="1:10" x14ac:dyDescent="0.35">
      <c r="A947" s="3">
        <v>103407220</v>
      </c>
      <c r="B947" s="3" t="s">
        <v>2051</v>
      </c>
      <c r="C947" s="3" t="str">
        <f t="shared" si="17"/>
        <v>2022-07-06</v>
      </c>
      <c r="D947" s="3" t="s">
        <v>9</v>
      </c>
      <c r="E947" s="3" t="s">
        <v>5</v>
      </c>
      <c r="F947" s="3" t="s">
        <v>10</v>
      </c>
      <c r="G947" s="3" t="s">
        <v>2052</v>
      </c>
      <c r="H947" s="3" t="s">
        <v>2053</v>
      </c>
      <c r="I947" s="5">
        <v>3019</v>
      </c>
      <c r="J947" s="3" t="s">
        <v>11</v>
      </c>
    </row>
    <row r="948" spans="1:10" x14ac:dyDescent="0.35">
      <c r="A948" s="3">
        <v>103407291</v>
      </c>
      <c r="B948" s="3" t="s">
        <v>2054</v>
      </c>
      <c r="C948" s="3" t="str">
        <f t="shared" si="17"/>
        <v>2022-07-06</v>
      </c>
      <c r="D948" s="3" t="s">
        <v>9</v>
      </c>
      <c r="E948" s="3" t="s">
        <v>5</v>
      </c>
      <c r="F948" s="3" t="s">
        <v>10</v>
      </c>
      <c r="G948" s="3" t="s">
        <v>2055</v>
      </c>
      <c r="H948" s="3" t="s">
        <v>2056</v>
      </c>
      <c r="I948" s="5">
        <v>2249</v>
      </c>
      <c r="J948" s="3" t="s">
        <v>11</v>
      </c>
    </row>
    <row r="949" spans="1:10" x14ac:dyDescent="0.35">
      <c r="A949" s="3">
        <v>103407213</v>
      </c>
      <c r="B949" s="3" t="s">
        <v>2057</v>
      </c>
      <c r="C949" s="3" t="str">
        <f t="shared" si="17"/>
        <v>2022-07-06</v>
      </c>
      <c r="D949" s="3" t="s">
        <v>9</v>
      </c>
      <c r="E949" s="3" t="s">
        <v>5</v>
      </c>
      <c r="F949" s="3" t="s">
        <v>10</v>
      </c>
      <c r="G949" s="3" t="s">
        <v>2058</v>
      </c>
      <c r="H949" s="3" t="s">
        <v>2059</v>
      </c>
      <c r="I949" s="5">
        <v>2309</v>
      </c>
      <c r="J949" s="3" t="s">
        <v>11</v>
      </c>
    </row>
    <row r="950" spans="1:10" x14ac:dyDescent="0.35">
      <c r="A950" s="3">
        <v>103407289</v>
      </c>
      <c r="B950" s="3" t="s">
        <v>2060</v>
      </c>
      <c r="C950" s="3" t="str">
        <f t="shared" si="17"/>
        <v>2022-07-06</v>
      </c>
      <c r="D950" s="3" t="s">
        <v>9</v>
      </c>
      <c r="E950" s="3" t="s">
        <v>5</v>
      </c>
      <c r="F950" s="3" t="s">
        <v>12</v>
      </c>
      <c r="G950" s="3" t="s">
        <v>283</v>
      </c>
      <c r="H950" s="3" t="s">
        <v>284</v>
      </c>
      <c r="I950" s="3">
        <v>809</v>
      </c>
      <c r="J950" s="3" t="s">
        <v>11</v>
      </c>
    </row>
    <row r="951" spans="1:10" x14ac:dyDescent="0.35">
      <c r="A951" s="3">
        <v>103407212</v>
      </c>
      <c r="B951" s="3" t="s">
        <v>2061</v>
      </c>
      <c r="C951" s="3" t="str">
        <f t="shared" si="17"/>
        <v>2022-07-06</v>
      </c>
      <c r="D951" s="3" t="s">
        <v>9</v>
      </c>
      <c r="E951" s="3" t="s">
        <v>5</v>
      </c>
      <c r="F951" s="3" t="s">
        <v>10</v>
      </c>
      <c r="G951" s="3" t="s">
        <v>2062</v>
      </c>
      <c r="H951" s="3" t="s">
        <v>2063</v>
      </c>
      <c r="I951" s="4">
        <v>2193.5500000000002</v>
      </c>
      <c r="J951" s="3" t="s">
        <v>11</v>
      </c>
    </row>
    <row r="952" spans="1:10" x14ac:dyDescent="0.35">
      <c r="A952" s="3">
        <v>103407288</v>
      </c>
      <c r="B952" s="3" t="s">
        <v>2064</v>
      </c>
      <c r="C952" s="3" t="str">
        <f t="shared" si="17"/>
        <v>2022-07-06</v>
      </c>
      <c r="D952" s="3" t="s">
        <v>9</v>
      </c>
      <c r="E952" s="3" t="s">
        <v>5</v>
      </c>
      <c r="F952" s="3" t="s">
        <v>12</v>
      </c>
      <c r="G952" s="3" t="s">
        <v>2065</v>
      </c>
      <c r="H952" s="3" t="s">
        <v>2066</v>
      </c>
      <c r="I952" s="5">
        <v>2999</v>
      </c>
      <c r="J952" s="3" t="s">
        <v>11</v>
      </c>
    </row>
    <row r="953" spans="1:10" x14ac:dyDescent="0.35">
      <c r="A953" s="3">
        <v>103407210</v>
      </c>
      <c r="B953" s="3" t="s">
        <v>2067</v>
      </c>
      <c r="C953" s="3" t="str">
        <f t="shared" si="17"/>
        <v>2022-07-06</v>
      </c>
      <c r="D953" s="3" t="s">
        <v>9</v>
      </c>
      <c r="E953" s="3" t="s">
        <v>5</v>
      </c>
      <c r="F953" s="3" t="s">
        <v>10</v>
      </c>
      <c r="G953" s="3" t="s">
        <v>2068</v>
      </c>
      <c r="H953" s="3" t="s">
        <v>2069</v>
      </c>
      <c r="I953" s="4">
        <v>1686.77</v>
      </c>
      <c r="J953" s="3" t="s">
        <v>11</v>
      </c>
    </row>
    <row r="954" spans="1:10" x14ac:dyDescent="0.35">
      <c r="A954" s="3">
        <v>103407209</v>
      </c>
      <c r="B954" s="3" t="s">
        <v>2070</v>
      </c>
      <c r="C954" s="3" t="str">
        <f t="shared" si="17"/>
        <v>2022-07-06</v>
      </c>
      <c r="D954" s="3" t="s">
        <v>9</v>
      </c>
      <c r="E954" s="3" t="s">
        <v>5</v>
      </c>
      <c r="F954" s="3" t="s">
        <v>10</v>
      </c>
      <c r="G954" s="3" t="s">
        <v>2071</v>
      </c>
      <c r="H954" s="3" t="s">
        <v>2072</v>
      </c>
      <c r="I954" s="3">
        <v>439</v>
      </c>
      <c r="J954" s="3" t="s">
        <v>11</v>
      </c>
    </row>
    <row r="955" spans="1:10" x14ac:dyDescent="0.35">
      <c r="A955" s="3">
        <v>103407204</v>
      </c>
      <c r="B955" s="3" t="s">
        <v>2073</v>
      </c>
      <c r="C955" s="3" t="str">
        <f t="shared" si="17"/>
        <v>2022-07-06</v>
      </c>
      <c r="D955" s="3" t="s">
        <v>9</v>
      </c>
      <c r="E955" s="3" t="s">
        <v>5</v>
      </c>
      <c r="F955" s="3" t="s">
        <v>10</v>
      </c>
      <c r="G955" s="3" t="s">
        <v>1082</v>
      </c>
      <c r="H955" s="3" t="s">
        <v>1083</v>
      </c>
      <c r="I955" s="4">
        <v>1329.05</v>
      </c>
      <c r="J955" s="3" t="s">
        <v>11</v>
      </c>
    </row>
    <row r="956" spans="1:10" x14ac:dyDescent="0.35">
      <c r="A956" s="3">
        <v>103407202</v>
      </c>
      <c r="B956" s="3" t="s">
        <v>2074</v>
      </c>
      <c r="C956" s="3" t="str">
        <f t="shared" si="17"/>
        <v>2022-07-06</v>
      </c>
      <c r="D956" s="3" t="s">
        <v>9</v>
      </c>
      <c r="E956" s="3" t="s">
        <v>5</v>
      </c>
      <c r="F956" s="3" t="s">
        <v>10</v>
      </c>
      <c r="G956" s="3" t="s">
        <v>2075</v>
      </c>
      <c r="H956" s="3" t="s">
        <v>2076</v>
      </c>
      <c r="I956" s="4">
        <v>1196.05</v>
      </c>
      <c r="J956" s="3" t="s">
        <v>11</v>
      </c>
    </row>
    <row r="957" spans="1:10" x14ac:dyDescent="0.35">
      <c r="A957" s="3">
        <v>103407283</v>
      </c>
      <c r="B957" s="3" t="s">
        <v>2077</v>
      </c>
      <c r="C957" s="3" t="str">
        <f t="shared" si="17"/>
        <v>2022-07-06</v>
      </c>
      <c r="D957" s="3" t="s">
        <v>9</v>
      </c>
      <c r="E957" s="3" t="s">
        <v>5</v>
      </c>
      <c r="F957" s="3" t="s">
        <v>10</v>
      </c>
      <c r="G957" s="3" t="s">
        <v>2078</v>
      </c>
      <c r="H957" s="3" t="s">
        <v>2079</v>
      </c>
      <c r="I957" s="5">
        <v>3599</v>
      </c>
      <c r="J957" s="3" t="s">
        <v>11</v>
      </c>
    </row>
    <row r="958" spans="1:10" x14ac:dyDescent="0.35">
      <c r="A958" s="3">
        <v>103407281</v>
      </c>
      <c r="B958" s="3" t="s">
        <v>2080</v>
      </c>
      <c r="C958" s="3" t="str">
        <f t="shared" si="17"/>
        <v>2022-07-06</v>
      </c>
      <c r="D958" s="3" t="s">
        <v>9</v>
      </c>
      <c r="E958" s="3" t="s">
        <v>5</v>
      </c>
      <c r="F958" s="3" t="s">
        <v>10</v>
      </c>
      <c r="G958" s="3" t="s">
        <v>2081</v>
      </c>
      <c r="H958" s="3" t="s">
        <v>2082</v>
      </c>
      <c r="I958" s="4">
        <v>2155.5500000000002</v>
      </c>
      <c r="J958" s="3" t="s">
        <v>11</v>
      </c>
    </row>
    <row r="959" spans="1:10" x14ac:dyDescent="0.35">
      <c r="A959" s="3">
        <v>103407280</v>
      </c>
      <c r="B959" s="3" t="s">
        <v>2083</v>
      </c>
      <c r="C959" s="3" t="str">
        <f t="shared" si="17"/>
        <v>2022-07-06</v>
      </c>
      <c r="D959" s="3" t="s">
        <v>9</v>
      </c>
      <c r="E959" s="3" t="s">
        <v>5</v>
      </c>
      <c r="F959" s="3" t="s">
        <v>10</v>
      </c>
      <c r="G959" s="3" t="s">
        <v>2084</v>
      </c>
      <c r="H959" s="3" t="s">
        <v>2085</v>
      </c>
      <c r="I959" s="5">
        <v>1199</v>
      </c>
      <c r="J959" s="3" t="s">
        <v>11</v>
      </c>
    </row>
    <row r="960" spans="1:10" x14ac:dyDescent="0.35">
      <c r="A960" s="3">
        <v>103407198</v>
      </c>
      <c r="B960" s="3" t="s">
        <v>2086</v>
      </c>
      <c r="C960" s="3" t="str">
        <f t="shared" si="17"/>
        <v>2022-07-06</v>
      </c>
      <c r="D960" s="3" t="s">
        <v>9</v>
      </c>
      <c r="E960" s="3" t="s">
        <v>5</v>
      </c>
      <c r="F960" s="3" t="s">
        <v>10</v>
      </c>
      <c r="G960" s="3" t="s">
        <v>1425</v>
      </c>
      <c r="H960" s="3" t="s">
        <v>1426</v>
      </c>
      <c r="I960" s="3">
        <v>854.14</v>
      </c>
      <c r="J960" s="3" t="s">
        <v>11</v>
      </c>
    </row>
    <row r="961" spans="1:10" x14ac:dyDescent="0.35">
      <c r="A961" s="3">
        <v>103407278</v>
      </c>
      <c r="B961" s="3" t="s">
        <v>2087</v>
      </c>
      <c r="C961" s="3" t="str">
        <f t="shared" si="17"/>
        <v>2022-07-06</v>
      </c>
      <c r="D961" s="3" t="s">
        <v>9</v>
      </c>
      <c r="E961" s="3" t="s">
        <v>5</v>
      </c>
      <c r="F961" s="3" t="s">
        <v>10</v>
      </c>
      <c r="G961" s="3" t="s">
        <v>2088</v>
      </c>
      <c r="H961" s="3" t="s">
        <v>2089</v>
      </c>
      <c r="I961" s="4">
        <v>1424.05</v>
      </c>
      <c r="J961" s="3" t="s">
        <v>11</v>
      </c>
    </row>
    <row r="962" spans="1:10" x14ac:dyDescent="0.35">
      <c r="A962" s="3">
        <v>103407196</v>
      </c>
      <c r="B962" s="3" t="s">
        <v>2090</v>
      </c>
      <c r="C962" s="3" t="str">
        <f t="shared" si="17"/>
        <v>2022-07-06</v>
      </c>
      <c r="D962" s="3" t="s">
        <v>9</v>
      </c>
      <c r="E962" s="3" t="s">
        <v>5</v>
      </c>
      <c r="F962" s="3" t="s">
        <v>10</v>
      </c>
      <c r="G962" s="3" t="s">
        <v>2091</v>
      </c>
      <c r="H962" s="3" t="s">
        <v>2092</v>
      </c>
      <c r="I962" s="5">
        <v>4668</v>
      </c>
      <c r="J962" s="3" t="s">
        <v>11</v>
      </c>
    </row>
    <row r="963" spans="1:10" x14ac:dyDescent="0.35">
      <c r="A963" s="3">
        <v>103407276</v>
      </c>
      <c r="B963" s="3" t="s">
        <v>2093</v>
      </c>
      <c r="C963" s="3" t="str">
        <f t="shared" ref="C963:C1026" si="18">LEFT(B963,FIND("T",B963)-1)</f>
        <v>2022-07-06</v>
      </c>
      <c r="D963" s="3" t="s">
        <v>9</v>
      </c>
      <c r="E963" s="3" t="s">
        <v>5</v>
      </c>
      <c r="F963" s="3" t="s">
        <v>10</v>
      </c>
      <c r="G963" s="3" t="s">
        <v>2094</v>
      </c>
      <c r="H963" s="3" t="s">
        <v>2095</v>
      </c>
      <c r="I963" s="4">
        <v>3704.05</v>
      </c>
      <c r="J963" s="3" t="s">
        <v>11</v>
      </c>
    </row>
    <row r="964" spans="1:10" x14ac:dyDescent="0.35">
      <c r="A964" s="3">
        <v>103407275</v>
      </c>
      <c r="B964" s="3" t="s">
        <v>2096</v>
      </c>
      <c r="C964" s="3" t="str">
        <f t="shared" si="18"/>
        <v>2022-07-06</v>
      </c>
      <c r="D964" s="3" t="s">
        <v>9</v>
      </c>
      <c r="E964" s="3" t="s">
        <v>5</v>
      </c>
      <c r="F964" s="3" t="s">
        <v>10</v>
      </c>
      <c r="G964" s="3" t="s">
        <v>2097</v>
      </c>
      <c r="H964" s="3" t="s">
        <v>2098</v>
      </c>
      <c r="I964" s="5">
        <v>1259</v>
      </c>
      <c r="J964" s="3" t="s">
        <v>11</v>
      </c>
    </row>
    <row r="965" spans="1:10" x14ac:dyDescent="0.35">
      <c r="A965" s="3">
        <v>103407274</v>
      </c>
      <c r="B965" s="3" t="s">
        <v>2099</v>
      </c>
      <c r="C965" s="3" t="str">
        <f t="shared" si="18"/>
        <v>2022-07-06</v>
      </c>
      <c r="D965" s="3" t="s">
        <v>9</v>
      </c>
      <c r="E965" s="3" t="s">
        <v>5</v>
      </c>
      <c r="F965" s="3" t="s">
        <v>10</v>
      </c>
      <c r="G965" s="3" t="s">
        <v>2100</v>
      </c>
      <c r="H965" s="3" t="s">
        <v>2101</v>
      </c>
      <c r="I965" s="5">
        <v>4199</v>
      </c>
      <c r="J965" s="3" t="s">
        <v>11</v>
      </c>
    </row>
    <row r="966" spans="1:10" x14ac:dyDescent="0.35">
      <c r="A966" s="3">
        <v>103407271</v>
      </c>
      <c r="B966" s="3" t="s">
        <v>2102</v>
      </c>
      <c r="C966" s="3" t="str">
        <f t="shared" si="18"/>
        <v>2022-07-06</v>
      </c>
      <c r="D966" s="3" t="s">
        <v>9</v>
      </c>
      <c r="E966" s="3" t="s">
        <v>5</v>
      </c>
      <c r="F966" s="3" t="s">
        <v>10</v>
      </c>
      <c r="G966" s="3" t="s">
        <v>2103</v>
      </c>
      <c r="H966" s="3" t="s">
        <v>2104</v>
      </c>
      <c r="I966" s="5">
        <v>1489</v>
      </c>
      <c r="J966" s="3" t="s">
        <v>11</v>
      </c>
    </row>
    <row r="967" spans="1:10" x14ac:dyDescent="0.35">
      <c r="A967" s="3">
        <v>103407269</v>
      </c>
      <c r="B967" s="3" t="s">
        <v>2105</v>
      </c>
      <c r="C967" s="3" t="str">
        <f t="shared" si="18"/>
        <v>2022-07-06</v>
      </c>
      <c r="D967" s="3" t="s">
        <v>9</v>
      </c>
      <c r="E967" s="3" t="s">
        <v>5</v>
      </c>
      <c r="F967" s="3" t="s">
        <v>10</v>
      </c>
      <c r="G967" s="3" t="s">
        <v>2106</v>
      </c>
      <c r="H967" s="3" t="s">
        <v>2107</v>
      </c>
      <c r="I967" s="4">
        <v>1823.05</v>
      </c>
      <c r="J967" s="3" t="s">
        <v>11</v>
      </c>
    </row>
    <row r="968" spans="1:10" x14ac:dyDescent="0.35">
      <c r="A968" s="3">
        <v>103407164</v>
      </c>
      <c r="B968" s="3" t="s">
        <v>2108</v>
      </c>
      <c r="C968" s="3" t="str">
        <f t="shared" si="18"/>
        <v>2022-07-06</v>
      </c>
      <c r="D968" s="3" t="s">
        <v>9</v>
      </c>
      <c r="E968" s="3" t="s">
        <v>5</v>
      </c>
      <c r="F968" s="3" t="s">
        <v>10</v>
      </c>
      <c r="G968" s="3" t="s">
        <v>2109</v>
      </c>
      <c r="H968" s="3" t="s">
        <v>2110</v>
      </c>
      <c r="I968" s="5">
        <v>1249</v>
      </c>
      <c r="J968" s="3" t="s">
        <v>11</v>
      </c>
    </row>
    <row r="969" spans="1:10" x14ac:dyDescent="0.35">
      <c r="A969" s="3">
        <v>103407182</v>
      </c>
      <c r="B969" s="3" t="s">
        <v>2111</v>
      </c>
      <c r="C969" s="3" t="str">
        <f t="shared" si="18"/>
        <v>2022-07-06</v>
      </c>
      <c r="D969" s="3" t="s">
        <v>9</v>
      </c>
      <c r="E969" s="3" t="s">
        <v>5</v>
      </c>
      <c r="F969" s="3" t="s">
        <v>10</v>
      </c>
      <c r="G969" s="3" t="s">
        <v>2112</v>
      </c>
      <c r="H969" s="3" t="s">
        <v>2113</v>
      </c>
      <c r="I969" s="5">
        <v>3849</v>
      </c>
      <c r="J969" s="3" t="s">
        <v>11</v>
      </c>
    </row>
    <row r="970" spans="1:10" x14ac:dyDescent="0.35">
      <c r="A970" s="3">
        <v>103407181</v>
      </c>
      <c r="B970" s="3" t="s">
        <v>2114</v>
      </c>
      <c r="C970" s="3" t="str">
        <f t="shared" si="18"/>
        <v>2022-07-06</v>
      </c>
      <c r="D970" s="3" t="s">
        <v>9</v>
      </c>
      <c r="E970" s="3" t="s">
        <v>5</v>
      </c>
      <c r="F970" s="3" t="s">
        <v>10</v>
      </c>
      <c r="G970" s="3" t="s">
        <v>2115</v>
      </c>
      <c r="H970" s="3" t="s">
        <v>2116</v>
      </c>
      <c r="I970" s="4">
        <v>2136.5500000000002</v>
      </c>
      <c r="J970" s="3" t="s">
        <v>11</v>
      </c>
    </row>
    <row r="971" spans="1:10" x14ac:dyDescent="0.35">
      <c r="A971" s="3">
        <v>103407159</v>
      </c>
      <c r="B971" s="3" t="s">
        <v>2117</v>
      </c>
      <c r="C971" s="3" t="str">
        <f t="shared" si="18"/>
        <v>2022-07-06</v>
      </c>
      <c r="D971" s="3" t="s">
        <v>9</v>
      </c>
      <c r="E971" s="3" t="s">
        <v>5</v>
      </c>
      <c r="F971" s="3" t="s">
        <v>10</v>
      </c>
      <c r="G971" s="3" t="s">
        <v>2118</v>
      </c>
      <c r="H971" s="3" t="s">
        <v>2119</v>
      </c>
      <c r="I971" s="4">
        <v>4559.05</v>
      </c>
      <c r="J971" s="3" t="s">
        <v>11</v>
      </c>
    </row>
    <row r="972" spans="1:10" x14ac:dyDescent="0.35">
      <c r="A972" s="3">
        <v>103407179</v>
      </c>
      <c r="B972" s="3" t="s">
        <v>2120</v>
      </c>
      <c r="C972" s="3" t="str">
        <f t="shared" si="18"/>
        <v>2022-07-06</v>
      </c>
      <c r="D972" s="3" t="s">
        <v>9</v>
      </c>
      <c r="E972" s="3" t="s">
        <v>5</v>
      </c>
      <c r="F972" s="3" t="s">
        <v>10</v>
      </c>
      <c r="G972" s="3" t="s">
        <v>2121</v>
      </c>
      <c r="H972" s="3" t="s">
        <v>2122</v>
      </c>
      <c r="I972" s="4">
        <v>3913.05</v>
      </c>
      <c r="J972" s="3" t="s">
        <v>11</v>
      </c>
    </row>
    <row r="973" spans="1:10" x14ac:dyDescent="0.35">
      <c r="A973" s="3">
        <v>103407158</v>
      </c>
      <c r="B973" s="3" t="s">
        <v>2123</v>
      </c>
      <c r="C973" s="3" t="str">
        <f t="shared" si="18"/>
        <v>2022-07-06</v>
      </c>
      <c r="D973" s="3" t="s">
        <v>9</v>
      </c>
      <c r="E973" s="3" t="s">
        <v>5</v>
      </c>
      <c r="F973" s="3" t="s">
        <v>10</v>
      </c>
      <c r="G973" s="3" t="s">
        <v>2124</v>
      </c>
      <c r="H973" s="3" t="s">
        <v>2125</v>
      </c>
      <c r="I973" s="3">
        <v>683.05</v>
      </c>
      <c r="J973" s="3" t="s">
        <v>11</v>
      </c>
    </row>
    <row r="974" spans="1:10" x14ac:dyDescent="0.35">
      <c r="A974" s="3">
        <v>103407146</v>
      </c>
      <c r="B974" s="3" t="s">
        <v>2126</v>
      </c>
      <c r="C974" s="3" t="str">
        <f t="shared" si="18"/>
        <v>2022-07-06</v>
      </c>
      <c r="D974" s="3" t="s">
        <v>9</v>
      </c>
      <c r="E974" s="3" t="s">
        <v>5</v>
      </c>
      <c r="F974" s="3" t="s">
        <v>10</v>
      </c>
      <c r="G974" s="3" t="s">
        <v>2127</v>
      </c>
      <c r="H974" s="3" t="s">
        <v>2128</v>
      </c>
      <c r="I974" s="5">
        <v>1869</v>
      </c>
      <c r="J974" s="3" t="s">
        <v>11</v>
      </c>
    </row>
    <row r="975" spans="1:10" x14ac:dyDescent="0.35">
      <c r="A975" s="3">
        <v>103407055</v>
      </c>
      <c r="B975" s="3" t="s">
        <v>2129</v>
      </c>
      <c r="C975" s="3" t="str">
        <f t="shared" si="18"/>
        <v>2022-07-06</v>
      </c>
      <c r="D975" s="3" t="s">
        <v>9</v>
      </c>
      <c r="E975" s="3" t="s">
        <v>5</v>
      </c>
      <c r="F975" s="3" t="s">
        <v>10</v>
      </c>
      <c r="G975" s="3" t="s">
        <v>2130</v>
      </c>
      <c r="H975" s="3" t="s">
        <v>2131</v>
      </c>
      <c r="I975" s="5">
        <v>2599</v>
      </c>
      <c r="J975" s="3" t="s">
        <v>11</v>
      </c>
    </row>
    <row r="976" spans="1:10" x14ac:dyDescent="0.35">
      <c r="A976" s="3">
        <v>103407054</v>
      </c>
      <c r="B976" s="3" t="s">
        <v>2132</v>
      </c>
      <c r="C976" s="3" t="str">
        <f t="shared" si="18"/>
        <v>2022-07-06</v>
      </c>
      <c r="D976" s="3" t="s">
        <v>9</v>
      </c>
      <c r="E976" s="3" t="s">
        <v>5</v>
      </c>
      <c r="F976" s="3" t="s">
        <v>10</v>
      </c>
      <c r="G976" s="3" t="s">
        <v>2133</v>
      </c>
      <c r="H976" s="3" t="s">
        <v>2134</v>
      </c>
      <c r="I976" s="4">
        <v>1129.55</v>
      </c>
      <c r="J976" s="3" t="s">
        <v>11</v>
      </c>
    </row>
    <row r="977" spans="1:10" x14ac:dyDescent="0.35">
      <c r="A977" s="3">
        <v>103407143</v>
      </c>
      <c r="B977" s="3" t="s">
        <v>4780</v>
      </c>
      <c r="C977" s="3" t="str">
        <f t="shared" si="18"/>
        <v>2022-07-06</v>
      </c>
      <c r="D977" s="3" t="s">
        <v>9</v>
      </c>
      <c r="E977" s="3" t="s">
        <v>5</v>
      </c>
      <c r="F977" s="3" t="s">
        <v>10</v>
      </c>
      <c r="G977" s="3" t="s">
        <v>4781</v>
      </c>
      <c r="H977" s="3" t="s">
        <v>4782</v>
      </c>
      <c r="I977" s="4">
        <v>1063.05</v>
      </c>
      <c r="J977" s="3" t="s">
        <v>13</v>
      </c>
    </row>
    <row r="978" spans="1:10" x14ac:dyDescent="0.35">
      <c r="A978" s="3">
        <v>103407142</v>
      </c>
      <c r="B978" s="3" t="s">
        <v>2135</v>
      </c>
      <c r="C978" s="3" t="str">
        <f t="shared" si="18"/>
        <v>2022-07-06</v>
      </c>
      <c r="D978" s="3" t="s">
        <v>9</v>
      </c>
      <c r="E978" s="3" t="s">
        <v>5</v>
      </c>
      <c r="F978" s="3" t="s">
        <v>10</v>
      </c>
      <c r="G978" s="3" t="s">
        <v>2136</v>
      </c>
      <c r="H978" s="3" t="s">
        <v>2137</v>
      </c>
      <c r="I978" s="4">
        <v>3704.05</v>
      </c>
      <c r="J978" s="3" t="s">
        <v>11</v>
      </c>
    </row>
    <row r="979" spans="1:10" x14ac:dyDescent="0.35">
      <c r="A979" s="3">
        <v>103407049</v>
      </c>
      <c r="B979" s="3" t="s">
        <v>2138</v>
      </c>
      <c r="C979" s="3" t="str">
        <f t="shared" si="18"/>
        <v>2022-07-06</v>
      </c>
      <c r="D979" s="3" t="s">
        <v>9</v>
      </c>
      <c r="E979" s="3" t="s">
        <v>5</v>
      </c>
      <c r="F979" s="3" t="s">
        <v>10</v>
      </c>
      <c r="G979" s="3" t="s">
        <v>2139</v>
      </c>
      <c r="H979" s="3" t="s">
        <v>2140</v>
      </c>
      <c r="I979" s="5">
        <v>3899</v>
      </c>
      <c r="J979" s="3" t="s">
        <v>11</v>
      </c>
    </row>
    <row r="980" spans="1:10" x14ac:dyDescent="0.35">
      <c r="A980" s="3">
        <v>103407139</v>
      </c>
      <c r="B980" s="3" t="s">
        <v>2141</v>
      </c>
      <c r="C980" s="3" t="str">
        <f t="shared" si="18"/>
        <v>2022-07-06</v>
      </c>
      <c r="D980" s="3" t="s">
        <v>9</v>
      </c>
      <c r="E980" s="3" t="s">
        <v>5</v>
      </c>
      <c r="F980" s="3" t="s">
        <v>12</v>
      </c>
      <c r="G980" s="3" t="s">
        <v>2142</v>
      </c>
      <c r="H980" s="3" t="s">
        <v>2143</v>
      </c>
      <c r="I980" s="4">
        <v>4559.05</v>
      </c>
      <c r="J980" s="3" t="s">
        <v>11</v>
      </c>
    </row>
    <row r="981" spans="1:10" x14ac:dyDescent="0.35">
      <c r="A981" s="3">
        <v>103407137</v>
      </c>
      <c r="B981" s="3" t="s">
        <v>2144</v>
      </c>
      <c r="C981" s="3" t="str">
        <f t="shared" si="18"/>
        <v>2022-07-06</v>
      </c>
      <c r="D981" s="3" t="s">
        <v>9</v>
      </c>
      <c r="E981" s="3" t="s">
        <v>5</v>
      </c>
      <c r="F981" s="3" t="s">
        <v>10</v>
      </c>
      <c r="G981" s="3" t="s">
        <v>2145</v>
      </c>
      <c r="H981" s="3" t="s">
        <v>2146</v>
      </c>
      <c r="I981" s="5">
        <v>3149</v>
      </c>
      <c r="J981" s="3" t="s">
        <v>11</v>
      </c>
    </row>
    <row r="982" spans="1:10" x14ac:dyDescent="0.35">
      <c r="A982" s="3">
        <v>103407045</v>
      </c>
      <c r="B982" s="3" t="s">
        <v>2147</v>
      </c>
      <c r="C982" s="3" t="str">
        <f t="shared" si="18"/>
        <v>2022-07-06</v>
      </c>
      <c r="D982" s="3" t="s">
        <v>9</v>
      </c>
      <c r="E982" s="3" t="s">
        <v>5</v>
      </c>
      <c r="F982" s="3" t="s">
        <v>10</v>
      </c>
      <c r="G982" s="3" t="s">
        <v>2148</v>
      </c>
      <c r="H982" s="3" t="s">
        <v>2149</v>
      </c>
      <c r="I982" s="4">
        <v>1262.5999999999999</v>
      </c>
      <c r="J982" s="3" t="s">
        <v>11</v>
      </c>
    </row>
    <row r="983" spans="1:10" x14ac:dyDescent="0.35">
      <c r="A983" s="3">
        <v>103407043</v>
      </c>
      <c r="B983" s="3" t="s">
        <v>2150</v>
      </c>
      <c r="C983" s="3" t="str">
        <f t="shared" si="18"/>
        <v>2022-07-06</v>
      </c>
      <c r="D983" s="3" t="s">
        <v>9</v>
      </c>
      <c r="E983" s="3" t="s">
        <v>5</v>
      </c>
      <c r="F983" s="3" t="s">
        <v>10</v>
      </c>
      <c r="G983" s="3" t="s">
        <v>2151</v>
      </c>
      <c r="H983" s="3" t="s">
        <v>2152</v>
      </c>
      <c r="I983" s="3">
        <v>809</v>
      </c>
      <c r="J983" s="3" t="s">
        <v>11</v>
      </c>
    </row>
    <row r="984" spans="1:10" x14ac:dyDescent="0.35">
      <c r="A984" s="3">
        <v>103407126</v>
      </c>
      <c r="B984" s="3" t="s">
        <v>2153</v>
      </c>
      <c r="C984" s="3" t="str">
        <f t="shared" si="18"/>
        <v>2022-07-06</v>
      </c>
      <c r="D984" s="3" t="s">
        <v>9</v>
      </c>
      <c r="E984" s="3" t="s">
        <v>5</v>
      </c>
      <c r="F984" s="3" t="s">
        <v>10</v>
      </c>
      <c r="G984" s="3" t="s">
        <v>2154</v>
      </c>
      <c r="H984" s="3" t="s">
        <v>2155</v>
      </c>
      <c r="I984" s="5">
        <v>5849</v>
      </c>
      <c r="J984" s="3" t="s">
        <v>11</v>
      </c>
    </row>
    <row r="985" spans="1:10" x14ac:dyDescent="0.35">
      <c r="A985" s="3">
        <v>103407123</v>
      </c>
      <c r="B985" s="3" t="s">
        <v>2156</v>
      </c>
      <c r="C985" s="3" t="str">
        <f t="shared" si="18"/>
        <v>2022-07-06</v>
      </c>
      <c r="D985" s="3" t="s">
        <v>9</v>
      </c>
      <c r="E985" s="3" t="s">
        <v>5</v>
      </c>
      <c r="F985" s="3" t="s">
        <v>10</v>
      </c>
      <c r="G985" s="3" t="s">
        <v>2157</v>
      </c>
      <c r="H985" s="3" t="s">
        <v>2158</v>
      </c>
      <c r="I985" s="3">
        <v>854.05</v>
      </c>
      <c r="J985" s="3" t="s">
        <v>11</v>
      </c>
    </row>
    <row r="986" spans="1:10" x14ac:dyDescent="0.35">
      <c r="A986" s="3">
        <v>103407119</v>
      </c>
      <c r="B986" s="3" t="s">
        <v>2159</v>
      </c>
      <c r="C986" s="3" t="str">
        <f t="shared" si="18"/>
        <v>2022-07-06</v>
      </c>
      <c r="D986" s="3" t="s">
        <v>9</v>
      </c>
      <c r="E986" s="3" t="s">
        <v>5</v>
      </c>
      <c r="F986" s="3" t="s">
        <v>12</v>
      </c>
      <c r="G986" s="3" t="s">
        <v>2160</v>
      </c>
      <c r="H986" s="3" t="s">
        <v>2161</v>
      </c>
      <c r="I986" s="3">
        <v>737.1</v>
      </c>
      <c r="J986" s="3" t="s">
        <v>11</v>
      </c>
    </row>
    <row r="987" spans="1:10" x14ac:dyDescent="0.35">
      <c r="A987" s="3">
        <v>103407118</v>
      </c>
      <c r="B987" s="3" t="s">
        <v>2162</v>
      </c>
      <c r="C987" s="3" t="str">
        <f t="shared" si="18"/>
        <v>2022-07-06</v>
      </c>
      <c r="D987" s="3" t="s">
        <v>9</v>
      </c>
      <c r="E987" s="3" t="s">
        <v>5</v>
      </c>
      <c r="F987" s="3" t="s">
        <v>10</v>
      </c>
      <c r="G987" s="3" t="s">
        <v>2163</v>
      </c>
      <c r="H987" s="3" t="s">
        <v>2164</v>
      </c>
      <c r="I987" s="5">
        <v>1499</v>
      </c>
      <c r="J987" s="3" t="s">
        <v>11</v>
      </c>
    </row>
    <row r="988" spans="1:10" x14ac:dyDescent="0.35">
      <c r="A988" s="3">
        <v>103407027</v>
      </c>
      <c r="B988" s="3" t="s">
        <v>2165</v>
      </c>
      <c r="C988" s="3" t="str">
        <f t="shared" si="18"/>
        <v>2022-07-06</v>
      </c>
      <c r="D988" s="3" t="s">
        <v>9</v>
      </c>
      <c r="E988" s="3" t="s">
        <v>5</v>
      </c>
      <c r="F988" s="3" t="s">
        <v>10</v>
      </c>
      <c r="G988" s="3" t="s">
        <v>2166</v>
      </c>
      <c r="H988" s="3" t="s">
        <v>2167</v>
      </c>
      <c r="I988" s="5">
        <v>3849</v>
      </c>
      <c r="J988" s="3" t="s">
        <v>11</v>
      </c>
    </row>
    <row r="989" spans="1:10" x14ac:dyDescent="0.35">
      <c r="A989" s="3">
        <v>103407020</v>
      </c>
      <c r="B989" s="3" t="s">
        <v>2168</v>
      </c>
      <c r="C989" s="3" t="str">
        <f t="shared" si="18"/>
        <v>2022-07-06</v>
      </c>
      <c r="D989" s="3" t="s">
        <v>9</v>
      </c>
      <c r="E989" s="3" t="s">
        <v>5</v>
      </c>
      <c r="F989" s="3" t="s">
        <v>10</v>
      </c>
      <c r="G989" s="3" t="s">
        <v>2169</v>
      </c>
      <c r="H989" s="3" t="s">
        <v>2170</v>
      </c>
      <c r="I989" s="4">
        <v>1300.55</v>
      </c>
      <c r="J989" s="3" t="s">
        <v>11</v>
      </c>
    </row>
    <row r="990" spans="1:10" x14ac:dyDescent="0.35">
      <c r="A990" s="3">
        <v>103407099</v>
      </c>
      <c r="B990" s="3" t="s">
        <v>2171</v>
      </c>
      <c r="C990" s="3" t="str">
        <f t="shared" si="18"/>
        <v>2022-07-06</v>
      </c>
      <c r="D990" s="3" t="s">
        <v>9</v>
      </c>
      <c r="E990" s="3" t="s">
        <v>5</v>
      </c>
      <c r="F990" s="3" t="s">
        <v>10</v>
      </c>
      <c r="G990" s="3" t="s">
        <v>2172</v>
      </c>
      <c r="H990" s="3" t="s">
        <v>2173</v>
      </c>
      <c r="I990" s="5">
        <v>6999</v>
      </c>
      <c r="J990" s="3" t="s">
        <v>11</v>
      </c>
    </row>
    <row r="991" spans="1:10" x14ac:dyDescent="0.35">
      <c r="A991" s="3">
        <v>103407017</v>
      </c>
      <c r="B991" s="3" t="s">
        <v>2174</v>
      </c>
      <c r="C991" s="3" t="str">
        <f t="shared" si="18"/>
        <v>2022-07-06</v>
      </c>
      <c r="D991" s="3" t="s">
        <v>9</v>
      </c>
      <c r="E991" s="3" t="s">
        <v>5</v>
      </c>
      <c r="F991" s="3" t="s">
        <v>10</v>
      </c>
      <c r="G991" s="3" t="s">
        <v>2175</v>
      </c>
      <c r="H991" s="3" t="s">
        <v>2176</v>
      </c>
      <c r="I991" s="5">
        <v>3849</v>
      </c>
      <c r="J991" s="3" t="s">
        <v>11</v>
      </c>
    </row>
    <row r="992" spans="1:10" x14ac:dyDescent="0.35">
      <c r="A992" s="3">
        <v>103407098</v>
      </c>
      <c r="B992" s="3" t="s">
        <v>2177</v>
      </c>
      <c r="C992" s="3" t="str">
        <f t="shared" si="18"/>
        <v>2022-07-06</v>
      </c>
      <c r="D992" s="3" t="s">
        <v>9</v>
      </c>
      <c r="E992" s="3" t="s">
        <v>5</v>
      </c>
      <c r="F992" s="3" t="s">
        <v>12</v>
      </c>
      <c r="G992" s="3" t="s">
        <v>2178</v>
      </c>
      <c r="H992" s="3" t="s">
        <v>2179</v>
      </c>
      <c r="I992" s="5">
        <v>1379</v>
      </c>
      <c r="J992" s="3" t="s">
        <v>11</v>
      </c>
    </row>
    <row r="993" spans="1:10" x14ac:dyDescent="0.35">
      <c r="A993" s="3">
        <v>103407095</v>
      </c>
      <c r="B993" s="3" t="s">
        <v>2180</v>
      </c>
      <c r="C993" s="3" t="str">
        <f t="shared" si="18"/>
        <v>2022-07-06</v>
      </c>
      <c r="D993" s="3" t="s">
        <v>9</v>
      </c>
      <c r="E993" s="3" t="s">
        <v>5</v>
      </c>
      <c r="F993" s="3" t="s">
        <v>10</v>
      </c>
      <c r="G993" s="3" t="s">
        <v>2181</v>
      </c>
      <c r="H993" s="3" t="s">
        <v>2182</v>
      </c>
      <c r="I993" s="4">
        <v>2222.1</v>
      </c>
      <c r="J993" s="3" t="s">
        <v>11</v>
      </c>
    </row>
    <row r="994" spans="1:10" x14ac:dyDescent="0.35">
      <c r="A994" s="3">
        <v>103407006</v>
      </c>
      <c r="B994" s="3" t="s">
        <v>2183</v>
      </c>
      <c r="C994" s="3" t="str">
        <f t="shared" si="18"/>
        <v>2022-07-06</v>
      </c>
      <c r="D994" s="3" t="s">
        <v>9</v>
      </c>
      <c r="E994" s="3" t="s">
        <v>5</v>
      </c>
      <c r="F994" s="3" t="s">
        <v>12</v>
      </c>
      <c r="G994" s="3" t="s">
        <v>2184</v>
      </c>
      <c r="H994" s="3" t="s">
        <v>2185</v>
      </c>
      <c r="I994" s="5">
        <v>1869</v>
      </c>
      <c r="J994" s="3" t="s">
        <v>14</v>
      </c>
    </row>
    <row r="995" spans="1:10" x14ac:dyDescent="0.35">
      <c r="A995" s="3">
        <v>103407002</v>
      </c>
      <c r="B995" s="3" t="s">
        <v>2186</v>
      </c>
      <c r="C995" s="3" t="str">
        <f t="shared" si="18"/>
        <v>2022-07-06</v>
      </c>
      <c r="D995" s="3" t="s">
        <v>9</v>
      </c>
      <c r="E995" s="3" t="s">
        <v>5</v>
      </c>
      <c r="F995" s="3" t="s">
        <v>10</v>
      </c>
      <c r="G995" s="3" t="s">
        <v>2187</v>
      </c>
      <c r="H995" s="3" t="s">
        <v>2188</v>
      </c>
      <c r="I995" s="4">
        <v>3390.55</v>
      </c>
      <c r="J995" s="3" t="s">
        <v>14</v>
      </c>
    </row>
    <row r="996" spans="1:10" x14ac:dyDescent="0.35">
      <c r="A996" s="3">
        <v>103407076</v>
      </c>
      <c r="B996" s="3" t="s">
        <v>2189</v>
      </c>
      <c r="C996" s="3" t="str">
        <f t="shared" si="18"/>
        <v>2022-07-06</v>
      </c>
      <c r="D996" s="3" t="s">
        <v>9</v>
      </c>
      <c r="E996" s="3" t="s">
        <v>5</v>
      </c>
      <c r="F996" s="3" t="s">
        <v>10</v>
      </c>
      <c r="G996" s="3" t="s">
        <v>2190</v>
      </c>
      <c r="H996" s="3" t="s">
        <v>2191</v>
      </c>
      <c r="I996" s="4">
        <v>2307.64</v>
      </c>
      <c r="J996" s="3" t="s">
        <v>14</v>
      </c>
    </row>
    <row r="997" spans="1:10" x14ac:dyDescent="0.35">
      <c r="A997" s="3">
        <v>103407074</v>
      </c>
      <c r="B997" s="3" t="s">
        <v>2192</v>
      </c>
      <c r="C997" s="3" t="str">
        <f t="shared" si="18"/>
        <v>2022-07-06</v>
      </c>
      <c r="D997" s="3" t="s">
        <v>9</v>
      </c>
      <c r="E997" s="3" t="s">
        <v>5</v>
      </c>
      <c r="F997" s="3" t="s">
        <v>10</v>
      </c>
      <c r="G997" s="3" t="s">
        <v>2193</v>
      </c>
      <c r="H997" s="3" t="s">
        <v>2194</v>
      </c>
      <c r="I997" s="3">
        <v>768.55</v>
      </c>
      <c r="J997" s="3" t="s">
        <v>14</v>
      </c>
    </row>
    <row r="998" spans="1:10" x14ac:dyDescent="0.35">
      <c r="A998" s="3">
        <v>103406993</v>
      </c>
      <c r="B998" s="3" t="s">
        <v>2195</v>
      </c>
      <c r="C998" s="3" t="str">
        <f t="shared" si="18"/>
        <v>2022-07-06</v>
      </c>
      <c r="D998" s="3" t="s">
        <v>9</v>
      </c>
      <c r="E998" s="3" t="s">
        <v>5</v>
      </c>
      <c r="F998" s="3" t="s">
        <v>10</v>
      </c>
      <c r="G998" s="3" t="s">
        <v>2196</v>
      </c>
      <c r="H998" s="3" t="s">
        <v>2197</v>
      </c>
      <c r="I998" s="4">
        <v>1009.9</v>
      </c>
      <c r="J998" s="3" t="s">
        <v>14</v>
      </c>
    </row>
    <row r="999" spans="1:10" x14ac:dyDescent="0.35">
      <c r="A999" s="3">
        <v>103406992</v>
      </c>
      <c r="B999" s="3" t="s">
        <v>2198</v>
      </c>
      <c r="C999" s="3" t="str">
        <f t="shared" si="18"/>
        <v>2022-07-06</v>
      </c>
      <c r="D999" s="3" t="s">
        <v>9</v>
      </c>
      <c r="E999" s="3" t="s">
        <v>5</v>
      </c>
      <c r="F999" s="3" t="s">
        <v>12</v>
      </c>
      <c r="G999" s="3" t="s">
        <v>2199</v>
      </c>
      <c r="H999" s="3" t="s">
        <v>2200</v>
      </c>
      <c r="I999" s="4">
        <v>5319.05</v>
      </c>
      <c r="J999" s="3" t="s">
        <v>14</v>
      </c>
    </row>
    <row r="1000" spans="1:10" x14ac:dyDescent="0.35">
      <c r="A1000" s="3">
        <v>103407069</v>
      </c>
      <c r="B1000" s="3" t="s">
        <v>2201</v>
      </c>
      <c r="C1000" s="3" t="str">
        <f t="shared" si="18"/>
        <v>2022-07-06</v>
      </c>
      <c r="D1000" s="3" t="s">
        <v>9</v>
      </c>
      <c r="E1000" s="3" t="s">
        <v>5</v>
      </c>
      <c r="F1000" s="3" t="s">
        <v>10</v>
      </c>
      <c r="G1000" s="3" t="s">
        <v>2202</v>
      </c>
      <c r="H1000" s="3" t="s">
        <v>2203</v>
      </c>
      <c r="I1000" s="4">
        <v>2469.0500000000002</v>
      </c>
      <c r="J1000" s="3" t="s">
        <v>14</v>
      </c>
    </row>
    <row r="1001" spans="1:10" x14ac:dyDescent="0.35">
      <c r="A1001" s="3">
        <v>103407068</v>
      </c>
      <c r="B1001" s="3" t="s">
        <v>2204</v>
      </c>
      <c r="C1001" s="3" t="str">
        <f t="shared" si="18"/>
        <v>2022-07-06</v>
      </c>
      <c r="D1001" s="3" t="s">
        <v>9</v>
      </c>
      <c r="E1001" s="3" t="s">
        <v>5</v>
      </c>
      <c r="F1001" s="3" t="s">
        <v>10</v>
      </c>
      <c r="G1001" s="3" t="s">
        <v>2205</v>
      </c>
      <c r="H1001" s="3" t="s">
        <v>2206</v>
      </c>
      <c r="I1001" s="4">
        <v>4331.1000000000004</v>
      </c>
      <c r="J1001" s="3" t="s">
        <v>14</v>
      </c>
    </row>
    <row r="1002" spans="1:10" x14ac:dyDescent="0.35">
      <c r="A1002" s="3">
        <v>103406983</v>
      </c>
      <c r="B1002" s="3" t="s">
        <v>2207</v>
      </c>
      <c r="C1002" s="3" t="str">
        <f t="shared" si="18"/>
        <v>2022-07-06</v>
      </c>
      <c r="D1002" s="3" t="s">
        <v>9</v>
      </c>
      <c r="E1002" s="3" t="s">
        <v>5</v>
      </c>
      <c r="F1002" s="3" t="s">
        <v>10</v>
      </c>
      <c r="G1002" s="3" t="s">
        <v>2208</v>
      </c>
      <c r="H1002" s="3" t="s">
        <v>2209</v>
      </c>
      <c r="I1002" s="4">
        <v>1352.85</v>
      </c>
      <c r="J1002" s="3" t="s">
        <v>14</v>
      </c>
    </row>
    <row r="1003" spans="1:10" x14ac:dyDescent="0.35">
      <c r="A1003" s="3">
        <v>103406948</v>
      </c>
      <c r="B1003" s="3" t="s">
        <v>2210</v>
      </c>
      <c r="C1003" s="3" t="str">
        <f t="shared" si="18"/>
        <v>2022-07-06</v>
      </c>
      <c r="D1003" s="3" t="s">
        <v>9</v>
      </c>
      <c r="E1003" s="3" t="s">
        <v>5</v>
      </c>
      <c r="F1003" s="3" t="s">
        <v>10</v>
      </c>
      <c r="G1003" s="3" t="s">
        <v>2211</v>
      </c>
      <c r="H1003" s="3" t="s">
        <v>2212</v>
      </c>
      <c r="I1003" s="4">
        <v>8281.15</v>
      </c>
      <c r="J1003" s="3" t="s">
        <v>14</v>
      </c>
    </row>
    <row r="1004" spans="1:10" x14ac:dyDescent="0.35">
      <c r="A1004" s="3">
        <v>103406943</v>
      </c>
      <c r="B1004" s="3" t="s">
        <v>2213</v>
      </c>
      <c r="C1004" s="3" t="str">
        <f t="shared" si="18"/>
        <v>2022-07-06</v>
      </c>
      <c r="D1004" s="3" t="s">
        <v>9</v>
      </c>
      <c r="E1004" s="3" t="s">
        <v>5</v>
      </c>
      <c r="F1004" s="3" t="s">
        <v>10</v>
      </c>
      <c r="G1004" s="3" t="s">
        <v>2214</v>
      </c>
      <c r="H1004" s="3" t="s">
        <v>2215</v>
      </c>
      <c r="I1004" s="4">
        <v>1328.1</v>
      </c>
      <c r="J1004" s="3" t="s">
        <v>14</v>
      </c>
    </row>
    <row r="1005" spans="1:10" x14ac:dyDescent="0.35">
      <c r="A1005" s="3">
        <v>103406973</v>
      </c>
      <c r="B1005" s="3" t="s">
        <v>2216</v>
      </c>
      <c r="C1005" s="3" t="str">
        <f t="shared" si="18"/>
        <v>2022-07-06</v>
      </c>
      <c r="D1005" s="3" t="s">
        <v>9</v>
      </c>
      <c r="E1005" s="3" t="s">
        <v>5</v>
      </c>
      <c r="F1005" s="3" t="s">
        <v>12</v>
      </c>
      <c r="G1005" s="3" t="s">
        <v>2217</v>
      </c>
      <c r="H1005" s="3" t="s">
        <v>2218</v>
      </c>
      <c r="I1005" s="5">
        <v>1199</v>
      </c>
      <c r="J1005" s="3" t="s">
        <v>14</v>
      </c>
    </row>
    <row r="1006" spans="1:10" x14ac:dyDescent="0.35">
      <c r="A1006" s="3">
        <v>103406972</v>
      </c>
      <c r="B1006" s="3" t="s">
        <v>2219</v>
      </c>
      <c r="C1006" s="3" t="str">
        <f t="shared" si="18"/>
        <v>2022-07-06</v>
      </c>
      <c r="D1006" s="3" t="s">
        <v>9</v>
      </c>
      <c r="E1006" s="3" t="s">
        <v>5</v>
      </c>
      <c r="F1006" s="3" t="s">
        <v>10</v>
      </c>
      <c r="G1006" s="3" t="s">
        <v>2220</v>
      </c>
      <c r="H1006" s="3" t="s">
        <v>2221</v>
      </c>
      <c r="I1006" s="4">
        <v>1244.55</v>
      </c>
      <c r="J1006" s="3" t="s">
        <v>14</v>
      </c>
    </row>
    <row r="1007" spans="1:10" x14ac:dyDescent="0.35">
      <c r="A1007" s="3">
        <v>103406965</v>
      </c>
      <c r="B1007" s="3" t="s">
        <v>2222</v>
      </c>
      <c r="C1007" s="3" t="str">
        <f t="shared" si="18"/>
        <v>2022-07-06</v>
      </c>
      <c r="D1007" s="3" t="s">
        <v>9</v>
      </c>
      <c r="E1007" s="3" t="s">
        <v>5</v>
      </c>
      <c r="F1007" s="3" t="s">
        <v>10</v>
      </c>
      <c r="G1007" s="3" t="s">
        <v>2223</v>
      </c>
      <c r="H1007" s="3" t="s">
        <v>2224</v>
      </c>
      <c r="I1007" s="5">
        <v>2999</v>
      </c>
      <c r="J1007" s="3" t="s">
        <v>14</v>
      </c>
    </row>
    <row r="1008" spans="1:10" x14ac:dyDescent="0.35">
      <c r="A1008" s="3">
        <v>103406861</v>
      </c>
      <c r="B1008" s="3" t="s">
        <v>2225</v>
      </c>
      <c r="C1008" s="3" t="str">
        <f t="shared" si="18"/>
        <v>2022-07-06</v>
      </c>
      <c r="D1008" s="3" t="s">
        <v>9</v>
      </c>
      <c r="E1008" s="3" t="s">
        <v>5</v>
      </c>
      <c r="F1008" s="3" t="s">
        <v>10</v>
      </c>
      <c r="G1008" s="3" t="s">
        <v>2226</v>
      </c>
      <c r="H1008" s="3" t="s">
        <v>2227</v>
      </c>
      <c r="I1008" s="4">
        <v>4068.09</v>
      </c>
      <c r="J1008" s="3" t="s">
        <v>14</v>
      </c>
    </row>
    <row r="1009" spans="1:10" x14ac:dyDescent="0.35">
      <c r="A1009" s="3">
        <v>103406860</v>
      </c>
      <c r="B1009" s="3" t="s">
        <v>2228</v>
      </c>
      <c r="C1009" s="3" t="str">
        <f t="shared" si="18"/>
        <v>2022-07-06</v>
      </c>
      <c r="D1009" s="3" t="s">
        <v>9</v>
      </c>
      <c r="E1009" s="3" t="s">
        <v>5</v>
      </c>
      <c r="F1009" s="3" t="s">
        <v>10</v>
      </c>
      <c r="G1009" s="3" t="s">
        <v>2229</v>
      </c>
      <c r="H1009" s="3" t="s">
        <v>2230</v>
      </c>
      <c r="I1009" s="5">
        <v>3599</v>
      </c>
      <c r="J1009" s="3" t="s">
        <v>14</v>
      </c>
    </row>
    <row r="1010" spans="1:10" x14ac:dyDescent="0.35">
      <c r="A1010" s="3">
        <v>103406859</v>
      </c>
      <c r="B1010" s="3" t="s">
        <v>2231</v>
      </c>
      <c r="C1010" s="3" t="str">
        <f t="shared" si="18"/>
        <v>2022-07-06</v>
      </c>
      <c r="D1010" s="3" t="s">
        <v>9</v>
      </c>
      <c r="E1010" s="3" t="s">
        <v>5</v>
      </c>
      <c r="F1010" s="3" t="s">
        <v>10</v>
      </c>
      <c r="G1010" s="3" t="s">
        <v>2232</v>
      </c>
      <c r="H1010" s="3" t="s">
        <v>2233</v>
      </c>
      <c r="I1010" s="4">
        <v>4700.6000000000004</v>
      </c>
      <c r="J1010" s="3" t="s">
        <v>14</v>
      </c>
    </row>
    <row r="1011" spans="1:10" x14ac:dyDescent="0.35">
      <c r="A1011" s="3">
        <v>103406929</v>
      </c>
      <c r="B1011" s="3" t="s">
        <v>2234</v>
      </c>
      <c r="C1011" s="3" t="str">
        <f t="shared" si="18"/>
        <v>2022-07-06</v>
      </c>
      <c r="D1011" s="3" t="s">
        <v>9</v>
      </c>
      <c r="E1011" s="3" t="s">
        <v>5</v>
      </c>
      <c r="F1011" s="3" t="s">
        <v>10</v>
      </c>
      <c r="G1011" s="3" t="s">
        <v>2235</v>
      </c>
      <c r="H1011" s="3" t="s">
        <v>2236</v>
      </c>
      <c r="I1011" s="4">
        <v>5319.05</v>
      </c>
      <c r="J1011" s="3" t="s">
        <v>14</v>
      </c>
    </row>
    <row r="1012" spans="1:10" x14ac:dyDescent="0.35">
      <c r="A1012" s="3">
        <v>103406928</v>
      </c>
      <c r="B1012" s="3" t="s">
        <v>2237</v>
      </c>
      <c r="C1012" s="3" t="str">
        <f t="shared" si="18"/>
        <v>2022-07-06</v>
      </c>
      <c r="D1012" s="3" t="s">
        <v>9</v>
      </c>
      <c r="E1012" s="3" t="s">
        <v>5</v>
      </c>
      <c r="F1012" s="3" t="s">
        <v>10</v>
      </c>
      <c r="G1012" s="3" t="s">
        <v>2238</v>
      </c>
      <c r="H1012" s="3" t="s">
        <v>2239</v>
      </c>
      <c r="I1012" s="5">
        <v>2999</v>
      </c>
      <c r="J1012" s="3" t="s">
        <v>14</v>
      </c>
    </row>
    <row r="1013" spans="1:10" x14ac:dyDescent="0.35">
      <c r="A1013" s="3">
        <v>103406856</v>
      </c>
      <c r="B1013" s="3" t="s">
        <v>2240</v>
      </c>
      <c r="C1013" s="3" t="str">
        <f t="shared" si="18"/>
        <v>2022-07-06</v>
      </c>
      <c r="D1013" s="3" t="s">
        <v>9</v>
      </c>
      <c r="E1013" s="3" t="s">
        <v>5</v>
      </c>
      <c r="F1013" s="3" t="s">
        <v>10</v>
      </c>
      <c r="G1013" s="3" t="s">
        <v>2241</v>
      </c>
      <c r="H1013" s="3" t="s">
        <v>2242</v>
      </c>
      <c r="I1013" s="3">
        <v>464.55</v>
      </c>
      <c r="J1013" s="3" t="s">
        <v>14</v>
      </c>
    </row>
    <row r="1014" spans="1:10" x14ac:dyDescent="0.35">
      <c r="A1014" s="3">
        <v>103406854</v>
      </c>
      <c r="B1014" s="3" t="s">
        <v>2243</v>
      </c>
      <c r="C1014" s="3" t="str">
        <f t="shared" si="18"/>
        <v>2022-07-06</v>
      </c>
      <c r="D1014" s="3" t="s">
        <v>9</v>
      </c>
      <c r="E1014" s="3" t="s">
        <v>5</v>
      </c>
      <c r="F1014" s="3" t="s">
        <v>10</v>
      </c>
      <c r="G1014" s="3" t="s">
        <v>2244</v>
      </c>
      <c r="H1014" s="3" t="s">
        <v>2245</v>
      </c>
      <c r="I1014" s="5">
        <v>3019</v>
      </c>
      <c r="J1014" s="3" t="s">
        <v>14</v>
      </c>
    </row>
    <row r="1015" spans="1:10" x14ac:dyDescent="0.35">
      <c r="A1015" s="3">
        <v>103406917</v>
      </c>
      <c r="B1015" s="3" t="s">
        <v>2246</v>
      </c>
      <c r="C1015" s="3" t="str">
        <f t="shared" si="18"/>
        <v>2022-07-06</v>
      </c>
      <c r="D1015" s="3" t="s">
        <v>9</v>
      </c>
      <c r="E1015" s="3" t="s">
        <v>5</v>
      </c>
      <c r="F1015" s="3" t="s">
        <v>10</v>
      </c>
      <c r="G1015" s="3" t="s">
        <v>2247</v>
      </c>
      <c r="H1015" s="3" t="s">
        <v>2248</v>
      </c>
      <c r="I1015" s="3">
        <v>673.55</v>
      </c>
      <c r="J1015" s="3" t="s">
        <v>14</v>
      </c>
    </row>
    <row r="1016" spans="1:10" x14ac:dyDescent="0.35">
      <c r="A1016" s="3">
        <v>103406852</v>
      </c>
      <c r="B1016" s="3" t="s">
        <v>2249</v>
      </c>
      <c r="C1016" s="3" t="str">
        <f t="shared" si="18"/>
        <v>2022-07-06</v>
      </c>
      <c r="D1016" s="3" t="s">
        <v>9</v>
      </c>
      <c r="E1016" s="3" t="s">
        <v>5</v>
      </c>
      <c r="F1016" s="3" t="s">
        <v>10</v>
      </c>
      <c r="G1016" s="3" t="s">
        <v>2250</v>
      </c>
      <c r="H1016" s="3" t="s">
        <v>2251</v>
      </c>
      <c r="I1016" s="4">
        <v>1082.0999999999999</v>
      </c>
      <c r="J1016" s="3" t="s">
        <v>14</v>
      </c>
    </row>
    <row r="1017" spans="1:10" x14ac:dyDescent="0.35">
      <c r="A1017" s="3">
        <v>103406844</v>
      </c>
      <c r="B1017" s="3" t="s">
        <v>2252</v>
      </c>
      <c r="C1017" s="3" t="str">
        <f t="shared" si="18"/>
        <v>2022-07-06</v>
      </c>
      <c r="D1017" s="3" t="s">
        <v>9</v>
      </c>
      <c r="E1017" s="3" t="s">
        <v>5</v>
      </c>
      <c r="F1017" s="3" t="s">
        <v>10</v>
      </c>
      <c r="G1017" s="3" t="s">
        <v>2253</v>
      </c>
      <c r="H1017" s="3" t="s">
        <v>2254</v>
      </c>
      <c r="I1017" s="5">
        <v>4199</v>
      </c>
      <c r="J1017" s="3" t="s">
        <v>14</v>
      </c>
    </row>
    <row r="1018" spans="1:10" x14ac:dyDescent="0.35">
      <c r="A1018" s="3">
        <v>103406840</v>
      </c>
      <c r="B1018" s="3" t="s">
        <v>2255</v>
      </c>
      <c r="C1018" s="3" t="str">
        <f t="shared" si="18"/>
        <v>2022-07-06</v>
      </c>
      <c r="D1018" s="3" t="s">
        <v>9</v>
      </c>
      <c r="E1018" s="3" t="s">
        <v>5</v>
      </c>
      <c r="F1018" s="3" t="s">
        <v>10</v>
      </c>
      <c r="G1018" s="3" t="s">
        <v>2256</v>
      </c>
      <c r="H1018" s="3" t="s">
        <v>2257</v>
      </c>
      <c r="I1018" s="3">
        <v>937.7</v>
      </c>
      <c r="J1018" s="3" t="s">
        <v>14</v>
      </c>
    </row>
    <row r="1019" spans="1:10" x14ac:dyDescent="0.35">
      <c r="A1019" s="3">
        <v>103406836</v>
      </c>
      <c r="B1019" s="3" t="s">
        <v>2258</v>
      </c>
      <c r="C1019" s="3" t="str">
        <f t="shared" si="18"/>
        <v>2022-07-06</v>
      </c>
      <c r="D1019" s="3" t="s">
        <v>9</v>
      </c>
      <c r="E1019" s="3" t="s">
        <v>5</v>
      </c>
      <c r="F1019" s="3" t="s">
        <v>12</v>
      </c>
      <c r="G1019" s="3" t="s">
        <v>2259</v>
      </c>
      <c r="H1019" s="3" t="s">
        <v>2260</v>
      </c>
      <c r="I1019" s="4">
        <v>2564.0500000000002</v>
      </c>
      <c r="J1019" s="3" t="s">
        <v>14</v>
      </c>
    </row>
    <row r="1020" spans="1:10" x14ac:dyDescent="0.35">
      <c r="A1020" s="3">
        <v>103406898</v>
      </c>
      <c r="B1020" s="3" t="s">
        <v>2261</v>
      </c>
      <c r="C1020" s="3" t="str">
        <f t="shared" si="18"/>
        <v>2022-07-06</v>
      </c>
      <c r="D1020" s="3" t="s">
        <v>9</v>
      </c>
      <c r="E1020" s="3" t="s">
        <v>5</v>
      </c>
      <c r="F1020" s="3" t="s">
        <v>10</v>
      </c>
      <c r="G1020" s="3" t="s">
        <v>2262</v>
      </c>
      <c r="H1020" s="3" t="s">
        <v>2263</v>
      </c>
      <c r="I1020" s="4">
        <v>3789.6</v>
      </c>
      <c r="J1020" s="3" t="s">
        <v>14</v>
      </c>
    </row>
    <row r="1021" spans="1:10" x14ac:dyDescent="0.35">
      <c r="A1021" s="3">
        <v>103406831</v>
      </c>
      <c r="B1021" s="3" t="s">
        <v>2264</v>
      </c>
      <c r="C1021" s="3" t="str">
        <f t="shared" si="18"/>
        <v>2022-07-06</v>
      </c>
      <c r="D1021" s="3" t="s">
        <v>9</v>
      </c>
      <c r="E1021" s="3" t="s">
        <v>5</v>
      </c>
      <c r="F1021" s="3" t="s">
        <v>10</v>
      </c>
      <c r="G1021" s="3" t="s">
        <v>1568</v>
      </c>
      <c r="H1021" s="3" t="s">
        <v>1569</v>
      </c>
      <c r="I1021" s="5">
        <v>2799</v>
      </c>
      <c r="J1021" s="3" t="s">
        <v>14</v>
      </c>
    </row>
    <row r="1022" spans="1:10" x14ac:dyDescent="0.35">
      <c r="A1022" s="3">
        <v>103406894</v>
      </c>
      <c r="B1022" s="3" t="s">
        <v>2265</v>
      </c>
      <c r="C1022" s="3" t="str">
        <f t="shared" si="18"/>
        <v>2022-07-06</v>
      </c>
      <c r="D1022" s="3" t="s">
        <v>9</v>
      </c>
      <c r="E1022" s="3" t="s">
        <v>5</v>
      </c>
      <c r="F1022" s="3" t="s">
        <v>12</v>
      </c>
      <c r="G1022" s="3" t="s">
        <v>2266</v>
      </c>
      <c r="H1022" s="3" t="s">
        <v>2267</v>
      </c>
      <c r="I1022" s="4">
        <v>2991.64</v>
      </c>
      <c r="J1022" s="3" t="s">
        <v>14</v>
      </c>
    </row>
    <row r="1023" spans="1:10" x14ac:dyDescent="0.35">
      <c r="A1023" s="3">
        <v>103406828</v>
      </c>
      <c r="B1023" s="3" t="s">
        <v>2268</v>
      </c>
      <c r="C1023" s="3" t="str">
        <f t="shared" si="18"/>
        <v>2022-07-06</v>
      </c>
      <c r="D1023" s="3" t="s">
        <v>9</v>
      </c>
      <c r="E1023" s="3" t="s">
        <v>5</v>
      </c>
      <c r="F1023" s="3" t="s">
        <v>10</v>
      </c>
      <c r="G1023" s="3" t="s">
        <v>2269</v>
      </c>
      <c r="H1023" s="3" t="s">
        <v>2270</v>
      </c>
      <c r="I1023" s="5">
        <v>2999</v>
      </c>
      <c r="J1023" s="3" t="s">
        <v>14</v>
      </c>
    </row>
    <row r="1024" spans="1:10" x14ac:dyDescent="0.35">
      <c r="A1024" s="3">
        <v>103406825</v>
      </c>
      <c r="B1024" s="3" t="s">
        <v>2271</v>
      </c>
      <c r="C1024" s="3" t="str">
        <f t="shared" si="18"/>
        <v>2022-07-06</v>
      </c>
      <c r="D1024" s="3" t="s">
        <v>9</v>
      </c>
      <c r="E1024" s="3" t="s">
        <v>5</v>
      </c>
      <c r="F1024" s="3" t="s">
        <v>10</v>
      </c>
      <c r="G1024" s="3" t="s">
        <v>2097</v>
      </c>
      <c r="H1024" s="3" t="s">
        <v>2098</v>
      </c>
      <c r="I1024" s="3">
        <v>439</v>
      </c>
      <c r="J1024" s="3" t="s">
        <v>14</v>
      </c>
    </row>
    <row r="1025" spans="1:10" x14ac:dyDescent="0.35">
      <c r="A1025" s="3">
        <v>103406822</v>
      </c>
      <c r="B1025" s="3" t="s">
        <v>2272</v>
      </c>
      <c r="C1025" s="3" t="str">
        <f t="shared" si="18"/>
        <v>2022-07-06</v>
      </c>
      <c r="D1025" s="3" t="s">
        <v>9</v>
      </c>
      <c r="E1025" s="3" t="s">
        <v>5</v>
      </c>
      <c r="F1025" s="3" t="s">
        <v>10</v>
      </c>
      <c r="G1025" s="3" t="s">
        <v>2273</v>
      </c>
      <c r="H1025" s="3" t="s">
        <v>2274</v>
      </c>
      <c r="I1025" s="3">
        <v>768.55</v>
      </c>
      <c r="J1025" s="3" t="s">
        <v>14</v>
      </c>
    </row>
    <row r="1026" spans="1:10" x14ac:dyDescent="0.35">
      <c r="A1026" s="3">
        <v>103406889</v>
      </c>
      <c r="B1026" s="3" t="s">
        <v>2275</v>
      </c>
      <c r="C1026" s="3" t="str">
        <f t="shared" si="18"/>
        <v>2022-07-06</v>
      </c>
      <c r="D1026" s="3" t="s">
        <v>9</v>
      </c>
      <c r="E1026" s="3" t="s">
        <v>5</v>
      </c>
      <c r="F1026" s="3" t="s">
        <v>10</v>
      </c>
      <c r="G1026" s="3" t="s">
        <v>1561</v>
      </c>
      <c r="H1026" s="3" t="s">
        <v>1562</v>
      </c>
      <c r="I1026" s="4">
        <v>2849.05</v>
      </c>
      <c r="J1026" s="3" t="s">
        <v>14</v>
      </c>
    </row>
    <row r="1027" spans="1:10" x14ac:dyDescent="0.35">
      <c r="A1027" s="3">
        <v>103406814</v>
      </c>
      <c r="B1027" s="3" t="s">
        <v>4783</v>
      </c>
      <c r="C1027" s="3" t="str">
        <f t="shared" ref="C1027:C1090" si="19">LEFT(B1027,FIND("T",B1027)-1)</f>
        <v>2022-07-06</v>
      </c>
      <c r="D1027" s="3" t="s">
        <v>9</v>
      </c>
      <c r="E1027" s="3" t="s">
        <v>5</v>
      </c>
      <c r="F1027" s="3" t="s">
        <v>10</v>
      </c>
      <c r="G1027" s="3" t="s">
        <v>4784</v>
      </c>
      <c r="H1027" s="3" t="s">
        <v>4785</v>
      </c>
      <c r="I1027" s="4">
        <v>1597.99</v>
      </c>
      <c r="J1027" s="3" t="s">
        <v>13</v>
      </c>
    </row>
    <row r="1028" spans="1:10" x14ac:dyDescent="0.35">
      <c r="A1028" s="3">
        <v>103406882</v>
      </c>
      <c r="B1028" s="3" t="s">
        <v>2276</v>
      </c>
      <c r="C1028" s="3" t="str">
        <f t="shared" si="19"/>
        <v>2022-07-06</v>
      </c>
      <c r="D1028" s="3" t="s">
        <v>9</v>
      </c>
      <c r="E1028" s="3" t="s">
        <v>5</v>
      </c>
      <c r="F1028" s="3" t="s">
        <v>10</v>
      </c>
      <c r="G1028" s="3" t="s">
        <v>2277</v>
      </c>
      <c r="H1028" s="3" t="s">
        <v>2278</v>
      </c>
      <c r="I1028" s="4">
        <v>3989.05</v>
      </c>
      <c r="J1028" s="3" t="s">
        <v>14</v>
      </c>
    </row>
    <row r="1029" spans="1:10" x14ac:dyDescent="0.35">
      <c r="A1029" s="3">
        <v>103406813</v>
      </c>
      <c r="B1029" s="3" t="s">
        <v>2279</v>
      </c>
      <c r="C1029" s="3" t="str">
        <f t="shared" si="19"/>
        <v>2022-07-06</v>
      </c>
      <c r="D1029" s="3" t="s">
        <v>9</v>
      </c>
      <c r="E1029" s="3" t="s">
        <v>5</v>
      </c>
      <c r="F1029" s="3" t="s">
        <v>10</v>
      </c>
      <c r="G1029" s="3" t="s">
        <v>2280</v>
      </c>
      <c r="H1029" s="3" t="s">
        <v>2281</v>
      </c>
      <c r="I1029" s="4">
        <v>1342.92</v>
      </c>
      <c r="J1029" s="3" t="s">
        <v>14</v>
      </c>
    </row>
    <row r="1030" spans="1:10" x14ac:dyDescent="0.35">
      <c r="A1030" s="3">
        <v>103406877</v>
      </c>
      <c r="B1030" s="3" t="s">
        <v>2282</v>
      </c>
      <c r="C1030" s="3" t="str">
        <f t="shared" si="19"/>
        <v>2022-07-06</v>
      </c>
      <c r="D1030" s="3" t="s">
        <v>9</v>
      </c>
      <c r="E1030" s="3" t="s">
        <v>5</v>
      </c>
      <c r="F1030" s="3" t="s">
        <v>10</v>
      </c>
      <c r="G1030" s="3" t="s">
        <v>2283</v>
      </c>
      <c r="H1030" s="3" t="s">
        <v>2284</v>
      </c>
      <c r="I1030" s="4">
        <v>2469.0500000000002</v>
      </c>
      <c r="J1030" s="3" t="s">
        <v>14</v>
      </c>
    </row>
    <row r="1031" spans="1:10" x14ac:dyDescent="0.35">
      <c r="A1031" s="3">
        <v>103406811</v>
      </c>
      <c r="B1031" s="3" t="s">
        <v>2285</v>
      </c>
      <c r="C1031" s="3" t="str">
        <f t="shared" si="19"/>
        <v>2022-07-06</v>
      </c>
      <c r="D1031" s="3" t="s">
        <v>9</v>
      </c>
      <c r="E1031" s="3" t="s">
        <v>5</v>
      </c>
      <c r="F1031" s="3" t="s">
        <v>10</v>
      </c>
      <c r="G1031" s="3" t="s">
        <v>2286</v>
      </c>
      <c r="H1031" s="3" t="s">
        <v>2287</v>
      </c>
      <c r="I1031" s="4">
        <v>1259.0999999999999</v>
      </c>
      <c r="J1031" s="3" t="s">
        <v>14</v>
      </c>
    </row>
    <row r="1032" spans="1:10" x14ac:dyDescent="0.35">
      <c r="A1032" s="3">
        <v>103406807</v>
      </c>
      <c r="B1032" s="3" t="s">
        <v>2288</v>
      </c>
      <c r="C1032" s="3" t="str">
        <f t="shared" si="19"/>
        <v>2022-07-06</v>
      </c>
      <c r="D1032" s="3" t="s">
        <v>9</v>
      </c>
      <c r="E1032" s="3" t="s">
        <v>5</v>
      </c>
      <c r="F1032" s="3" t="s">
        <v>12</v>
      </c>
      <c r="G1032" s="3" t="s">
        <v>2289</v>
      </c>
      <c r="H1032" s="3" t="s">
        <v>2290</v>
      </c>
      <c r="I1032" s="3">
        <v>759.05</v>
      </c>
      <c r="J1032" s="3" t="s">
        <v>14</v>
      </c>
    </row>
    <row r="1033" spans="1:10" x14ac:dyDescent="0.35">
      <c r="A1033" s="3">
        <v>103406873</v>
      </c>
      <c r="B1033" s="3" t="s">
        <v>2291</v>
      </c>
      <c r="C1033" s="3" t="str">
        <f t="shared" si="19"/>
        <v>2022-07-06</v>
      </c>
      <c r="D1033" s="3" t="s">
        <v>9</v>
      </c>
      <c r="E1033" s="3" t="s">
        <v>5</v>
      </c>
      <c r="F1033" s="3" t="s">
        <v>10</v>
      </c>
      <c r="G1033" s="3" t="s">
        <v>2292</v>
      </c>
      <c r="H1033" s="3" t="s">
        <v>2293</v>
      </c>
      <c r="I1033" s="4">
        <v>2849.05</v>
      </c>
      <c r="J1033" s="3" t="s">
        <v>14</v>
      </c>
    </row>
    <row r="1034" spans="1:10" x14ac:dyDescent="0.35">
      <c r="A1034" s="3">
        <v>103406872</v>
      </c>
      <c r="B1034" s="3" t="s">
        <v>2294</v>
      </c>
      <c r="C1034" s="3" t="str">
        <f t="shared" si="19"/>
        <v>2022-07-06</v>
      </c>
      <c r="D1034" s="3" t="s">
        <v>9</v>
      </c>
      <c r="E1034" s="3" t="s">
        <v>5</v>
      </c>
      <c r="F1034" s="3" t="s">
        <v>12</v>
      </c>
      <c r="G1034" s="3" t="s">
        <v>2295</v>
      </c>
      <c r="H1034" s="3" t="s">
        <v>2296</v>
      </c>
      <c r="I1034" s="5">
        <v>1999</v>
      </c>
      <c r="J1034" s="3" t="s">
        <v>14</v>
      </c>
    </row>
    <row r="1035" spans="1:10" x14ac:dyDescent="0.35">
      <c r="A1035" s="3">
        <v>103406803</v>
      </c>
      <c r="B1035" s="3" t="s">
        <v>2297</v>
      </c>
      <c r="C1035" s="3" t="str">
        <f t="shared" si="19"/>
        <v>2022-07-06</v>
      </c>
      <c r="D1035" s="3" t="s">
        <v>9</v>
      </c>
      <c r="E1035" s="3" t="s">
        <v>5</v>
      </c>
      <c r="F1035" s="3" t="s">
        <v>12</v>
      </c>
      <c r="G1035" s="3" t="s">
        <v>2298</v>
      </c>
      <c r="H1035" s="3" t="s">
        <v>2299</v>
      </c>
      <c r="I1035" s="5">
        <v>1379</v>
      </c>
      <c r="J1035" s="3" t="s">
        <v>14</v>
      </c>
    </row>
    <row r="1036" spans="1:10" x14ac:dyDescent="0.35">
      <c r="A1036" s="3">
        <v>103406868</v>
      </c>
      <c r="B1036" s="3" t="s">
        <v>2297</v>
      </c>
      <c r="C1036" s="3" t="str">
        <f t="shared" si="19"/>
        <v>2022-07-06</v>
      </c>
      <c r="D1036" s="3" t="s">
        <v>9</v>
      </c>
      <c r="E1036" s="3" t="s">
        <v>5</v>
      </c>
      <c r="F1036" s="3" t="s">
        <v>10</v>
      </c>
      <c r="G1036" s="3" t="s">
        <v>2300</v>
      </c>
      <c r="H1036" s="3" t="s">
        <v>2301</v>
      </c>
      <c r="I1036" s="4">
        <v>1462.45</v>
      </c>
      <c r="J1036" s="3" t="s">
        <v>14</v>
      </c>
    </row>
    <row r="1037" spans="1:10" x14ac:dyDescent="0.35">
      <c r="A1037" s="3">
        <v>103406867</v>
      </c>
      <c r="B1037" s="3" t="s">
        <v>2302</v>
      </c>
      <c r="C1037" s="3" t="str">
        <f t="shared" si="19"/>
        <v>2022-07-06</v>
      </c>
      <c r="D1037" s="3" t="s">
        <v>9</v>
      </c>
      <c r="E1037" s="3" t="s">
        <v>5</v>
      </c>
      <c r="F1037" s="3" t="s">
        <v>10</v>
      </c>
      <c r="G1037" s="3" t="s">
        <v>2303</v>
      </c>
      <c r="H1037" s="3" t="s">
        <v>2304</v>
      </c>
      <c r="I1037" s="4">
        <v>1139.05</v>
      </c>
      <c r="J1037" s="3" t="s">
        <v>14</v>
      </c>
    </row>
    <row r="1038" spans="1:10" x14ac:dyDescent="0.35">
      <c r="A1038" s="3">
        <v>103406764</v>
      </c>
      <c r="B1038" s="3" t="s">
        <v>2305</v>
      </c>
      <c r="C1038" s="3" t="str">
        <f t="shared" si="19"/>
        <v>2022-07-06</v>
      </c>
      <c r="D1038" s="3" t="s">
        <v>9</v>
      </c>
      <c r="E1038" s="3" t="s">
        <v>5</v>
      </c>
      <c r="F1038" s="3" t="s">
        <v>10</v>
      </c>
      <c r="G1038" s="3" t="s">
        <v>2306</v>
      </c>
      <c r="H1038" s="3" t="s">
        <v>2307</v>
      </c>
      <c r="I1038" s="5">
        <v>2309</v>
      </c>
      <c r="J1038" s="3" t="s">
        <v>14</v>
      </c>
    </row>
    <row r="1039" spans="1:10" x14ac:dyDescent="0.35">
      <c r="A1039" s="3">
        <v>103406758</v>
      </c>
      <c r="B1039" s="3" t="s">
        <v>2308</v>
      </c>
      <c r="C1039" s="3" t="str">
        <f t="shared" si="19"/>
        <v>2022-07-06</v>
      </c>
      <c r="D1039" s="3" t="s">
        <v>9</v>
      </c>
      <c r="E1039" s="3" t="s">
        <v>5</v>
      </c>
      <c r="F1039" s="3" t="s">
        <v>10</v>
      </c>
      <c r="G1039" s="3" t="s">
        <v>2309</v>
      </c>
      <c r="H1039" s="3" t="s">
        <v>2310</v>
      </c>
      <c r="I1039" s="3">
        <v>749</v>
      </c>
      <c r="J1039" s="3" t="s">
        <v>14</v>
      </c>
    </row>
    <row r="1040" spans="1:10" x14ac:dyDescent="0.35">
      <c r="A1040" s="3">
        <v>103406798</v>
      </c>
      <c r="B1040" s="3" t="s">
        <v>2311</v>
      </c>
      <c r="C1040" s="3" t="str">
        <f t="shared" si="19"/>
        <v>2022-07-06</v>
      </c>
      <c r="D1040" s="3" t="s">
        <v>9</v>
      </c>
      <c r="E1040" s="3" t="s">
        <v>5</v>
      </c>
      <c r="F1040" s="3" t="s">
        <v>10</v>
      </c>
      <c r="G1040" s="3" t="s">
        <v>2312</v>
      </c>
      <c r="H1040" s="3" t="s">
        <v>2313</v>
      </c>
      <c r="I1040" s="4">
        <v>1139.05</v>
      </c>
      <c r="J1040" s="3" t="s">
        <v>14</v>
      </c>
    </row>
    <row r="1041" spans="1:10" x14ac:dyDescent="0.35">
      <c r="A1041" s="3">
        <v>103406752</v>
      </c>
      <c r="B1041" s="3" t="s">
        <v>2314</v>
      </c>
      <c r="C1041" s="3" t="str">
        <f t="shared" si="19"/>
        <v>2022-07-06</v>
      </c>
      <c r="D1041" s="3" t="s">
        <v>9</v>
      </c>
      <c r="E1041" s="3" t="s">
        <v>5</v>
      </c>
      <c r="F1041" s="3" t="s">
        <v>10</v>
      </c>
      <c r="G1041" s="3" t="s">
        <v>2235</v>
      </c>
      <c r="H1041" s="3" t="s">
        <v>2315</v>
      </c>
      <c r="I1041" s="5">
        <v>4499</v>
      </c>
      <c r="J1041" s="3" t="s">
        <v>14</v>
      </c>
    </row>
    <row r="1042" spans="1:10" x14ac:dyDescent="0.35">
      <c r="A1042" s="3">
        <v>103406748</v>
      </c>
      <c r="B1042" s="3" t="s">
        <v>2316</v>
      </c>
      <c r="C1042" s="3" t="str">
        <f t="shared" si="19"/>
        <v>2022-07-06</v>
      </c>
      <c r="D1042" s="3" t="s">
        <v>9</v>
      </c>
      <c r="E1042" s="3" t="s">
        <v>5</v>
      </c>
      <c r="F1042" s="3" t="s">
        <v>10</v>
      </c>
      <c r="G1042" s="3" t="s">
        <v>1561</v>
      </c>
      <c r="H1042" s="3" t="s">
        <v>1562</v>
      </c>
      <c r="I1042" s="4">
        <v>3324.05</v>
      </c>
      <c r="J1042" s="3" t="s">
        <v>14</v>
      </c>
    </row>
    <row r="1043" spans="1:10" x14ac:dyDescent="0.35">
      <c r="A1043" s="3">
        <v>103406747</v>
      </c>
      <c r="B1043" s="3" t="s">
        <v>2317</v>
      </c>
      <c r="C1043" s="3" t="str">
        <f t="shared" si="19"/>
        <v>2022-07-06</v>
      </c>
      <c r="D1043" s="3" t="s">
        <v>9</v>
      </c>
      <c r="E1043" s="3" t="s">
        <v>5</v>
      </c>
      <c r="F1043" s="3" t="s">
        <v>10</v>
      </c>
      <c r="G1043" s="3" t="s">
        <v>2318</v>
      </c>
      <c r="H1043" s="3" t="s">
        <v>2319</v>
      </c>
      <c r="I1043" s="4">
        <v>2659.05</v>
      </c>
      <c r="J1043" s="3" t="s">
        <v>14</v>
      </c>
    </row>
    <row r="1044" spans="1:10" x14ac:dyDescent="0.35">
      <c r="A1044" s="3">
        <v>103406792</v>
      </c>
      <c r="B1044" s="3" t="s">
        <v>2320</v>
      </c>
      <c r="C1044" s="3" t="str">
        <f t="shared" si="19"/>
        <v>2022-07-06</v>
      </c>
      <c r="D1044" s="3" t="s">
        <v>9</v>
      </c>
      <c r="E1044" s="3" t="s">
        <v>5</v>
      </c>
      <c r="F1044" s="3" t="s">
        <v>12</v>
      </c>
      <c r="G1044" s="3" t="s">
        <v>2321</v>
      </c>
      <c r="H1044" s="3" t="s">
        <v>2322</v>
      </c>
      <c r="I1044" s="5">
        <v>5599</v>
      </c>
      <c r="J1044" s="3" t="s">
        <v>14</v>
      </c>
    </row>
    <row r="1045" spans="1:10" x14ac:dyDescent="0.35">
      <c r="A1045" s="3">
        <v>103406745</v>
      </c>
      <c r="B1045" s="3" t="s">
        <v>2323</v>
      </c>
      <c r="C1045" s="3" t="str">
        <f t="shared" si="19"/>
        <v>2022-07-06</v>
      </c>
      <c r="D1045" s="3" t="s">
        <v>9</v>
      </c>
      <c r="E1045" s="3" t="s">
        <v>5</v>
      </c>
      <c r="F1045" s="3" t="s">
        <v>10</v>
      </c>
      <c r="G1045" s="3" t="s">
        <v>2324</v>
      </c>
      <c r="H1045" s="3" t="s">
        <v>2325</v>
      </c>
      <c r="I1045" s="4">
        <v>3989.05</v>
      </c>
      <c r="J1045" s="3" t="s">
        <v>14</v>
      </c>
    </row>
    <row r="1046" spans="1:10" x14ac:dyDescent="0.35">
      <c r="A1046" s="3">
        <v>103406788</v>
      </c>
      <c r="B1046" s="3" t="s">
        <v>2326</v>
      </c>
      <c r="C1046" s="3" t="str">
        <f t="shared" si="19"/>
        <v>2022-07-06</v>
      </c>
      <c r="D1046" s="3" t="s">
        <v>9</v>
      </c>
      <c r="E1046" s="3" t="s">
        <v>5</v>
      </c>
      <c r="F1046" s="3" t="s">
        <v>10</v>
      </c>
      <c r="G1046" s="3" t="s">
        <v>4786</v>
      </c>
      <c r="H1046" s="3" t="s">
        <v>4787</v>
      </c>
      <c r="I1046" s="4">
        <v>2222.14</v>
      </c>
      <c r="J1046" s="3" t="s">
        <v>13</v>
      </c>
    </row>
    <row r="1047" spans="1:10" x14ac:dyDescent="0.35">
      <c r="A1047" s="3">
        <v>103406742</v>
      </c>
      <c r="B1047" s="3" t="s">
        <v>2326</v>
      </c>
      <c r="C1047" s="3" t="str">
        <f t="shared" si="19"/>
        <v>2022-07-06</v>
      </c>
      <c r="D1047" s="3" t="s">
        <v>9</v>
      </c>
      <c r="E1047" s="3" t="s">
        <v>5</v>
      </c>
      <c r="F1047" s="3" t="s">
        <v>10</v>
      </c>
      <c r="G1047" s="3" t="s">
        <v>2327</v>
      </c>
      <c r="H1047" s="3" t="s">
        <v>2328</v>
      </c>
      <c r="I1047" s="5">
        <v>2599</v>
      </c>
      <c r="J1047" s="3" t="s">
        <v>11</v>
      </c>
    </row>
    <row r="1048" spans="1:10" x14ac:dyDescent="0.35">
      <c r="A1048" s="3">
        <v>103406785</v>
      </c>
      <c r="B1048" s="3" t="s">
        <v>2329</v>
      </c>
      <c r="C1048" s="3" t="str">
        <f t="shared" si="19"/>
        <v>2022-07-06</v>
      </c>
      <c r="D1048" s="3" t="s">
        <v>9</v>
      </c>
      <c r="E1048" s="3" t="s">
        <v>5</v>
      </c>
      <c r="F1048" s="3" t="s">
        <v>10</v>
      </c>
      <c r="G1048" s="3" t="s">
        <v>2330</v>
      </c>
      <c r="H1048" s="3" t="s">
        <v>2331</v>
      </c>
      <c r="I1048" s="4">
        <v>3473.72</v>
      </c>
      <c r="J1048" s="3" t="s">
        <v>11</v>
      </c>
    </row>
    <row r="1049" spans="1:10" x14ac:dyDescent="0.35">
      <c r="A1049" s="3">
        <v>103406737</v>
      </c>
      <c r="B1049" s="3" t="s">
        <v>2332</v>
      </c>
      <c r="C1049" s="3" t="str">
        <f t="shared" si="19"/>
        <v>2022-07-06</v>
      </c>
      <c r="D1049" s="3" t="s">
        <v>9</v>
      </c>
      <c r="E1049" s="3" t="s">
        <v>5</v>
      </c>
      <c r="F1049" s="3" t="s">
        <v>10</v>
      </c>
      <c r="G1049" s="3" t="s">
        <v>2333</v>
      </c>
      <c r="H1049" s="3" t="s">
        <v>2334</v>
      </c>
      <c r="I1049" s="3">
        <v>819</v>
      </c>
      <c r="J1049" s="3" t="s">
        <v>11</v>
      </c>
    </row>
    <row r="1050" spans="1:10" x14ac:dyDescent="0.35">
      <c r="A1050" s="3">
        <v>103406781</v>
      </c>
      <c r="B1050" s="3" t="s">
        <v>2335</v>
      </c>
      <c r="C1050" s="3" t="str">
        <f t="shared" si="19"/>
        <v>2022-07-06</v>
      </c>
      <c r="D1050" s="3" t="s">
        <v>9</v>
      </c>
      <c r="E1050" s="3" t="s">
        <v>5</v>
      </c>
      <c r="F1050" s="3" t="s">
        <v>10</v>
      </c>
      <c r="G1050" s="3" t="s">
        <v>2336</v>
      </c>
      <c r="H1050" s="3" t="s">
        <v>2337</v>
      </c>
      <c r="I1050" s="5">
        <v>3899</v>
      </c>
      <c r="J1050" s="3" t="s">
        <v>11</v>
      </c>
    </row>
    <row r="1051" spans="1:10" x14ac:dyDescent="0.35">
      <c r="A1051" s="3">
        <v>103406734</v>
      </c>
      <c r="B1051" s="3" t="s">
        <v>2338</v>
      </c>
      <c r="C1051" s="3" t="str">
        <f t="shared" si="19"/>
        <v>2022-07-06</v>
      </c>
      <c r="D1051" s="3" t="s">
        <v>9</v>
      </c>
      <c r="E1051" s="3" t="s">
        <v>5</v>
      </c>
      <c r="F1051" s="3" t="s">
        <v>12</v>
      </c>
      <c r="G1051" s="3" t="s">
        <v>2339</v>
      </c>
      <c r="H1051" s="3" t="s">
        <v>2340</v>
      </c>
      <c r="I1051" s="4">
        <v>2849.05</v>
      </c>
      <c r="J1051" s="3" t="s">
        <v>11</v>
      </c>
    </row>
    <row r="1052" spans="1:10" x14ac:dyDescent="0.35">
      <c r="A1052" s="3">
        <v>103406777</v>
      </c>
      <c r="B1052" s="3" t="s">
        <v>2341</v>
      </c>
      <c r="C1052" s="3" t="str">
        <f t="shared" si="19"/>
        <v>2022-07-06</v>
      </c>
      <c r="D1052" s="3" t="s">
        <v>9</v>
      </c>
      <c r="E1052" s="3" t="s">
        <v>5</v>
      </c>
      <c r="F1052" s="3" t="s">
        <v>12</v>
      </c>
      <c r="G1052" s="3" t="s">
        <v>2342</v>
      </c>
      <c r="H1052" s="3" t="s">
        <v>2343</v>
      </c>
      <c r="I1052" s="5">
        <v>3019</v>
      </c>
      <c r="J1052" s="3" t="s">
        <v>11</v>
      </c>
    </row>
    <row r="1053" spans="1:10" x14ac:dyDescent="0.35">
      <c r="A1053" s="3">
        <v>103406731</v>
      </c>
      <c r="B1053" s="3" t="s">
        <v>2344</v>
      </c>
      <c r="C1053" s="3" t="str">
        <f t="shared" si="19"/>
        <v>2022-07-06</v>
      </c>
      <c r="D1053" s="3" t="s">
        <v>9</v>
      </c>
      <c r="E1053" s="3" t="s">
        <v>5</v>
      </c>
      <c r="F1053" s="3" t="s">
        <v>10</v>
      </c>
      <c r="G1053" s="3" t="s">
        <v>2345</v>
      </c>
      <c r="H1053" s="3" t="s">
        <v>2346</v>
      </c>
      <c r="I1053" s="4">
        <v>1414.55</v>
      </c>
      <c r="J1053" s="3" t="s">
        <v>11</v>
      </c>
    </row>
    <row r="1054" spans="1:10" x14ac:dyDescent="0.35">
      <c r="A1054" s="3">
        <v>103406730</v>
      </c>
      <c r="B1054" s="3" t="s">
        <v>2347</v>
      </c>
      <c r="C1054" s="3" t="str">
        <f t="shared" si="19"/>
        <v>2022-07-06</v>
      </c>
      <c r="D1054" s="3" t="s">
        <v>9</v>
      </c>
      <c r="E1054" s="3" t="s">
        <v>5</v>
      </c>
      <c r="F1054" s="3" t="s">
        <v>10</v>
      </c>
      <c r="G1054" s="3" t="s">
        <v>2348</v>
      </c>
      <c r="H1054" s="3" t="s">
        <v>2349</v>
      </c>
      <c r="I1054" s="4">
        <v>2991.55</v>
      </c>
      <c r="J1054" s="3" t="s">
        <v>11</v>
      </c>
    </row>
    <row r="1055" spans="1:10" x14ac:dyDescent="0.35">
      <c r="A1055" s="3">
        <v>103406729</v>
      </c>
      <c r="B1055" s="3" t="s">
        <v>2350</v>
      </c>
      <c r="C1055" s="3" t="str">
        <f t="shared" si="19"/>
        <v>2022-07-06</v>
      </c>
      <c r="D1055" s="3" t="s">
        <v>9</v>
      </c>
      <c r="E1055" s="3" t="s">
        <v>5</v>
      </c>
      <c r="F1055" s="3" t="s">
        <v>10</v>
      </c>
      <c r="G1055" s="3" t="s">
        <v>2351</v>
      </c>
      <c r="H1055" s="3" t="s">
        <v>2352</v>
      </c>
      <c r="I1055" s="4">
        <v>3419.05</v>
      </c>
      <c r="J1055" s="3" t="s">
        <v>11</v>
      </c>
    </row>
    <row r="1056" spans="1:10" x14ac:dyDescent="0.35">
      <c r="A1056" s="3">
        <v>103406776</v>
      </c>
      <c r="B1056" s="3" t="s">
        <v>2353</v>
      </c>
      <c r="C1056" s="3" t="str">
        <f t="shared" si="19"/>
        <v>2022-07-06</v>
      </c>
      <c r="D1056" s="3" t="s">
        <v>9</v>
      </c>
      <c r="E1056" s="3" t="s">
        <v>5</v>
      </c>
      <c r="F1056" s="3" t="s">
        <v>10</v>
      </c>
      <c r="G1056" s="3" t="s">
        <v>2354</v>
      </c>
      <c r="H1056" s="3" t="s">
        <v>2355</v>
      </c>
      <c r="I1056" s="4">
        <v>1851.55</v>
      </c>
      <c r="J1056" s="3" t="s">
        <v>11</v>
      </c>
    </row>
    <row r="1057" spans="1:10" x14ac:dyDescent="0.35">
      <c r="A1057" s="3">
        <v>103406721</v>
      </c>
      <c r="B1057" s="3" t="s">
        <v>2356</v>
      </c>
      <c r="C1057" s="3" t="str">
        <f t="shared" si="19"/>
        <v>2022-07-06</v>
      </c>
      <c r="D1057" s="3" t="s">
        <v>9</v>
      </c>
      <c r="E1057" s="3" t="s">
        <v>5</v>
      </c>
      <c r="F1057" s="3" t="s">
        <v>10</v>
      </c>
      <c r="G1057" s="3" t="s">
        <v>2357</v>
      </c>
      <c r="H1057" s="3" t="s">
        <v>2358</v>
      </c>
      <c r="I1057" s="4">
        <v>1633.05</v>
      </c>
      <c r="J1057" s="3" t="s">
        <v>11</v>
      </c>
    </row>
    <row r="1058" spans="1:10" x14ac:dyDescent="0.35">
      <c r="A1058" s="3">
        <v>103406720</v>
      </c>
      <c r="B1058" s="3" t="s">
        <v>2359</v>
      </c>
      <c r="C1058" s="3" t="str">
        <f t="shared" si="19"/>
        <v>2022-07-06</v>
      </c>
      <c r="D1058" s="3" t="s">
        <v>9</v>
      </c>
      <c r="E1058" s="3" t="s">
        <v>5</v>
      </c>
      <c r="F1058" s="3" t="s">
        <v>10</v>
      </c>
      <c r="G1058" s="3" t="s">
        <v>2360</v>
      </c>
      <c r="H1058" s="3" t="s">
        <v>2361</v>
      </c>
      <c r="I1058" s="3">
        <v>879</v>
      </c>
      <c r="J1058" s="3" t="s">
        <v>11</v>
      </c>
    </row>
    <row r="1059" spans="1:10" x14ac:dyDescent="0.35">
      <c r="A1059" s="3">
        <v>103406718</v>
      </c>
      <c r="B1059" s="3" t="s">
        <v>2362</v>
      </c>
      <c r="C1059" s="3" t="str">
        <f t="shared" si="19"/>
        <v>2022-07-06</v>
      </c>
      <c r="D1059" s="3" t="s">
        <v>9</v>
      </c>
      <c r="E1059" s="3" t="s">
        <v>5</v>
      </c>
      <c r="F1059" s="3" t="s">
        <v>10</v>
      </c>
      <c r="G1059" s="3" t="s">
        <v>2363</v>
      </c>
      <c r="H1059" s="3" t="s">
        <v>2364</v>
      </c>
      <c r="I1059" s="5">
        <v>1259</v>
      </c>
      <c r="J1059" s="3" t="s">
        <v>11</v>
      </c>
    </row>
    <row r="1060" spans="1:10" x14ac:dyDescent="0.35">
      <c r="A1060" s="3">
        <v>103406768</v>
      </c>
      <c r="B1060" s="3" t="s">
        <v>2365</v>
      </c>
      <c r="C1060" s="3" t="str">
        <f t="shared" si="19"/>
        <v>2022-07-06</v>
      </c>
      <c r="D1060" s="3" t="s">
        <v>9</v>
      </c>
      <c r="E1060" s="3" t="s">
        <v>5</v>
      </c>
      <c r="F1060" s="3" t="s">
        <v>10</v>
      </c>
      <c r="G1060" s="3" t="s">
        <v>2366</v>
      </c>
      <c r="H1060" s="3" t="s">
        <v>2367</v>
      </c>
      <c r="I1060" s="4">
        <v>3717.4</v>
      </c>
      <c r="J1060" s="3" t="s">
        <v>11</v>
      </c>
    </row>
    <row r="1061" spans="1:10" x14ac:dyDescent="0.35">
      <c r="A1061" s="3">
        <v>103406717</v>
      </c>
      <c r="B1061" s="3" t="s">
        <v>2368</v>
      </c>
      <c r="C1061" s="3" t="str">
        <f t="shared" si="19"/>
        <v>2022-07-06</v>
      </c>
      <c r="D1061" s="3" t="s">
        <v>9</v>
      </c>
      <c r="E1061" s="3" t="s">
        <v>5</v>
      </c>
      <c r="F1061" s="3" t="s">
        <v>10</v>
      </c>
      <c r="G1061" s="3" t="s">
        <v>2369</v>
      </c>
      <c r="H1061" s="3" t="s">
        <v>2370</v>
      </c>
      <c r="I1061" s="4">
        <v>1084.1400000000001</v>
      </c>
      <c r="J1061" s="3" t="s">
        <v>11</v>
      </c>
    </row>
    <row r="1062" spans="1:10" x14ac:dyDescent="0.35">
      <c r="A1062" s="3">
        <v>103406767</v>
      </c>
      <c r="B1062" s="3" t="s">
        <v>2371</v>
      </c>
      <c r="C1062" s="3" t="str">
        <f t="shared" si="19"/>
        <v>2022-07-06</v>
      </c>
      <c r="D1062" s="3" t="s">
        <v>9</v>
      </c>
      <c r="E1062" s="3" t="s">
        <v>5</v>
      </c>
      <c r="F1062" s="3" t="s">
        <v>10</v>
      </c>
      <c r="G1062" s="3" t="s">
        <v>2372</v>
      </c>
      <c r="H1062" s="3" t="s">
        <v>2373</v>
      </c>
      <c r="I1062" s="5">
        <v>1249</v>
      </c>
      <c r="J1062" s="3" t="s">
        <v>11</v>
      </c>
    </row>
    <row r="1063" spans="1:10" x14ac:dyDescent="0.35">
      <c r="A1063" s="3">
        <v>103406714</v>
      </c>
      <c r="B1063" s="3" t="s">
        <v>2374</v>
      </c>
      <c r="C1063" s="3" t="str">
        <f t="shared" si="19"/>
        <v>2022-07-06</v>
      </c>
      <c r="D1063" s="3" t="s">
        <v>9</v>
      </c>
      <c r="E1063" s="3" t="s">
        <v>5</v>
      </c>
      <c r="F1063" s="3" t="s">
        <v>10</v>
      </c>
      <c r="G1063" s="3" t="s">
        <v>2375</v>
      </c>
      <c r="H1063" s="3" t="s">
        <v>2376</v>
      </c>
      <c r="I1063" s="3">
        <v>887.49</v>
      </c>
      <c r="J1063" s="3" t="s">
        <v>11</v>
      </c>
    </row>
    <row r="1064" spans="1:10" x14ac:dyDescent="0.35">
      <c r="A1064" s="3">
        <v>103406713</v>
      </c>
      <c r="B1064" s="3" t="s">
        <v>2377</v>
      </c>
      <c r="C1064" s="3" t="str">
        <f t="shared" si="19"/>
        <v>2022-07-06</v>
      </c>
      <c r="D1064" s="3" t="s">
        <v>9</v>
      </c>
      <c r="E1064" s="3" t="s">
        <v>5</v>
      </c>
      <c r="F1064" s="3" t="s">
        <v>10</v>
      </c>
      <c r="G1064" s="3" t="s">
        <v>2378</v>
      </c>
      <c r="H1064" s="3" t="s">
        <v>2379</v>
      </c>
      <c r="I1064" s="4">
        <v>2136.5500000000002</v>
      </c>
      <c r="J1064" s="3" t="s">
        <v>11</v>
      </c>
    </row>
    <row r="1065" spans="1:10" x14ac:dyDescent="0.35">
      <c r="A1065" s="3">
        <v>103406662</v>
      </c>
      <c r="B1065" s="3" t="s">
        <v>2380</v>
      </c>
      <c r="C1065" s="3" t="str">
        <f t="shared" si="19"/>
        <v>2022-07-06</v>
      </c>
      <c r="D1065" s="3" t="s">
        <v>9</v>
      </c>
      <c r="E1065" s="3" t="s">
        <v>5</v>
      </c>
      <c r="F1065" s="3" t="s">
        <v>10</v>
      </c>
      <c r="G1065" s="3" t="s">
        <v>2381</v>
      </c>
      <c r="H1065" s="3" t="s">
        <v>2382</v>
      </c>
      <c r="I1065" s="5">
        <v>3599</v>
      </c>
      <c r="J1065" s="3" t="s">
        <v>11</v>
      </c>
    </row>
    <row r="1066" spans="1:10" x14ac:dyDescent="0.35">
      <c r="A1066" s="3">
        <v>103406659</v>
      </c>
      <c r="B1066" s="3" t="s">
        <v>2383</v>
      </c>
      <c r="C1066" s="3" t="str">
        <f t="shared" si="19"/>
        <v>2022-07-06</v>
      </c>
      <c r="D1066" s="3" t="s">
        <v>9</v>
      </c>
      <c r="E1066" s="3" t="s">
        <v>5</v>
      </c>
      <c r="F1066" s="3" t="s">
        <v>10</v>
      </c>
      <c r="G1066" s="3" t="s">
        <v>2384</v>
      </c>
      <c r="H1066" s="3" t="s">
        <v>2385</v>
      </c>
      <c r="I1066" s="5">
        <v>3816</v>
      </c>
      <c r="J1066" s="3" t="s">
        <v>11</v>
      </c>
    </row>
    <row r="1067" spans="1:10" x14ac:dyDescent="0.35">
      <c r="A1067" s="3">
        <v>103406708</v>
      </c>
      <c r="B1067" s="3" t="s">
        <v>2386</v>
      </c>
      <c r="C1067" s="3" t="str">
        <f t="shared" si="19"/>
        <v>2022-07-06</v>
      </c>
      <c r="D1067" s="3" t="s">
        <v>9</v>
      </c>
      <c r="E1067" s="3" t="s">
        <v>5</v>
      </c>
      <c r="F1067" s="3" t="s">
        <v>10</v>
      </c>
      <c r="G1067" s="3" t="s">
        <v>2387</v>
      </c>
      <c r="H1067" s="3" t="s">
        <v>2388</v>
      </c>
      <c r="I1067" s="4">
        <v>2089.0500000000002</v>
      </c>
      <c r="J1067" s="3" t="s">
        <v>11</v>
      </c>
    </row>
    <row r="1068" spans="1:10" x14ac:dyDescent="0.35">
      <c r="A1068" s="3">
        <v>103406704</v>
      </c>
      <c r="B1068" s="3" t="s">
        <v>2389</v>
      </c>
      <c r="C1068" s="3" t="str">
        <f t="shared" si="19"/>
        <v>2022-07-06</v>
      </c>
      <c r="D1068" s="3" t="s">
        <v>9</v>
      </c>
      <c r="E1068" s="3" t="s">
        <v>5</v>
      </c>
      <c r="F1068" s="3" t="s">
        <v>10</v>
      </c>
      <c r="G1068" s="3" t="s">
        <v>2390</v>
      </c>
      <c r="H1068" s="3" t="s">
        <v>2391</v>
      </c>
      <c r="I1068" s="5">
        <v>4999</v>
      </c>
      <c r="J1068" s="3" t="s">
        <v>11</v>
      </c>
    </row>
    <row r="1069" spans="1:10" x14ac:dyDescent="0.35">
      <c r="A1069" s="3">
        <v>103406701</v>
      </c>
      <c r="B1069" s="3" t="s">
        <v>2392</v>
      </c>
      <c r="C1069" s="3" t="str">
        <f t="shared" si="19"/>
        <v>2022-07-06</v>
      </c>
      <c r="D1069" s="3" t="s">
        <v>9</v>
      </c>
      <c r="E1069" s="3" t="s">
        <v>5</v>
      </c>
      <c r="F1069" s="3" t="s">
        <v>10</v>
      </c>
      <c r="G1069" s="3" t="s">
        <v>2393</v>
      </c>
      <c r="H1069" s="3" t="s">
        <v>2394</v>
      </c>
      <c r="I1069" s="5">
        <v>1199</v>
      </c>
      <c r="J1069" s="3" t="s">
        <v>11</v>
      </c>
    </row>
    <row r="1070" spans="1:10" x14ac:dyDescent="0.35">
      <c r="A1070" s="3">
        <v>103406695</v>
      </c>
      <c r="B1070" s="3" t="s">
        <v>2395</v>
      </c>
      <c r="C1070" s="3" t="str">
        <f t="shared" si="19"/>
        <v>2022-07-06</v>
      </c>
      <c r="D1070" s="3" t="s">
        <v>9</v>
      </c>
      <c r="E1070" s="3" t="s">
        <v>5</v>
      </c>
      <c r="F1070" s="3" t="s">
        <v>10</v>
      </c>
      <c r="G1070" s="3" t="s">
        <v>2396</v>
      </c>
      <c r="H1070" s="3" t="s">
        <v>2397</v>
      </c>
      <c r="I1070" s="3">
        <v>489</v>
      </c>
      <c r="J1070" s="3" t="s">
        <v>11</v>
      </c>
    </row>
    <row r="1071" spans="1:10" x14ac:dyDescent="0.35">
      <c r="A1071" s="3">
        <v>103406693</v>
      </c>
      <c r="B1071" s="3" t="s">
        <v>2398</v>
      </c>
      <c r="C1071" s="3" t="str">
        <f t="shared" si="19"/>
        <v>2022-07-06</v>
      </c>
      <c r="D1071" s="3" t="s">
        <v>9</v>
      </c>
      <c r="E1071" s="3" t="s">
        <v>5</v>
      </c>
      <c r="F1071" s="3" t="s">
        <v>10</v>
      </c>
      <c r="G1071" s="3" t="s">
        <v>2399</v>
      </c>
      <c r="H1071" s="3" t="s">
        <v>2400</v>
      </c>
      <c r="I1071" s="5">
        <v>2449</v>
      </c>
      <c r="J1071" s="3" t="s">
        <v>11</v>
      </c>
    </row>
    <row r="1072" spans="1:10" x14ac:dyDescent="0.35">
      <c r="A1072" s="3">
        <v>103406641</v>
      </c>
      <c r="B1072" s="3" t="s">
        <v>2401</v>
      </c>
      <c r="C1072" s="3" t="str">
        <f t="shared" si="19"/>
        <v>2022-07-06</v>
      </c>
      <c r="D1072" s="3" t="s">
        <v>9</v>
      </c>
      <c r="E1072" s="3" t="s">
        <v>5</v>
      </c>
      <c r="F1072" s="3" t="s">
        <v>10</v>
      </c>
      <c r="G1072" s="3" t="s">
        <v>2402</v>
      </c>
      <c r="H1072" s="3" t="s">
        <v>2403</v>
      </c>
      <c r="I1072" s="3">
        <v>599</v>
      </c>
      <c r="J1072" s="3" t="s">
        <v>11</v>
      </c>
    </row>
    <row r="1073" spans="1:10" x14ac:dyDescent="0.35">
      <c r="A1073" s="3">
        <v>103406684</v>
      </c>
      <c r="B1073" s="3" t="s">
        <v>2404</v>
      </c>
      <c r="C1073" s="3" t="str">
        <f t="shared" si="19"/>
        <v>2022-07-06</v>
      </c>
      <c r="D1073" s="3" t="s">
        <v>9</v>
      </c>
      <c r="E1073" s="3" t="s">
        <v>5</v>
      </c>
      <c r="F1073" s="3" t="s">
        <v>10</v>
      </c>
      <c r="G1073" s="3" t="s">
        <v>2405</v>
      </c>
      <c r="H1073" s="3" t="s">
        <v>2406</v>
      </c>
      <c r="I1073" s="3">
        <v>419</v>
      </c>
      <c r="J1073" s="3" t="s">
        <v>11</v>
      </c>
    </row>
    <row r="1074" spans="1:10" x14ac:dyDescent="0.35">
      <c r="A1074" s="3">
        <v>103406671</v>
      </c>
      <c r="B1074" s="3" t="s">
        <v>2407</v>
      </c>
      <c r="C1074" s="3" t="str">
        <f t="shared" si="19"/>
        <v>2022-07-06</v>
      </c>
      <c r="D1074" s="3" t="s">
        <v>9</v>
      </c>
      <c r="E1074" s="3" t="s">
        <v>5</v>
      </c>
      <c r="F1074" s="3" t="s">
        <v>10</v>
      </c>
      <c r="G1074" s="3" t="s">
        <v>2408</v>
      </c>
      <c r="H1074" s="3" t="s">
        <v>2409</v>
      </c>
      <c r="I1074" s="4">
        <v>1110.55</v>
      </c>
      <c r="J1074" s="3" t="s">
        <v>11</v>
      </c>
    </row>
    <row r="1075" spans="1:10" x14ac:dyDescent="0.35">
      <c r="A1075" s="3">
        <v>103406627</v>
      </c>
      <c r="B1075" s="3" t="s">
        <v>2410</v>
      </c>
      <c r="C1075" s="3" t="str">
        <f t="shared" si="19"/>
        <v>2022-07-06</v>
      </c>
      <c r="D1075" s="3" t="s">
        <v>9</v>
      </c>
      <c r="E1075" s="3" t="s">
        <v>5</v>
      </c>
      <c r="F1075" s="3" t="s">
        <v>10</v>
      </c>
      <c r="G1075" s="3" t="s">
        <v>2411</v>
      </c>
      <c r="H1075" s="3" t="s">
        <v>2412</v>
      </c>
      <c r="I1075" s="4">
        <v>1251.1500000000001</v>
      </c>
      <c r="J1075" s="3" t="s">
        <v>11</v>
      </c>
    </row>
    <row r="1076" spans="1:10" x14ac:dyDescent="0.35">
      <c r="A1076" s="3">
        <v>103406666</v>
      </c>
      <c r="B1076" s="3" t="s">
        <v>2413</v>
      </c>
      <c r="C1076" s="3" t="str">
        <f t="shared" si="19"/>
        <v>2022-07-06</v>
      </c>
      <c r="D1076" s="3" t="s">
        <v>9</v>
      </c>
      <c r="E1076" s="3" t="s">
        <v>5</v>
      </c>
      <c r="F1076" s="3" t="s">
        <v>10</v>
      </c>
      <c r="G1076" s="3" t="s">
        <v>2414</v>
      </c>
      <c r="H1076" s="3" t="s">
        <v>2415</v>
      </c>
      <c r="I1076" s="4">
        <v>1217.47</v>
      </c>
      <c r="J1076" s="3" t="s">
        <v>11</v>
      </c>
    </row>
    <row r="1077" spans="1:10" x14ac:dyDescent="0.35">
      <c r="A1077" s="3">
        <v>103406615</v>
      </c>
      <c r="B1077" s="3" t="s">
        <v>2416</v>
      </c>
      <c r="C1077" s="3" t="str">
        <f t="shared" si="19"/>
        <v>2022-07-06</v>
      </c>
      <c r="D1077" s="3" t="s">
        <v>9</v>
      </c>
      <c r="E1077" s="3" t="s">
        <v>5</v>
      </c>
      <c r="F1077" s="3" t="s">
        <v>10</v>
      </c>
      <c r="G1077" s="3" t="s">
        <v>2214</v>
      </c>
      <c r="H1077" s="3" t="s">
        <v>2215</v>
      </c>
      <c r="I1077" s="4">
        <v>2849.05</v>
      </c>
      <c r="J1077" s="3" t="s">
        <v>11</v>
      </c>
    </row>
    <row r="1078" spans="1:10" x14ac:dyDescent="0.35">
      <c r="A1078" s="3">
        <v>103406613</v>
      </c>
      <c r="B1078" s="3" t="s">
        <v>2417</v>
      </c>
      <c r="C1078" s="3" t="str">
        <f t="shared" si="19"/>
        <v>2022-07-06</v>
      </c>
      <c r="D1078" s="3" t="s">
        <v>9</v>
      </c>
      <c r="E1078" s="3" t="s">
        <v>5</v>
      </c>
      <c r="F1078" s="3" t="s">
        <v>10</v>
      </c>
      <c r="G1078" s="3" t="s">
        <v>2418</v>
      </c>
      <c r="H1078" s="3" t="s">
        <v>2419</v>
      </c>
      <c r="I1078" s="5">
        <v>2399</v>
      </c>
      <c r="J1078" s="3" t="s">
        <v>11</v>
      </c>
    </row>
    <row r="1079" spans="1:10" x14ac:dyDescent="0.35">
      <c r="A1079" s="3">
        <v>103406563</v>
      </c>
      <c r="B1079" s="3" t="s">
        <v>2420</v>
      </c>
      <c r="C1079" s="3" t="str">
        <f t="shared" si="19"/>
        <v>2022-07-06</v>
      </c>
      <c r="D1079" s="3" t="s">
        <v>9</v>
      </c>
      <c r="E1079" s="3" t="s">
        <v>5</v>
      </c>
      <c r="F1079" s="3" t="s">
        <v>10</v>
      </c>
      <c r="G1079" s="3" t="s">
        <v>2421</v>
      </c>
      <c r="H1079" s="3" t="s">
        <v>2422</v>
      </c>
      <c r="I1079" s="5">
        <v>3849</v>
      </c>
      <c r="J1079" s="3" t="s">
        <v>11</v>
      </c>
    </row>
    <row r="1080" spans="1:10" x14ac:dyDescent="0.35">
      <c r="A1080" s="3">
        <v>103406557</v>
      </c>
      <c r="B1080" s="3" t="s">
        <v>2423</v>
      </c>
      <c r="C1080" s="3" t="str">
        <f t="shared" si="19"/>
        <v>2022-07-06</v>
      </c>
      <c r="D1080" s="3" t="s">
        <v>9</v>
      </c>
      <c r="E1080" s="3" t="s">
        <v>5</v>
      </c>
      <c r="F1080" s="3" t="s">
        <v>12</v>
      </c>
      <c r="G1080" s="3" t="s">
        <v>2424</v>
      </c>
      <c r="H1080" s="3" t="s">
        <v>2425</v>
      </c>
      <c r="I1080" s="5">
        <v>1999</v>
      </c>
      <c r="J1080" s="3" t="s">
        <v>11</v>
      </c>
    </row>
    <row r="1081" spans="1:10" x14ac:dyDescent="0.35">
      <c r="A1081" s="3">
        <v>103406606</v>
      </c>
      <c r="B1081" s="3" t="s">
        <v>2426</v>
      </c>
      <c r="C1081" s="3" t="str">
        <f t="shared" si="19"/>
        <v>2022-07-06</v>
      </c>
      <c r="D1081" s="3" t="s">
        <v>9</v>
      </c>
      <c r="E1081" s="3" t="s">
        <v>5</v>
      </c>
      <c r="F1081" s="3" t="s">
        <v>10</v>
      </c>
      <c r="G1081" s="3" t="s">
        <v>2427</v>
      </c>
      <c r="H1081" s="3" t="s">
        <v>2428</v>
      </c>
      <c r="I1081" s="5">
        <v>2599</v>
      </c>
      <c r="J1081" s="3" t="s">
        <v>11</v>
      </c>
    </row>
    <row r="1082" spans="1:10" x14ac:dyDescent="0.35">
      <c r="A1082" s="3">
        <v>103406605</v>
      </c>
      <c r="B1082" s="3" t="s">
        <v>4788</v>
      </c>
      <c r="C1082" s="3" t="str">
        <f t="shared" si="19"/>
        <v>2022-07-06</v>
      </c>
      <c r="D1082" s="3" t="s">
        <v>9</v>
      </c>
      <c r="E1082" s="3" t="s">
        <v>5</v>
      </c>
      <c r="F1082" s="3" t="s">
        <v>10</v>
      </c>
      <c r="G1082" s="3" t="s">
        <v>4789</v>
      </c>
      <c r="H1082" s="3" t="s">
        <v>4790</v>
      </c>
      <c r="I1082" s="4">
        <v>1196.05</v>
      </c>
      <c r="J1082" s="3" t="s">
        <v>13</v>
      </c>
    </row>
    <row r="1083" spans="1:10" x14ac:dyDescent="0.35">
      <c r="A1083" s="3">
        <v>103406603</v>
      </c>
      <c r="B1083" s="3" t="s">
        <v>2429</v>
      </c>
      <c r="C1083" s="3" t="str">
        <f t="shared" si="19"/>
        <v>2022-07-06</v>
      </c>
      <c r="D1083" s="3" t="s">
        <v>9</v>
      </c>
      <c r="E1083" s="3" t="s">
        <v>5</v>
      </c>
      <c r="F1083" s="3" t="s">
        <v>10</v>
      </c>
      <c r="G1083" s="3" t="s">
        <v>2430</v>
      </c>
      <c r="H1083" s="3" t="s">
        <v>2431</v>
      </c>
      <c r="I1083" s="3">
        <v>531.04999999999995</v>
      </c>
      <c r="J1083" s="3" t="s">
        <v>11</v>
      </c>
    </row>
    <row r="1084" spans="1:10" x14ac:dyDescent="0.35">
      <c r="A1084" s="3">
        <v>103406539</v>
      </c>
      <c r="B1084" s="3" t="s">
        <v>2432</v>
      </c>
      <c r="C1084" s="3" t="str">
        <f t="shared" si="19"/>
        <v>2022-07-06</v>
      </c>
      <c r="D1084" s="3" t="s">
        <v>9</v>
      </c>
      <c r="E1084" s="3" t="s">
        <v>5</v>
      </c>
      <c r="F1084" s="3" t="s">
        <v>10</v>
      </c>
      <c r="G1084" s="3" t="s">
        <v>2433</v>
      </c>
      <c r="H1084" s="3" t="s">
        <v>2434</v>
      </c>
      <c r="I1084" s="5">
        <v>1499</v>
      </c>
      <c r="J1084" s="3" t="s">
        <v>11</v>
      </c>
    </row>
    <row r="1085" spans="1:10" x14ac:dyDescent="0.35">
      <c r="A1085" s="3">
        <v>103406601</v>
      </c>
      <c r="B1085" s="3" t="s">
        <v>2435</v>
      </c>
      <c r="C1085" s="3" t="str">
        <f t="shared" si="19"/>
        <v>2022-07-06</v>
      </c>
      <c r="D1085" s="3" t="s">
        <v>9</v>
      </c>
      <c r="E1085" s="3" t="s">
        <v>5</v>
      </c>
      <c r="F1085" s="3" t="s">
        <v>10</v>
      </c>
      <c r="G1085" s="3" t="s">
        <v>2436</v>
      </c>
      <c r="H1085" s="3" t="s">
        <v>2437</v>
      </c>
      <c r="I1085" s="5">
        <v>1399</v>
      </c>
      <c r="J1085" s="3" t="s">
        <v>11</v>
      </c>
    </row>
    <row r="1086" spans="1:10" x14ac:dyDescent="0.35">
      <c r="A1086" s="3">
        <v>103406535</v>
      </c>
      <c r="B1086" s="3" t="s">
        <v>2438</v>
      </c>
      <c r="C1086" s="3" t="str">
        <f t="shared" si="19"/>
        <v>2022-07-06</v>
      </c>
      <c r="D1086" s="3" t="s">
        <v>9</v>
      </c>
      <c r="E1086" s="3" t="s">
        <v>5</v>
      </c>
      <c r="F1086" s="3" t="s">
        <v>10</v>
      </c>
      <c r="G1086" s="3" t="s">
        <v>2439</v>
      </c>
      <c r="H1086" s="3" t="s">
        <v>2440</v>
      </c>
      <c r="I1086" s="4">
        <v>3656.55</v>
      </c>
      <c r="J1086" s="3" t="s">
        <v>11</v>
      </c>
    </row>
    <row r="1087" spans="1:10" x14ac:dyDescent="0.35">
      <c r="A1087" s="3">
        <v>103406531</v>
      </c>
      <c r="B1087" s="3" t="s">
        <v>2441</v>
      </c>
      <c r="C1087" s="3" t="str">
        <f t="shared" si="19"/>
        <v>2022-07-06</v>
      </c>
      <c r="D1087" s="3" t="s">
        <v>9</v>
      </c>
      <c r="E1087" s="3" t="s">
        <v>5</v>
      </c>
      <c r="F1087" s="3" t="s">
        <v>10</v>
      </c>
      <c r="G1087" s="3" t="s">
        <v>2442</v>
      </c>
      <c r="H1087" s="3" t="s">
        <v>2443</v>
      </c>
      <c r="I1087" s="4">
        <v>14246.2</v>
      </c>
      <c r="J1087" s="3" t="s">
        <v>11</v>
      </c>
    </row>
    <row r="1088" spans="1:10" x14ac:dyDescent="0.35">
      <c r="A1088" s="3">
        <v>103406529</v>
      </c>
      <c r="B1088" s="3" t="s">
        <v>2444</v>
      </c>
      <c r="C1088" s="3" t="str">
        <f t="shared" si="19"/>
        <v>2022-07-06</v>
      </c>
      <c r="D1088" s="3" t="s">
        <v>9</v>
      </c>
      <c r="E1088" s="3" t="s">
        <v>5</v>
      </c>
      <c r="F1088" s="3" t="s">
        <v>10</v>
      </c>
      <c r="G1088" s="3" t="s">
        <v>2445</v>
      </c>
      <c r="H1088" s="3" t="s">
        <v>2446</v>
      </c>
      <c r="I1088" s="4">
        <v>1281.6400000000001</v>
      </c>
      <c r="J1088" s="3" t="s">
        <v>11</v>
      </c>
    </row>
    <row r="1089" spans="1:10" x14ac:dyDescent="0.35">
      <c r="A1089" s="3">
        <v>103406526</v>
      </c>
      <c r="B1089" s="3" t="s">
        <v>2447</v>
      </c>
      <c r="C1089" s="3" t="str">
        <f t="shared" si="19"/>
        <v>2022-07-06</v>
      </c>
      <c r="D1089" s="3" t="s">
        <v>9</v>
      </c>
      <c r="E1089" s="3" t="s">
        <v>5</v>
      </c>
      <c r="F1089" s="3" t="s">
        <v>10</v>
      </c>
      <c r="G1089" s="3" t="s">
        <v>2448</v>
      </c>
      <c r="H1089" s="3" t="s">
        <v>2449</v>
      </c>
      <c r="I1089" s="5">
        <v>2398</v>
      </c>
      <c r="J1089" s="3" t="s">
        <v>11</v>
      </c>
    </row>
    <row r="1090" spans="1:10" x14ac:dyDescent="0.35">
      <c r="A1090" s="3">
        <v>103406523</v>
      </c>
      <c r="B1090" s="3" t="s">
        <v>2450</v>
      </c>
      <c r="C1090" s="3" t="str">
        <f t="shared" si="19"/>
        <v>2022-07-06</v>
      </c>
      <c r="D1090" s="3" t="s">
        <v>9</v>
      </c>
      <c r="E1090" s="3" t="s">
        <v>5</v>
      </c>
      <c r="F1090" s="3" t="s">
        <v>10</v>
      </c>
      <c r="G1090" s="3" t="s">
        <v>2451</v>
      </c>
      <c r="H1090" s="3" t="s">
        <v>2452</v>
      </c>
      <c r="I1090" s="4">
        <v>1651.1</v>
      </c>
      <c r="J1090" s="3" t="s">
        <v>11</v>
      </c>
    </row>
    <row r="1091" spans="1:10" x14ac:dyDescent="0.35">
      <c r="A1091" s="3">
        <v>103406587</v>
      </c>
      <c r="B1091" s="3" t="s">
        <v>2453</v>
      </c>
      <c r="C1091" s="3" t="str">
        <f t="shared" ref="C1091:C1154" si="20">LEFT(B1091,FIND("T",B1091)-1)</f>
        <v>2022-07-06</v>
      </c>
      <c r="D1091" s="3" t="s">
        <v>9</v>
      </c>
      <c r="E1091" s="3" t="s">
        <v>5</v>
      </c>
      <c r="F1091" s="3" t="s">
        <v>10</v>
      </c>
      <c r="G1091" s="3" t="s">
        <v>2454</v>
      </c>
      <c r="H1091" s="3" t="s">
        <v>2455</v>
      </c>
      <c r="I1091" s="4">
        <v>1091.55</v>
      </c>
      <c r="J1091" s="3" t="s">
        <v>11</v>
      </c>
    </row>
    <row r="1092" spans="1:10" x14ac:dyDescent="0.35">
      <c r="A1092" s="3">
        <v>103406582</v>
      </c>
      <c r="B1092" s="3" t="s">
        <v>2456</v>
      </c>
      <c r="C1092" s="3" t="str">
        <f t="shared" si="20"/>
        <v>2022-07-06</v>
      </c>
      <c r="D1092" s="3" t="s">
        <v>9</v>
      </c>
      <c r="E1092" s="3" t="s">
        <v>5</v>
      </c>
      <c r="F1092" s="3" t="s">
        <v>10</v>
      </c>
      <c r="G1092" s="3" t="s">
        <v>2457</v>
      </c>
      <c r="H1092" s="3" t="s">
        <v>2458</v>
      </c>
      <c r="I1092" s="4">
        <v>4274.05</v>
      </c>
      <c r="J1092" s="3" t="s">
        <v>11</v>
      </c>
    </row>
    <row r="1093" spans="1:10" x14ac:dyDescent="0.35">
      <c r="A1093" s="3">
        <v>103406518</v>
      </c>
      <c r="B1093" s="3" t="s">
        <v>2459</v>
      </c>
      <c r="C1093" s="3" t="str">
        <f t="shared" si="20"/>
        <v>2022-07-06</v>
      </c>
      <c r="D1093" s="3" t="s">
        <v>9</v>
      </c>
      <c r="E1093" s="3" t="s">
        <v>5</v>
      </c>
      <c r="F1093" s="3" t="s">
        <v>10</v>
      </c>
      <c r="G1093" s="3" t="s">
        <v>2460</v>
      </c>
      <c r="H1093" s="3" t="s">
        <v>2461</v>
      </c>
      <c r="I1093" s="5">
        <v>1839</v>
      </c>
      <c r="J1093" s="3" t="s">
        <v>11</v>
      </c>
    </row>
    <row r="1094" spans="1:10" x14ac:dyDescent="0.35">
      <c r="A1094" s="3">
        <v>103406513</v>
      </c>
      <c r="B1094" s="3" t="s">
        <v>2462</v>
      </c>
      <c r="C1094" s="3" t="str">
        <f t="shared" si="20"/>
        <v>2022-07-06</v>
      </c>
      <c r="D1094" s="3" t="s">
        <v>9</v>
      </c>
      <c r="E1094" s="3" t="s">
        <v>5</v>
      </c>
      <c r="F1094" s="3" t="s">
        <v>10</v>
      </c>
      <c r="G1094" s="3" t="s">
        <v>2463</v>
      </c>
      <c r="H1094" s="3" t="s">
        <v>2464</v>
      </c>
      <c r="I1094" s="4">
        <v>1167.55</v>
      </c>
      <c r="J1094" s="3" t="s">
        <v>11</v>
      </c>
    </row>
    <row r="1095" spans="1:10" x14ac:dyDescent="0.35">
      <c r="A1095" s="3">
        <v>103406512</v>
      </c>
      <c r="B1095" s="3" t="s">
        <v>2465</v>
      </c>
      <c r="C1095" s="3" t="str">
        <f t="shared" si="20"/>
        <v>2022-07-06</v>
      </c>
      <c r="D1095" s="3" t="s">
        <v>9</v>
      </c>
      <c r="E1095" s="3" t="s">
        <v>5</v>
      </c>
      <c r="F1095" s="3" t="s">
        <v>10</v>
      </c>
      <c r="G1095" s="3" t="s">
        <v>2466</v>
      </c>
      <c r="H1095" s="3" t="s">
        <v>2467</v>
      </c>
      <c r="I1095" s="4">
        <v>1899.05</v>
      </c>
      <c r="J1095" s="3" t="s">
        <v>11</v>
      </c>
    </row>
    <row r="1096" spans="1:10" x14ac:dyDescent="0.35">
      <c r="A1096" s="3">
        <v>103406510</v>
      </c>
      <c r="B1096" s="3" t="s">
        <v>2468</v>
      </c>
      <c r="C1096" s="3" t="str">
        <f t="shared" si="20"/>
        <v>2022-07-06</v>
      </c>
      <c r="D1096" s="3" t="s">
        <v>9</v>
      </c>
      <c r="E1096" s="3" t="s">
        <v>5</v>
      </c>
      <c r="F1096" s="3" t="s">
        <v>10</v>
      </c>
      <c r="G1096" s="3" t="s">
        <v>2469</v>
      </c>
      <c r="H1096" s="3" t="s">
        <v>2470</v>
      </c>
      <c r="I1096" s="4">
        <v>3324.05</v>
      </c>
      <c r="J1096" s="3" t="s">
        <v>11</v>
      </c>
    </row>
    <row r="1097" spans="1:10" x14ac:dyDescent="0.35">
      <c r="A1097" s="3">
        <v>103406573</v>
      </c>
      <c r="B1097" s="3" t="s">
        <v>2471</v>
      </c>
      <c r="C1097" s="3" t="str">
        <f t="shared" si="20"/>
        <v>2022-07-06</v>
      </c>
      <c r="D1097" s="3" t="s">
        <v>9</v>
      </c>
      <c r="E1097" s="3" t="s">
        <v>5</v>
      </c>
      <c r="F1097" s="3" t="s">
        <v>10</v>
      </c>
      <c r="G1097" s="3" t="s">
        <v>2472</v>
      </c>
      <c r="H1097" s="3" t="s">
        <v>2473</v>
      </c>
      <c r="I1097" s="3">
        <v>649</v>
      </c>
      <c r="J1097" s="3" t="s">
        <v>11</v>
      </c>
    </row>
    <row r="1098" spans="1:10" x14ac:dyDescent="0.35">
      <c r="A1098" s="3">
        <v>103406507</v>
      </c>
      <c r="B1098" s="3" t="s">
        <v>2474</v>
      </c>
      <c r="C1098" s="3" t="str">
        <f t="shared" si="20"/>
        <v>2022-07-06</v>
      </c>
      <c r="D1098" s="3" t="s">
        <v>9</v>
      </c>
      <c r="E1098" s="3" t="s">
        <v>5</v>
      </c>
      <c r="F1098" s="3" t="s">
        <v>10</v>
      </c>
      <c r="G1098" s="3" t="s">
        <v>2475</v>
      </c>
      <c r="H1098" s="3" t="s">
        <v>2476</v>
      </c>
      <c r="I1098" s="4">
        <v>2611.5500000000002</v>
      </c>
      <c r="J1098" s="3" t="s">
        <v>11</v>
      </c>
    </row>
    <row r="1099" spans="1:10" x14ac:dyDescent="0.35">
      <c r="A1099" s="3">
        <v>103406506</v>
      </c>
      <c r="B1099" s="3" t="s">
        <v>2477</v>
      </c>
      <c r="C1099" s="3" t="str">
        <f t="shared" si="20"/>
        <v>2022-07-06</v>
      </c>
      <c r="D1099" s="3" t="s">
        <v>9</v>
      </c>
      <c r="E1099" s="3" t="s">
        <v>5</v>
      </c>
      <c r="F1099" s="3" t="s">
        <v>10</v>
      </c>
      <c r="G1099" s="3" t="s">
        <v>2478</v>
      </c>
      <c r="H1099" s="3" t="s">
        <v>2479</v>
      </c>
      <c r="I1099" s="4">
        <v>1519.05</v>
      </c>
      <c r="J1099" s="3" t="s">
        <v>11</v>
      </c>
    </row>
    <row r="1100" spans="1:10" x14ac:dyDescent="0.35">
      <c r="A1100" s="3">
        <v>103406572</v>
      </c>
      <c r="B1100" s="3" t="s">
        <v>2480</v>
      </c>
      <c r="C1100" s="3" t="str">
        <f t="shared" si="20"/>
        <v>2022-07-06</v>
      </c>
      <c r="D1100" s="3" t="s">
        <v>9</v>
      </c>
      <c r="E1100" s="3" t="s">
        <v>5</v>
      </c>
      <c r="F1100" s="3" t="s">
        <v>10</v>
      </c>
      <c r="G1100" s="3" t="s">
        <v>2481</v>
      </c>
      <c r="H1100" s="3" t="s">
        <v>2482</v>
      </c>
      <c r="I1100" s="4">
        <v>6667.29</v>
      </c>
      <c r="J1100" s="3" t="s">
        <v>11</v>
      </c>
    </row>
    <row r="1101" spans="1:10" x14ac:dyDescent="0.35">
      <c r="A1101" s="3">
        <v>103406504</v>
      </c>
      <c r="B1101" s="3" t="s">
        <v>2483</v>
      </c>
      <c r="C1101" s="3" t="str">
        <f t="shared" si="20"/>
        <v>2022-07-06</v>
      </c>
      <c r="D1101" s="3" t="s">
        <v>9</v>
      </c>
      <c r="E1101" s="3" t="s">
        <v>5</v>
      </c>
      <c r="F1101" s="3" t="s">
        <v>12</v>
      </c>
      <c r="G1101" s="3" t="s">
        <v>2484</v>
      </c>
      <c r="H1101" s="3" t="s">
        <v>2485</v>
      </c>
      <c r="I1101" s="4">
        <v>2136.64</v>
      </c>
      <c r="J1101" s="3" t="s">
        <v>11</v>
      </c>
    </row>
    <row r="1102" spans="1:10" x14ac:dyDescent="0.35">
      <c r="A1102" s="3">
        <v>103406502</v>
      </c>
      <c r="B1102" s="3" t="s">
        <v>4791</v>
      </c>
      <c r="C1102" s="3" t="str">
        <f t="shared" si="20"/>
        <v>2022-07-06</v>
      </c>
      <c r="D1102" s="3" t="s">
        <v>9</v>
      </c>
      <c r="E1102" s="3" t="s">
        <v>5</v>
      </c>
      <c r="F1102" s="3" t="s">
        <v>10</v>
      </c>
      <c r="G1102" s="3" t="s">
        <v>2223</v>
      </c>
      <c r="H1102" s="3" t="s">
        <v>2224</v>
      </c>
      <c r="I1102" s="4">
        <v>2849.05</v>
      </c>
      <c r="J1102" s="3" t="s">
        <v>13</v>
      </c>
    </row>
    <row r="1103" spans="1:10" x14ac:dyDescent="0.35">
      <c r="A1103" s="3">
        <v>103406497</v>
      </c>
      <c r="B1103" s="3" t="s">
        <v>2486</v>
      </c>
      <c r="C1103" s="3" t="str">
        <f t="shared" si="20"/>
        <v>2022-07-06</v>
      </c>
      <c r="D1103" s="3" t="s">
        <v>9</v>
      </c>
      <c r="E1103" s="3" t="s">
        <v>5</v>
      </c>
      <c r="F1103" s="3" t="s">
        <v>10</v>
      </c>
      <c r="G1103" s="3" t="s">
        <v>2487</v>
      </c>
      <c r="H1103" s="3" t="s">
        <v>2488</v>
      </c>
      <c r="I1103" s="5">
        <v>1369</v>
      </c>
      <c r="J1103" s="3" t="s">
        <v>11</v>
      </c>
    </row>
    <row r="1104" spans="1:10" x14ac:dyDescent="0.35">
      <c r="A1104" s="3">
        <v>103406495</v>
      </c>
      <c r="B1104" s="3" t="s">
        <v>2489</v>
      </c>
      <c r="C1104" s="3" t="str">
        <f t="shared" si="20"/>
        <v>2022-07-06</v>
      </c>
      <c r="D1104" s="3" t="s">
        <v>9</v>
      </c>
      <c r="E1104" s="3" t="s">
        <v>5</v>
      </c>
      <c r="F1104" s="3" t="s">
        <v>10</v>
      </c>
      <c r="G1104" s="3" t="s">
        <v>2490</v>
      </c>
      <c r="H1104" s="3" t="s">
        <v>2491</v>
      </c>
      <c r="I1104" s="4">
        <v>2136.5500000000002</v>
      </c>
      <c r="J1104" s="3" t="s">
        <v>11</v>
      </c>
    </row>
    <row r="1105" spans="1:10" x14ac:dyDescent="0.35">
      <c r="A1105" s="3">
        <v>103406463</v>
      </c>
      <c r="B1105" s="3" t="s">
        <v>2492</v>
      </c>
      <c r="C1105" s="3" t="str">
        <f t="shared" si="20"/>
        <v>2022-07-06</v>
      </c>
      <c r="D1105" s="3" t="s">
        <v>9</v>
      </c>
      <c r="E1105" s="3" t="s">
        <v>5</v>
      </c>
      <c r="F1105" s="3" t="s">
        <v>10</v>
      </c>
      <c r="G1105" s="3" t="s">
        <v>2493</v>
      </c>
      <c r="H1105" s="3" t="s">
        <v>2494</v>
      </c>
      <c r="I1105" s="4">
        <v>1139.05</v>
      </c>
      <c r="J1105" s="3" t="s">
        <v>11</v>
      </c>
    </row>
    <row r="1106" spans="1:10" x14ac:dyDescent="0.35">
      <c r="A1106" s="3">
        <v>103406492</v>
      </c>
      <c r="B1106" s="3" t="s">
        <v>2495</v>
      </c>
      <c r="C1106" s="3" t="str">
        <f t="shared" si="20"/>
        <v>2022-07-06</v>
      </c>
      <c r="D1106" s="3" t="s">
        <v>9</v>
      </c>
      <c r="E1106" s="3" t="s">
        <v>5</v>
      </c>
      <c r="F1106" s="3" t="s">
        <v>10</v>
      </c>
      <c r="G1106" s="3" t="s">
        <v>2496</v>
      </c>
      <c r="H1106" s="3" t="s">
        <v>2497</v>
      </c>
      <c r="I1106" s="4">
        <v>1505.37</v>
      </c>
      <c r="J1106" s="3" t="s">
        <v>11</v>
      </c>
    </row>
    <row r="1107" spans="1:10" x14ac:dyDescent="0.35">
      <c r="A1107" s="3">
        <v>103406461</v>
      </c>
      <c r="B1107" s="3" t="s">
        <v>2498</v>
      </c>
      <c r="C1107" s="3" t="str">
        <f t="shared" si="20"/>
        <v>2022-07-06</v>
      </c>
      <c r="D1107" s="3" t="s">
        <v>9</v>
      </c>
      <c r="E1107" s="3" t="s">
        <v>5</v>
      </c>
      <c r="F1107" s="3" t="s">
        <v>10</v>
      </c>
      <c r="G1107" s="3" t="s">
        <v>2463</v>
      </c>
      <c r="H1107" s="3" t="s">
        <v>2464</v>
      </c>
      <c r="I1107" s="3">
        <v>806.55</v>
      </c>
      <c r="J1107" s="3" t="s">
        <v>11</v>
      </c>
    </row>
    <row r="1108" spans="1:10" x14ac:dyDescent="0.35">
      <c r="A1108" s="3">
        <v>103406489</v>
      </c>
      <c r="B1108" s="3" t="s">
        <v>2499</v>
      </c>
      <c r="C1108" s="3" t="str">
        <f t="shared" si="20"/>
        <v>2022-07-06</v>
      </c>
      <c r="D1108" s="3" t="s">
        <v>9</v>
      </c>
      <c r="E1108" s="3" t="s">
        <v>5</v>
      </c>
      <c r="F1108" s="3" t="s">
        <v>10</v>
      </c>
      <c r="G1108" s="3" t="s">
        <v>2500</v>
      </c>
      <c r="H1108" s="3" t="s">
        <v>2501</v>
      </c>
      <c r="I1108" s="3">
        <v>737.1</v>
      </c>
      <c r="J1108" s="3" t="s">
        <v>11</v>
      </c>
    </row>
    <row r="1109" spans="1:10" x14ac:dyDescent="0.35">
      <c r="A1109" s="3">
        <v>103406454</v>
      </c>
      <c r="B1109" s="3" t="s">
        <v>2502</v>
      </c>
      <c r="C1109" s="3" t="str">
        <f t="shared" si="20"/>
        <v>2022-07-06</v>
      </c>
      <c r="D1109" s="3" t="s">
        <v>9</v>
      </c>
      <c r="E1109" s="3" t="s">
        <v>5</v>
      </c>
      <c r="F1109" s="3" t="s">
        <v>10</v>
      </c>
      <c r="G1109" s="3" t="s">
        <v>2503</v>
      </c>
      <c r="H1109" s="3" t="s">
        <v>2504</v>
      </c>
      <c r="I1109" s="4">
        <v>3799.05</v>
      </c>
      <c r="J1109" s="3" t="s">
        <v>11</v>
      </c>
    </row>
    <row r="1110" spans="1:10" x14ac:dyDescent="0.35">
      <c r="A1110" s="3">
        <v>103406486</v>
      </c>
      <c r="B1110" s="3" t="s">
        <v>2505</v>
      </c>
      <c r="C1110" s="3" t="str">
        <f t="shared" si="20"/>
        <v>2022-07-06</v>
      </c>
      <c r="D1110" s="3" t="s">
        <v>9</v>
      </c>
      <c r="E1110" s="3" t="s">
        <v>5</v>
      </c>
      <c r="F1110" s="3" t="s">
        <v>10</v>
      </c>
      <c r="G1110" s="3" t="s">
        <v>2506</v>
      </c>
      <c r="H1110" s="3" t="s">
        <v>2507</v>
      </c>
      <c r="I1110" s="5">
        <v>2249</v>
      </c>
      <c r="J1110" s="3" t="s">
        <v>11</v>
      </c>
    </row>
    <row r="1111" spans="1:10" x14ac:dyDescent="0.35">
      <c r="A1111" s="3">
        <v>103406448</v>
      </c>
      <c r="B1111" s="3" t="s">
        <v>2508</v>
      </c>
      <c r="C1111" s="3" t="str">
        <f t="shared" si="20"/>
        <v>2022-07-06</v>
      </c>
      <c r="D1111" s="3" t="s">
        <v>9</v>
      </c>
      <c r="E1111" s="3" t="s">
        <v>5</v>
      </c>
      <c r="F1111" s="3" t="s">
        <v>10</v>
      </c>
      <c r="G1111" s="3" t="s">
        <v>2509</v>
      </c>
      <c r="H1111" s="3" t="s">
        <v>2510</v>
      </c>
      <c r="I1111" s="4">
        <v>1243.6400000000001</v>
      </c>
      <c r="J1111" s="3" t="s">
        <v>11</v>
      </c>
    </row>
    <row r="1112" spans="1:10" x14ac:dyDescent="0.35">
      <c r="A1112" s="3">
        <v>103406447</v>
      </c>
      <c r="B1112" s="3" t="s">
        <v>2511</v>
      </c>
      <c r="C1112" s="3" t="str">
        <f t="shared" si="20"/>
        <v>2022-07-06</v>
      </c>
      <c r="D1112" s="3" t="s">
        <v>9</v>
      </c>
      <c r="E1112" s="3" t="s">
        <v>5</v>
      </c>
      <c r="F1112" s="3" t="s">
        <v>12</v>
      </c>
      <c r="G1112" s="3" t="s">
        <v>2512</v>
      </c>
      <c r="H1112" s="3" t="s">
        <v>2513</v>
      </c>
      <c r="I1112" s="4">
        <v>1709.05</v>
      </c>
      <c r="J1112" s="3" t="s">
        <v>11</v>
      </c>
    </row>
    <row r="1113" spans="1:10" x14ac:dyDescent="0.35">
      <c r="A1113" s="3">
        <v>103406481</v>
      </c>
      <c r="B1113" s="3" t="s">
        <v>2514</v>
      </c>
      <c r="C1113" s="3" t="str">
        <f t="shared" si="20"/>
        <v>2022-07-06</v>
      </c>
      <c r="D1113" s="3" t="s">
        <v>9</v>
      </c>
      <c r="E1113" s="3" t="s">
        <v>5</v>
      </c>
      <c r="F1113" s="3" t="s">
        <v>10</v>
      </c>
      <c r="G1113" s="3" t="s">
        <v>2515</v>
      </c>
      <c r="H1113" s="3" t="s">
        <v>2516</v>
      </c>
      <c r="I1113" s="5">
        <v>4199</v>
      </c>
      <c r="J1113" s="3" t="s">
        <v>11</v>
      </c>
    </row>
    <row r="1114" spans="1:10" x14ac:dyDescent="0.35">
      <c r="A1114" s="3">
        <v>103406482</v>
      </c>
      <c r="B1114" s="3" t="s">
        <v>2514</v>
      </c>
      <c r="C1114" s="3" t="str">
        <f t="shared" si="20"/>
        <v>2022-07-06</v>
      </c>
      <c r="D1114" s="3" t="s">
        <v>9</v>
      </c>
      <c r="E1114" s="3" t="s">
        <v>5</v>
      </c>
      <c r="F1114" s="3" t="s">
        <v>10</v>
      </c>
      <c r="G1114" s="3" t="s">
        <v>2517</v>
      </c>
      <c r="H1114" s="3" t="s">
        <v>2518</v>
      </c>
      <c r="I1114" s="4">
        <v>1851.55</v>
      </c>
      <c r="J1114" s="3" t="s">
        <v>11</v>
      </c>
    </row>
    <row r="1115" spans="1:10" x14ac:dyDescent="0.35">
      <c r="A1115" s="3">
        <v>103406469</v>
      </c>
      <c r="B1115" s="3" t="s">
        <v>2519</v>
      </c>
      <c r="C1115" s="3" t="str">
        <f t="shared" si="20"/>
        <v>2022-07-06</v>
      </c>
      <c r="D1115" s="3" t="s">
        <v>9</v>
      </c>
      <c r="E1115" s="3" t="s">
        <v>5</v>
      </c>
      <c r="F1115" s="3" t="s">
        <v>10</v>
      </c>
      <c r="G1115" s="3" t="s">
        <v>2520</v>
      </c>
      <c r="H1115" s="3" t="s">
        <v>2521</v>
      </c>
      <c r="I1115" s="4">
        <v>10733.1</v>
      </c>
      <c r="J1115" s="3" t="s">
        <v>11</v>
      </c>
    </row>
    <row r="1116" spans="1:10" x14ac:dyDescent="0.35">
      <c r="A1116" s="3">
        <v>103406467</v>
      </c>
      <c r="B1116" s="3" t="s">
        <v>2522</v>
      </c>
      <c r="C1116" s="3" t="str">
        <f t="shared" si="20"/>
        <v>2022-07-06</v>
      </c>
      <c r="D1116" s="3" t="s">
        <v>9</v>
      </c>
      <c r="E1116" s="3" t="s">
        <v>5</v>
      </c>
      <c r="F1116" s="3" t="s">
        <v>10</v>
      </c>
      <c r="G1116" s="3" t="s">
        <v>2523</v>
      </c>
      <c r="H1116" s="3" t="s">
        <v>2524</v>
      </c>
      <c r="I1116" s="4">
        <v>2977.35</v>
      </c>
      <c r="J1116" s="3" t="s">
        <v>11</v>
      </c>
    </row>
    <row r="1117" spans="1:10" x14ac:dyDescent="0.35">
      <c r="A1117" s="3">
        <v>103406438</v>
      </c>
      <c r="B1117" s="3" t="s">
        <v>2525</v>
      </c>
      <c r="C1117" s="3" t="str">
        <f t="shared" si="20"/>
        <v>2022-07-06</v>
      </c>
      <c r="D1117" s="3" t="s">
        <v>9</v>
      </c>
      <c r="E1117" s="3" t="s">
        <v>5</v>
      </c>
      <c r="F1117" s="3" t="s">
        <v>10</v>
      </c>
      <c r="G1117" s="3" t="s">
        <v>2526</v>
      </c>
      <c r="H1117" s="3" t="s">
        <v>2527</v>
      </c>
      <c r="I1117" s="4">
        <v>1110.55</v>
      </c>
      <c r="J1117" s="3" t="s">
        <v>11</v>
      </c>
    </row>
    <row r="1118" spans="1:10" x14ac:dyDescent="0.35">
      <c r="A1118" s="3">
        <v>103406437</v>
      </c>
      <c r="B1118" s="3" t="s">
        <v>2528</v>
      </c>
      <c r="C1118" s="3" t="str">
        <f t="shared" si="20"/>
        <v>2022-07-06</v>
      </c>
      <c r="D1118" s="3" t="s">
        <v>9</v>
      </c>
      <c r="E1118" s="3" t="s">
        <v>5</v>
      </c>
      <c r="F1118" s="3" t="s">
        <v>12</v>
      </c>
      <c r="G1118" s="3" t="s">
        <v>2529</v>
      </c>
      <c r="H1118" s="3" t="s">
        <v>2530</v>
      </c>
      <c r="I1118" s="5">
        <v>2399</v>
      </c>
      <c r="J1118" s="3" t="s">
        <v>11</v>
      </c>
    </row>
    <row r="1119" spans="1:10" x14ac:dyDescent="0.35">
      <c r="A1119" s="3">
        <v>103406361</v>
      </c>
      <c r="B1119" s="3" t="s">
        <v>2531</v>
      </c>
      <c r="C1119" s="3" t="str">
        <f t="shared" si="20"/>
        <v>2022-07-06</v>
      </c>
      <c r="D1119" s="3" t="s">
        <v>9</v>
      </c>
      <c r="E1119" s="3" t="s">
        <v>5</v>
      </c>
      <c r="F1119" s="3" t="s">
        <v>10</v>
      </c>
      <c r="G1119" s="3" t="s">
        <v>2532</v>
      </c>
      <c r="H1119" s="3" t="s">
        <v>2533</v>
      </c>
      <c r="I1119" s="5">
        <v>2309</v>
      </c>
      <c r="J1119" s="3" t="s">
        <v>11</v>
      </c>
    </row>
    <row r="1120" spans="1:10" x14ac:dyDescent="0.35">
      <c r="A1120" s="3">
        <v>103406431</v>
      </c>
      <c r="B1120" s="3" t="s">
        <v>2534</v>
      </c>
      <c r="C1120" s="3" t="str">
        <f t="shared" si="20"/>
        <v>2022-07-06</v>
      </c>
      <c r="D1120" s="3" t="s">
        <v>9</v>
      </c>
      <c r="E1120" s="3" t="s">
        <v>5</v>
      </c>
      <c r="F1120" s="3" t="s">
        <v>10</v>
      </c>
      <c r="G1120" s="3" t="s">
        <v>2535</v>
      </c>
      <c r="H1120" s="3" t="s">
        <v>2536</v>
      </c>
      <c r="I1120" s="4">
        <v>2724.65</v>
      </c>
      <c r="J1120" s="3" t="s">
        <v>11</v>
      </c>
    </row>
    <row r="1121" spans="1:10" x14ac:dyDescent="0.35">
      <c r="A1121" s="3">
        <v>103406426</v>
      </c>
      <c r="B1121" s="3" t="s">
        <v>2537</v>
      </c>
      <c r="C1121" s="3" t="str">
        <f t="shared" si="20"/>
        <v>2022-07-06</v>
      </c>
      <c r="D1121" s="3" t="s">
        <v>9</v>
      </c>
      <c r="E1121" s="3" t="s">
        <v>5</v>
      </c>
      <c r="F1121" s="3" t="s">
        <v>10</v>
      </c>
      <c r="G1121" s="3" t="s">
        <v>2538</v>
      </c>
      <c r="H1121" s="3" t="s">
        <v>2539</v>
      </c>
      <c r="I1121" s="4">
        <v>2193.5500000000002</v>
      </c>
      <c r="J1121" s="3" t="s">
        <v>11</v>
      </c>
    </row>
    <row r="1122" spans="1:10" x14ac:dyDescent="0.35">
      <c r="A1122" s="3">
        <v>103406357</v>
      </c>
      <c r="B1122" s="3" t="s">
        <v>2540</v>
      </c>
      <c r="C1122" s="3" t="str">
        <f t="shared" si="20"/>
        <v>2022-07-06</v>
      </c>
      <c r="D1122" s="3" t="s">
        <v>9</v>
      </c>
      <c r="E1122" s="3" t="s">
        <v>5</v>
      </c>
      <c r="F1122" s="3" t="s">
        <v>10</v>
      </c>
      <c r="G1122" s="3" t="s">
        <v>2541</v>
      </c>
      <c r="H1122" s="3" t="s">
        <v>2542</v>
      </c>
      <c r="I1122" s="4">
        <v>2724.65</v>
      </c>
      <c r="J1122" s="3" t="s">
        <v>11</v>
      </c>
    </row>
    <row r="1123" spans="1:10" x14ac:dyDescent="0.35">
      <c r="A1123" s="3">
        <v>103406356</v>
      </c>
      <c r="B1123" s="3" t="s">
        <v>2543</v>
      </c>
      <c r="C1123" s="3" t="str">
        <f t="shared" si="20"/>
        <v>2022-07-06</v>
      </c>
      <c r="D1123" s="3" t="s">
        <v>9</v>
      </c>
      <c r="E1123" s="3" t="s">
        <v>5</v>
      </c>
      <c r="F1123" s="3" t="s">
        <v>10</v>
      </c>
      <c r="G1123" s="3" t="s">
        <v>2544</v>
      </c>
      <c r="H1123" s="3" t="s">
        <v>2545</v>
      </c>
      <c r="I1123" s="5">
        <v>3548</v>
      </c>
      <c r="J1123" s="3" t="s">
        <v>11</v>
      </c>
    </row>
    <row r="1124" spans="1:10" x14ac:dyDescent="0.35">
      <c r="A1124" s="3">
        <v>103406349</v>
      </c>
      <c r="B1124" s="3" t="s">
        <v>2546</v>
      </c>
      <c r="C1124" s="3" t="str">
        <f t="shared" si="20"/>
        <v>2022-07-06</v>
      </c>
      <c r="D1124" s="3" t="s">
        <v>9</v>
      </c>
      <c r="E1124" s="3" t="s">
        <v>5</v>
      </c>
      <c r="F1124" s="3" t="s">
        <v>10</v>
      </c>
      <c r="G1124" s="3" t="s">
        <v>2547</v>
      </c>
      <c r="H1124" s="3" t="s">
        <v>2548</v>
      </c>
      <c r="I1124" s="4">
        <v>2708.64</v>
      </c>
      <c r="J1124" s="3" t="s">
        <v>11</v>
      </c>
    </row>
    <row r="1125" spans="1:10" x14ac:dyDescent="0.35">
      <c r="A1125" s="3">
        <v>103406418</v>
      </c>
      <c r="B1125" s="3" t="s">
        <v>2549</v>
      </c>
      <c r="C1125" s="3" t="str">
        <f t="shared" si="20"/>
        <v>2022-07-06</v>
      </c>
      <c r="D1125" s="3" t="s">
        <v>9</v>
      </c>
      <c r="E1125" s="3" t="s">
        <v>5</v>
      </c>
      <c r="F1125" s="3" t="s">
        <v>12</v>
      </c>
      <c r="G1125" s="3" t="s">
        <v>2550</v>
      </c>
      <c r="H1125" s="3" t="s">
        <v>2551</v>
      </c>
      <c r="I1125" s="3">
        <v>369</v>
      </c>
      <c r="J1125" s="3" t="s">
        <v>11</v>
      </c>
    </row>
    <row r="1126" spans="1:10" x14ac:dyDescent="0.35">
      <c r="A1126" s="3">
        <v>103406416</v>
      </c>
      <c r="B1126" s="3" t="s">
        <v>2552</v>
      </c>
      <c r="C1126" s="3" t="str">
        <f t="shared" si="20"/>
        <v>2022-07-06</v>
      </c>
      <c r="D1126" s="3" t="s">
        <v>9</v>
      </c>
      <c r="E1126" s="3" t="s">
        <v>5</v>
      </c>
      <c r="F1126" s="3" t="s">
        <v>10</v>
      </c>
      <c r="G1126" s="3" t="s">
        <v>2553</v>
      </c>
      <c r="H1126" s="3" t="s">
        <v>2554</v>
      </c>
      <c r="I1126" s="4">
        <v>2849.05</v>
      </c>
      <c r="J1126" s="3" t="s">
        <v>11</v>
      </c>
    </row>
    <row r="1127" spans="1:10" x14ac:dyDescent="0.35">
      <c r="A1127" s="3">
        <v>103406415</v>
      </c>
      <c r="B1127" s="3" t="s">
        <v>2555</v>
      </c>
      <c r="C1127" s="3" t="str">
        <f t="shared" si="20"/>
        <v>2022-07-06</v>
      </c>
      <c r="D1127" s="3" t="s">
        <v>9</v>
      </c>
      <c r="E1127" s="3" t="s">
        <v>5</v>
      </c>
      <c r="F1127" s="3" t="s">
        <v>12</v>
      </c>
      <c r="G1127" s="3" t="s">
        <v>2556</v>
      </c>
      <c r="H1127" s="3" t="s">
        <v>2557</v>
      </c>
      <c r="I1127" s="3">
        <v>479</v>
      </c>
      <c r="J1127" s="3" t="s">
        <v>11</v>
      </c>
    </row>
    <row r="1128" spans="1:10" x14ac:dyDescent="0.35">
      <c r="A1128" s="3">
        <v>103406339</v>
      </c>
      <c r="B1128" s="3" t="s">
        <v>2558</v>
      </c>
      <c r="C1128" s="3" t="str">
        <f t="shared" si="20"/>
        <v>2022-07-06</v>
      </c>
      <c r="D1128" s="3" t="s">
        <v>9</v>
      </c>
      <c r="E1128" s="3" t="s">
        <v>5</v>
      </c>
      <c r="F1128" s="3" t="s">
        <v>10</v>
      </c>
      <c r="G1128" s="3" t="s">
        <v>2559</v>
      </c>
      <c r="H1128" s="3" t="s">
        <v>2560</v>
      </c>
      <c r="I1128" s="4">
        <v>3138.89</v>
      </c>
      <c r="J1128" s="3" t="s">
        <v>11</v>
      </c>
    </row>
    <row r="1129" spans="1:10" x14ac:dyDescent="0.35">
      <c r="A1129" s="3">
        <v>103406414</v>
      </c>
      <c r="B1129" s="3" t="s">
        <v>2561</v>
      </c>
      <c r="C1129" s="3" t="str">
        <f t="shared" si="20"/>
        <v>2022-07-06</v>
      </c>
      <c r="D1129" s="3" t="s">
        <v>9</v>
      </c>
      <c r="E1129" s="3" t="s">
        <v>5</v>
      </c>
      <c r="F1129" s="3" t="s">
        <v>10</v>
      </c>
      <c r="G1129" s="3" t="s">
        <v>2562</v>
      </c>
      <c r="H1129" s="3" t="s">
        <v>2563</v>
      </c>
      <c r="I1129" s="5">
        <v>2499</v>
      </c>
      <c r="J1129" s="3" t="s">
        <v>11</v>
      </c>
    </row>
    <row r="1130" spans="1:10" x14ac:dyDescent="0.35">
      <c r="A1130" s="3">
        <v>103406413</v>
      </c>
      <c r="B1130" s="3" t="s">
        <v>2564</v>
      </c>
      <c r="C1130" s="3" t="str">
        <f t="shared" si="20"/>
        <v>2022-07-06</v>
      </c>
      <c r="D1130" s="3" t="s">
        <v>9</v>
      </c>
      <c r="E1130" s="3" t="s">
        <v>5</v>
      </c>
      <c r="F1130" s="3" t="s">
        <v>10</v>
      </c>
      <c r="G1130" s="3" t="s">
        <v>2565</v>
      </c>
      <c r="H1130" s="3" t="s">
        <v>2566</v>
      </c>
      <c r="I1130" s="4">
        <v>1794.64</v>
      </c>
      <c r="J1130" s="3" t="s">
        <v>11</v>
      </c>
    </row>
    <row r="1131" spans="1:10" x14ac:dyDescent="0.35">
      <c r="A1131" s="3">
        <v>103406335</v>
      </c>
      <c r="B1131" s="3" t="s">
        <v>2567</v>
      </c>
      <c r="C1131" s="3" t="str">
        <f t="shared" si="20"/>
        <v>2022-07-06</v>
      </c>
      <c r="D1131" s="3" t="s">
        <v>9</v>
      </c>
      <c r="E1131" s="3" t="s">
        <v>5</v>
      </c>
      <c r="F1131" s="3" t="s">
        <v>10</v>
      </c>
      <c r="G1131" s="3" t="s">
        <v>2568</v>
      </c>
      <c r="H1131" s="3" t="s">
        <v>2569</v>
      </c>
      <c r="I1131" s="4">
        <v>4653.1000000000004</v>
      </c>
      <c r="J1131" s="3" t="s">
        <v>11</v>
      </c>
    </row>
    <row r="1132" spans="1:10" x14ac:dyDescent="0.35">
      <c r="A1132" s="3">
        <v>103406408</v>
      </c>
      <c r="B1132" s="3" t="s">
        <v>2570</v>
      </c>
      <c r="C1132" s="3" t="str">
        <f t="shared" si="20"/>
        <v>2022-07-06</v>
      </c>
      <c r="D1132" s="3" t="s">
        <v>9</v>
      </c>
      <c r="E1132" s="3" t="s">
        <v>5</v>
      </c>
      <c r="F1132" s="3" t="s">
        <v>10</v>
      </c>
      <c r="G1132" s="3" t="s">
        <v>2571</v>
      </c>
      <c r="H1132" s="3" t="s">
        <v>2572</v>
      </c>
      <c r="I1132" s="3">
        <v>369</v>
      </c>
      <c r="J1132" s="3" t="s">
        <v>11</v>
      </c>
    </row>
    <row r="1133" spans="1:10" x14ac:dyDescent="0.35">
      <c r="A1133" s="3">
        <v>103406330</v>
      </c>
      <c r="B1133" s="3" t="s">
        <v>2573</v>
      </c>
      <c r="C1133" s="3" t="str">
        <f t="shared" si="20"/>
        <v>2022-07-06</v>
      </c>
      <c r="D1133" s="3" t="s">
        <v>9</v>
      </c>
      <c r="E1133" s="3" t="s">
        <v>5</v>
      </c>
      <c r="F1133" s="3" t="s">
        <v>12</v>
      </c>
      <c r="G1133" s="3" t="s">
        <v>2574</v>
      </c>
      <c r="H1133" s="3" t="s">
        <v>2575</v>
      </c>
      <c r="I1133" s="3">
        <v>419</v>
      </c>
      <c r="J1133" s="3" t="s">
        <v>11</v>
      </c>
    </row>
    <row r="1134" spans="1:10" x14ac:dyDescent="0.35">
      <c r="A1134" s="3">
        <v>103406323</v>
      </c>
      <c r="B1134" s="3" t="s">
        <v>2576</v>
      </c>
      <c r="C1134" s="3" t="str">
        <f t="shared" si="20"/>
        <v>2022-07-06</v>
      </c>
      <c r="D1134" s="3" t="s">
        <v>9</v>
      </c>
      <c r="E1134" s="3" t="s">
        <v>5</v>
      </c>
      <c r="F1134" s="3" t="s">
        <v>10</v>
      </c>
      <c r="G1134" s="3" t="s">
        <v>2577</v>
      </c>
      <c r="H1134" s="3" t="s">
        <v>2578</v>
      </c>
      <c r="I1134" s="3">
        <v>999</v>
      </c>
      <c r="J1134" s="3" t="s">
        <v>13</v>
      </c>
    </row>
    <row r="1135" spans="1:10" x14ac:dyDescent="0.35">
      <c r="A1135" s="3">
        <v>103406324</v>
      </c>
      <c r="B1135" s="3" t="s">
        <v>2576</v>
      </c>
      <c r="C1135" s="3" t="str">
        <f t="shared" si="20"/>
        <v>2022-07-06</v>
      </c>
      <c r="D1135" s="3" t="s">
        <v>9</v>
      </c>
      <c r="E1135" s="3" t="s">
        <v>5</v>
      </c>
      <c r="F1135" s="3" t="s">
        <v>10</v>
      </c>
      <c r="G1135" s="3" t="s">
        <v>2579</v>
      </c>
      <c r="H1135" s="3" t="s">
        <v>2580</v>
      </c>
      <c r="I1135" s="4">
        <v>3157.85</v>
      </c>
      <c r="J1135" s="3" t="s">
        <v>11</v>
      </c>
    </row>
    <row r="1136" spans="1:10" x14ac:dyDescent="0.35">
      <c r="A1136" s="3">
        <v>103406402</v>
      </c>
      <c r="B1136" s="3" t="s">
        <v>2576</v>
      </c>
      <c r="C1136" s="3" t="str">
        <f t="shared" si="20"/>
        <v>2022-07-06</v>
      </c>
      <c r="D1136" s="3" t="s">
        <v>9</v>
      </c>
      <c r="E1136" s="3" t="s">
        <v>5</v>
      </c>
      <c r="F1136" s="3" t="s">
        <v>10</v>
      </c>
      <c r="G1136" s="3" t="s">
        <v>2581</v>
      </c>
      <c r="H1136" s="3" t="s">
        <v>2582</v>
      </c>
      <c r="I1136" s="3">
        <v>839</v>
      </c>
      <c r="J1136" s="3" t="s">
        <v>11</v>
      </c>
    </row>
    <row r="1137" spans="1:10" x14ac:dyDescent="0.35">
      <c r="A1137" s="3">
        <v>103406399</v>
      </c>
      <c r="B1137" s="3" t="s">
        <v>2583</v>
      </c>
      <c r="C1137" s="3" t="str">
        <f t="shared" si="20"/>
        <v>2022-07-06</v>
      </c>
      <c r="D1137" s="3" t="s">
        <v>9</v>
      </c>
      <c r="E1137" s="3" t="s">
        <v>5</v>
      </c>
      <c r="F1137" s="3" t="s">
        <v>10</v>
      </c>
      <c r="G1137" s="3" t="s">
        <v>2581</v>
      </c>
      <c r="H1137" s="3" t="s">
        <v>2582</v>
      </c>
      <c r="I1137" s="5">
        <v>1119</v>
      </c>
      <c r="J1137" s="3" t="s">
        <v>11</v>
      </c>
    </row>
    <row r="1138" spans="1:10" x14ac:dyDescent="0.35">
      <c r="A1138" s="3">
        <v>103406396</v>
      </c>
      <c r="B1138" s="3" t="s">
        <v>2584</v>
      </c>
      <c r="C1138" s="3" t="str">
        <f t="shared" si="20"/>
        <v>2022-07-06</v>
      </c>
      <c r="D1138" s="3" t="s">
        <v>9</v>
      </c>
      <c r="E1138" s="3" t="s">
        <v>5</v>
      </c>
      <c r="F1138" s="3" t="s">
        <v>10</v>
      </c>
      <c r="G1138" s="3" t="s">
        <v>2585</v>
      </c>
      <c r="H1138" s="3" t="s">
        <v>2586</v>
      </c>
      <c r="I1138" s="5">
        <v>2599</v>
      </c>
      <c r="J1138" s="3" t="s">
        <v>11</v>
      </c>
    </row>
    <row r="1139" spans="1:10" x14ac:dyDescent="0.35">
      <c r="A1139" s="3">
        <v>103406319</v>
      </c>
      <c r="B1139" s="3" t="s">
        <v>2587</v>
      </c>
      <c r="C1139" s="3" t="str">
        <f t="shared" si="20"/>
        <v>2022-07-06</v>
      </c>
      <c r="D1139" s="3" t="s">
        <v>9</v>
      </c>
      <c r="E1139" s="3" t="s">
        <v>5</v>
      </c>
      <c r="F1139" s="3" t="s">
        <v>10</v>
      </c>
      <c r="G1139" s="3" t="s">
        <v>2588</v>
      </c>
      <c r="H1139" s="3" t="s">
        <v>2589</v>
      </c>
      <c r="I1139" s="5">
        <v>1558</v>
      </c>
      <c r="J1139" s="3" t="s">
        <v>11</v>
      </c>
    </row>
    <row r="1140" spans="1:10" x14ac:dyDescent="0.35">
      <c r="A1140" s="3">
        <v>103406318</v>
      </c>
      <c r="B1140" s="3" t="s">
        <v>2590</v>
      </c>
      <c r="C1140" s="3" t="str">
        <f t="shared" si="20"/>
        <v>2022-07-06</v>
      </c>
      <c r="D1140" s="3" t="s">
        <v>9</v>
      </c>
      <c r="E1140" s="3" t="s">
        <v>5</v>
      </c>
      <c r="F1140" s="3" t="s">
        <v>10</v>
      </c>
      <c r="G1140" s="3" t="s">
        <v>2591</v>
      </c>
      <c r="H1140" s="3" t="s">
        <v>2592</v>
      </c>
      <c r="I1140" s="4">
        <v>2051.14</v>
      </c>
      <c r="J1140" s="3" t="s">
        <v>11</v>
      </c>
    </row>
    <row r="1141" spans="1:10" x14ac:dyDescent="0.35">
      <c r="A1141" s="3">
        <v>103406317</v>
      </c>
      <c r="B1141" s="3" t="s">
        <v>2593</v>
      </c>
      <c r="C1141" s="3" t="str">
        <f t="shared" si="20"/>
        <v>2022-07-06</v>
      </c>
      <c r="D1141" s="3" t="s">
        <v>9</v>
      </c>
      <c r="E1141" s="3" t="s">
        <v>5</v>
      </c>
      <c r="F1141" s="3" t="s">
        <v>10</v>
      </c>
      <c r="G1141" s="3" t="s">
        <v>23</v>
      </c>
      <c r="H1141" s="3" t="s">
        <v>2594</v>
      </c>
      <c r="I1141" s="3">
        <v>312.55</v>
      </c>
      <c r="J1141" s="3" t="s">
        <v>11</v>
      </c>
    </row>
    <row r="1142" spans="1:10" x14ac:dyDescent="0.35">
      <c r="A1142" s="3">
        <v>103406309</v>
      </c>
      <c r="B1142" s="3" t="s">
        <v>2595</v>
      </c>
      <c r="C1142" s="3" t="str">
        <f t="shared" si="20"/>
        <v>2022-07-06</v>
      </c>
      <c r="D1142" s="3" t="s">
        <v>9</v>
      </c>
      <c r="E1142" s="3" t="s">
        <v>5</v>
      </c>
      <c r="F1142" s="3" t="s">
        <v>12</v>
      </c>
      <c r="G1142" s="3" t="s">
        <v>2596</v>
      </c>
      <c r="H1142" s="3" t="s">
        <v>2597</v>
      </c>
      <c r="I1142" s="5">
        <v>1079</v>
      </c>
      <c r="J1142" s="3" t="s">
        <v>11</v>
      </c>
    </row>
    <row r="1143" spans="1:10" x14ac:dyDescent="0.35">
      <c r="A1143" s="3">
        <v>103406305</v>
      </c>
      <c r="B1143" s="3" t="s">
        <v>2598</v>
      </c>
      <c r="C1143" s="3" t="str">
        <f t="shared" si="20"/>
        <v>2022-07-06</v>
      </c>
      <c r="D1143" s="3" t="s">
        <v>9</v>
      </c>
      <c r="E1143" s="3" t="s">
        <v>5</v>
      </c>
      <c r="F1143" s="3" t="s">
        <v>10</v>
      </c>
      <c r="G1143" s="3" t="s">
        <v>2599</v>
      </c>
      <c r="H1143" s="3" t="s">
        <v>2600</v>
      </c>
      <c r="I1143" s="3">
        <v>569.04999999999995</v>
      </c>
      <c r="J1143" s="3" t="s">
        <v>11</v>
      </c>
    </row>
    <row r="1144" spans="1:10" x14ac:dyDescent="0.35">
      <c r="A1144" s="3">
        <v>103406304</v>
      </c>
      <c r="B1144" s="3" t="s">
        <v>2601</v>
      </c>
      <c r="C1144" s="3" t="str">
        <f t="shared" si="20"/>
        <v>2022-07-06</v>
      </c>
      <c r="D1144" s="3" t="s">
        <v>9</v>
      </c>
      <c r="E1144" s="3" t="s">
        <v>5</v>
      </c>
      <c r="F1144" s="3" t="s">
        <v>10</v>
      </c>
      <c r="G1144" s="3" t="s">
        <v>2602</v>
      </c>
      <c r="H1144" s="3" t="s">
        <v>2603</v>
      </c>
      <c r="I1144" s="4">
        <v>2991.64</v>
      </c>
      <c r="J1144" s="3" t="s">
        <v>11</v>
      </c>
    </row>
    <row r="1145" spans="1:10" x14ac:dyDescent="0.35">
      <c r="A1145" s="3">
        <v>103406302</v>
      </c>
      <c r="B1145" s="3" t="s">
        <v>2604</v>
      </c>
      <c r="C1145" s="3" t="str">
        <f t="shared" si="20"/>
        <v>2022-07-06</v>
      </c>
      <c r="D1145" s="3" t="s">
        <v>9</v>
      </c>
      <c r="E1145" s="3" t="s">
        <v>5</v>
      </c>
      <c r="F1145" s="3" t="s">
        <v>10</v>
      </c>
      <c r="G1145" s="3" t="s">
        <v>2605</v>
      </c>
      <c r="H1145" s="3" t="s">
        <v>2606</v>
      </c>
      <c r="I1145" s="4">
        <v>2991.55</v>
      </c>
      <c r="J1145" s="3" t="s">
        <v>11</v>
      </c>
    </row>
    <row r="1146" spans="1:10" x14ac:dyDescent="0.35">
      <c r="A1146" s="3">
        <v>103406300</v>
      </c>
      <c r="B1146" s="3" t="s">
        <v>2607</v>
      </c>
      <c r="C1146" s="3" t="str">
        <f t="shared" si="20"/>
        <v>2022-07-06</v>
      </c>
      <c r="D1146" s="3" t="s">
        <v>9</v>
      </c>
      <c r="E1146" s="3" t="s">
        <v>5</v>
      </c>
      <c r="F1146" s="3" t="s">
        <v>10</v>
      </c>
      <c r="G1146" s="3" t="s">
        <v>2608</v>
      </c>
      <c r="H1146" s="3" t="s">
        <v>2609</v>
      </c>
      <c r="I1146" s="4">
        <v>2345.5500000000002</v>
      </c>
      <c r="J1146" s="3" t="s">
        <v>11</v>
      </c>
    </row>
    <row r="1147" spans="1:10" x14ac:dyDescent="0.35">
      <c r="A1147" s="3">
        <v>103406292</v>
      </c>
      <c r="B1147" s="3" t="s">
        <v>2610</v>
      </c>
      <c r="C1147" s="3" t="str">
        <f t="shared" si="20"/>
        <v>2022-07-06</v>
      </c>
      <c r="D1147" s="3" t="s">
        <v>9</v>
      </c>
      <c r="E1147" s="3" t="s">
        <v>5</v>
      </c>
      <c r="F1147" s="3" t="s">
        <v>10</v>
      </c>
      <c r="G1147" s="3" t="s">
        <v>2611</v>
      </c>
      <c r="H1147" s="3" t="s">
        <v>2612</v>
      </c>
      <c r="I1147" s="5">
        <v>2279</v>
      </c>
      <c r="J1147" s="3" t="s">
        <v>11</v>
      </c>
    </row>
    <row r="1148" spans="1:10" x14ac:dyDescent="0.35">
      <c r="A1148" s="3">
        <v>103406291</v>
      </c>
      <c r="B1148" s="3" t="s">
        <v>2613</v>
      </c>
      <c r="C1148" s="3" t="str">
        <f t="shared" si="20"/>
        <v>2022-07-06</v>
      </c>
      <c r="D1148" s="3" t="s">
        <v>9</v>
      </c>
      <c r="E1148" s="3" t="s">
        <v>5</v>
      </c>
      <c r="F1148" s="3" t="s">
        <v>12</v>
      </c>
      <c r="G1148" s="3" t="s">
        <v>2614</v>
      </c>
      <c r="H1148" s="3" t="s">
        <v>2615</v>
      </c>
      <c r="I1148" s="5">
        <v>2818</v>
      </c>
      <c r="J1148" s="3" t="s">
        <v>11</v>
      </c>
    </row>
    <row r="1149" spans="1:10" x14ac:dyDescent="0.35">
      <c r="A1149" s="3">
        <v>103406385</v>
      </c>
      <c r="B1149" s="3" t="s">
        <v>2616</v>
      </c>
      <c r="C1149" s="3" t="str">
        <f t="shared" si="20"/>
        <v>2022-07-06</v>
      </c>
      <c r="D1149" s="3" t="s">
        <v>9</v>
      </c>
      <c r="E1149" s="3" t="s">
        <v>5</v>
      </c>
      <c r="F1149" s="3" t="s">
        <v>12</v>
      </c>
      <c r="G1149" s="3" t="s">
        <v>1988</v>
      </c>
      <c r="H1149" s="3" t="s">
        <v>1989</v>
      </c>
      <c r="I1149" s="5">
        <v>9999</v>
      </c>
      <c r="J1149" s="3" t="s">
        <v>11</v>
      </c>
    </row>
    <row r="1150" spans="1:10" x14ac:dyDescent="0.35">
      <c r="A1150" s="3">
        <v>103406287</v>
      </c>
      <c r="B1150" s="3" t="s">
        <v>2617</v>
      </c>
      <c r="C1150" s="3" t="str">
        <f t="shared" si="20"/>
        <v>2022-07-06</v>
      </c>
      <c r="D1150" s="3" t="s">
        <v>9</v>
      </c>
      <c r="E1150" s="3" t="s">
        <v>5</v>
      </c>
      <c r="F1150" s="3" t="s">
        <v>10</v>
      </c>
      <c r="G1150" s="3" t="s">
        <v>2618</v>
      </c>
      <c r="H1150" s="3" t="s">
        <v>2619</v>
      </c>
      <c r="I1150" s="5">
        <v>4999</v>
      </c>
      <c r="J1150" s="3" t="s">
        <v>11</v>
      </c>
    </row>
    <row r="1151" spans="1:10" x14ac:dyDescent="0.35">
      <c r="A1151" s="3">
        <v>103406282</v>
      </c>
      <c r="B1151" s="3" t="s">
        <v>2620</v>
      </c>
      <c r="C1151" s="3" t="str">
        <f t="shared" si="20"/>
        <v>2022-07-06</v>
      </c>
      <c r="D1151" s="3" t="s">
        <v>9</v>
      </c>
      <c r="E1151" s="3" t="s">
        <v>5</v>
      </c>
      <c r="F1151" s="3" t="s">
        <v>10</v>
      </c>
      <c r="G1151" s="3" t="s">
        <v>2621</v>
      </c>
      <c r="H1151" s="3" t="s">
        <v>2622</v>
      </c>
      <c r="I1151" s="4">
        <v>2136.5500000000002</v>
      </c>
      <c r="J1151" s="3" t="s">
        <v>11</v>
      </c>
    </row>
    <row r="1152" spans="1:10" x14ac:dyDescent="0.35">
      <c r="A1152" s="3">
        <v>103406374</v>
      </c>
      <c r="B1152" s="3" t="s">
        <v>2623</v>
      </c>
      <c r="C1152" s="3" t="str">
        <f t="shared" si="20"/>
        <v>2022-07-06</v>
      </c>
      <c r="D1152" s="3" t="s">
        <v>9</v>
      </c>
      <c r="E1152" s="3" t="s">
        <v>5</v>
      </c>
      <c r="F1152" s="3" t="s">
        <v>10</v>
      </c>
      <c r="G1152" s="3" t="s">
        <v>2624</v>
      </c>
      <c r="H1152" s="3" t="s">
        <v>2625</v>
      </c>
      <c r="I1152" s="3">
        <v>797.05</v>
      </c>
      <c r="J1152" s="3" t="s">
        <v>11</v>
      </c>
    </row>
    <row r="1153" spans="1:10" x14ac:dyDescent="0.35">
      <c r="A1153" s="3">
        <v>103406370</v>
      </c>
      <c r="B1153" s="3" t="s">
        <v>2626</v>
      </c>
      <c r="C1153" s="3" t="str">
        <f t="shared" si="20"/>
        <v>2022-07-06</v>
      </c>
      <c r="D1153" s="3" t="s">
        <v>9</v>
      </c>
      <c r="E1153" s="3" t="s">
        <v>5</v>
      </c>
      <c r="F1153" s="3" t="s">
        <v>12</v>
      </c>
      <c r="G1153" s="3" t="s">
        <v>2627</v>
      </c>
      <c r="H1153" s="3" t="s">
        <v>2628</v>
      </c>
      <c r="I1153" s="4">
        <v>1196.05</v>
      </c>
      <c r="J1153" s="3" t="s">
        <v>11</v>
      </c>
    </row>
    <row r="1154" spans="1:10" x14ac:dyDescent="0.35">
      <c r="A1154" s="3">
        <v>103406366</v>
      </c>
      <c r="B1154" s="3" t="s">
        <v>2629</v>
      </c>
      <c r="C1154" s="3" t="str">
        <f t="shared" si="20"/>
        <v>2022-07-06</v>
      </c>
      <c r="D1154" s="3" t="s">
        <v>9</v>
      </c>
      <c r="E1154" s="3" t="s">
        <v>5</v>
      </c>
      <c r="F1154" s="3" t="s">
        <v>10</v>
      </c>
      <c r="G1154" s="3" t="s">
        <v>2630</v>
      </c>
      <c r="H1154" s="3" t="s">
        <v>2631</v>
      </c>
      <c r="I1154" s="3">
        <v>440.1</v>
      </c>
      <c r="J1154" s="3" t="s">
        <v>11</v>
      </c>
    </row>
    <row r="1155" spans="1:10" x14ac:dyDescent="0.35">
      <c r="A1155" s="3">
        <v>103406274</v>
      </c>
      <c r="B1155" s="3" t="s">
        <v>2632</v>
      </c>
      <c r="C1155" s="3" t="str">
        <f t="shared" ref="C1155:C1218" si="21">LEFT(B1155,FIND("T",B1155)-1)</f>
        <v>2022-07-06</v>
      </c>
      <c r="D1155" s="3" t="s">
        <v>9</v>
      </c>
      <c r="E1155" s="3" t="s">
        <v>5</v>
      </c>
      <c r="F1155" s="3" t="s">
        <v>10</v>
      </c>
      <c r="G1155" s="3" t="s">
        <v>2633</v>
      </c>
      <c r="H1155" s="3" t="s">
        <v>2634</v>
      </c>
      <c r="I1155" s="4">
        <v>2849.05</v>
      </c>
      <c r="J1155" s="3" t="s">
        <v>11</v>
      </c>
    </row>
    <row r="1156" spans="1:10" x14ac:dyDescent="0.35">
      <c r="A1156" s="3">
        <v>103406271</v>
      </c>
      <c r="B1156" s="3" t="s">
        <v>2635</v>
      </c>
      <c r="C1156" s="3" t="str">
        <f t="shared" si="21"/>
        <v>2022-07-06</v>
      </c>
      <c r="D1156" s="3" t="s">
        <v>9</v>
      </c>
      <c r="E1156" s="3" t="s">
        <v>5</v>
      </c>
      <c r="F1156" s="3" t="s">
        <v>10</v>
      </c>
      <c r="G1156" s="3" t="s">
        <v>2636</v>
      </c>
      <c r="H1156" s="3" t="s">
        <v>2637</v>
      </c>
      <c r="I1156" s="3">
        <v>599</v>
      </c>
      <c r="J1156" s="3" t="s">
        <v>11</v>
      </c>
    </row>
    <row r="1157" spans="1:10" x14ac:dyDescent="0.35">
      <c r="A1157" s="3">
        <v>103406269</v>
      </c>
      <c r="B1157" s="3" t="s">
        <v>2638</v>
      </c>
      <c r="C1157" s="3" t="str">
        <f t="shared" si="21"/>
        <v>2022-07-06</v>
      </c>
      <c r="D1157" s="3" t="s">
        <v>9</v>
      </c>
      <c r="E1157" s="3" t="s">
        <v>5</v>
      </c>
      <c r="F1157" s="3" t="s">
        <v>10</v>
      </c>
      <c r="G1157" s="3" t="s">
        <v>2639</v>
      </c>
      <c r="H1157" s="3" t="s">
        <v>2640</v>
      </c>
      <c r="I1157" s="5">
        <v>1599</v>
      </c>
      <c r="J1157" s="3" t="s">
        <v>11</v>
      </c>
    </row>
    <row r="1158" spans="1:10" x14ac:dyDescent="0.35">
      <c r="A1158" s="3">
        <v>103406263</v>
      </c>
      <c r="B1158" s="3" t="s">
        <v>4792</v>
      </c>
      <c r="C1158" s="3" t="str">
        <f t="shared" si="21"/>
        <v>2022-07-06</v>
      </c>
      <c r="D1158" s="3" t="s">
        <v>9</v>
      </c>
      <c r="E1158" s="3" t="s">
        <v>5</v>
      </c>
      <c r="F1158" s="3" t="s">
        <v>10</v>
      </c>
      <c r="G1158" s="3" t="s">
        <v>4793</v>
      </c>
      <c r="H1158" s="3" t="s">
        <v>4794</v>
      </c>
      <c r="I1158" s="4">
        <v>6174.05</v>
      </c>
      <c r="J1158" s="3" t="s">
        <v>13</v>
      </c>
    </row>
    <row r="1159" spans="1:10" x14ac:dyDescent="0.35">
      <c r="A1159" s="3">
        <v>103406267</v>
      </c>
      <c r="B1159" s="3" t="s">
        <v>2641</v>
      </c>
      <c r="C1159" s="3" t="str">
        <f t="shared" si="21"/>
        <v>2022-07-06</v>
      </c>
      <c r="D1159" s="3" t="s">
        <v>9</v>
      </c>
      <c r="E1159" s="3" t="s">
        <v>5</v>
      </c>
      <c r="F1159" s="3" t="s">
        <v>10</v>
      </c>
      <c r="G1159" s="3" t="s">
        <v>2642</v>
      </c>
      <c r="H1159" s="3" t="s">
        <v>2643</v>
      </c>
      <c r="I1159" s="3">
        <v>599</v>
      </c>
      <c r="J1159" s="3" t="s">
        <v>11</v>
      </c>
    </row>
    <row r="1160" spans="1:10" x14ac:dyDescent="0.35">
      <c r="A1160" s="3">
        <v>103406252</v>
      </c>
      <c r="B1160" s="3" t="s">
        <v>2644</v>
      </c>
      <c r="C1160" s="3" t="str">
        <f t="shared" si="21"/>
        <v>2022-07-06</v>
      </c>
      <c r="D1160" s="3" t="s">
        <v>9</v>
      </c>
      <c r="E1160" s="3" t="s">
        <v>5</v>
      </c>
      <c r="F1160" s="3" t="s">
        <v>10</v>
      </c>
      <c r="G1160" s="3" t="s">
        <v>2645</v>
      </c>
      <c r="H1160" s="3" t="s">
        <v>2646</v>
      </c>
      <c r="I1160" s="4">
        <v>6155.14</v>
      </c>
      <c r="J1160" s="3" t="s">
        <v>11</v>
      </c>
    </row>
    <row r="1161" spans="1:10" x14ac:dyDescent="0.35">
      <c r="A1161" s="3">
        <v>103406156</v>
      </c>
      <c r="B1161" s="3" t="s">
        <v>2647</v>
      </c>
      <c r="C1161" s="3" t="str">
        <f t="shared" si="21"/>
        <v>2022-07-06</v>
      </c>
      <c r="D1161" s="3" t="s">
        <v>9</v>
      </c>
      <c r="E1161" s="3" t="s">
        <v>5</v>
      </c>
      <c r="F1161" s="3" t="s">
        <v>10</v>
      </c>
      <c r="G1161" s="3" t="s">
        <v>78</v>
      </c>
      <c r="H1161" s="3" t="s">
        <v>79</v>
      </c>
      <c r="I1161" s="4">
        <v>2506.1</v>
      </c>
      <c r="J1161" s="3" t="s">
        <v>11</v>
      </c>
    </row>
    <row r="1162" spans="1:10" x14ac:dyDescent="0.35">
      <c r="A1162" s="3">
        <v>103406154</v>
      </c>
      <c r="B1162" s="3" t="s">
        <v>2648</v>
      </c>
      <c r="C1162" s="3" t="str">
        <f t="shared" si="21"/>
        <v>2022-07-06</v>
      </c>
      <c r="D1162" s="3" t="s">
        <v>9</v>
      </c>
      <c r="E1162" s="3" t="s">
        <v>5</v>
      </c>
      <c r="F1162" s="3" t="s">
        <v>10</v>
      </c>
      <c r="G1162" s="3" t="s">
        <v>2649</v>
      </c>
      <c r="H1162" s="3" t="s">
        <v>2650</v>
      </c>
      <c r="I1162" s="4">
        <v>2706.6</v>
      </c>
      <c r="J1162" s="3" t="s">
        <v>11</v>
      </c>
    </row>
    <row r="1163" spans="1:10" x14ac:dyDescent="0.35">
      <c r="A1163" s="3">
        <v>103406247</v>
      </c>
      <c r="B1163" s="3" t="s">
        <v>2651</v>
      </c>
      <c r="C1163" s="3" t="str">
        <f t="shared" si="21"/>
        <v>2022-07-06</v>
      </c>
      <c r="D1163" s="3" t="s">
        <v>9</v>
      </c>
      <c r="E1163" s="3" t="s">
        <v>5</v>
      </c>
      <c r="F1163" s="3" t="s">
        <v>10</v>
      </c>
      <c r="G1163" s="3" t="s">
        <v>2652</v>
      </c>
      <c r="H1163" s="3" t="s">
        <v>2653</v>
      </c>
      <c r="I1163" s="4">
        <v>2408.5300000000002</v>
      </c>
      <c r="J1163" s="3" t="s">
        <v>11</v>
      </c>
    </row>
    <row r="1164" spans="1:10" x14ac:dyDescent="0.35">
      <c r="A1164" s="3">
        <v>103406151</v>
      </c>
      <c r="B1164" s="3" t="s">
        <v>2654</v>
      </c>
      <c r="C1164" s="3" t="str">
        <f t="shared" si="21"/>
        <v>2022-07-06</v>
      </c>
      <c r="D1164" s="3" t="s">
        <v>9</v>
      </c>
      <c r="E1164" s="3" t="s">
        <v>5</v>
      </c>
      <c r="F1164" s="3" t="s">
        <v>10</v>
      </c>
      <c r="G1164" s="3" t="s">
        <v>2655</v>
      </c>
      <c r="H1164" s="3" t="s">
        <v>2656</v>
      </c>
      <c r="I1164" s="4">
        <v>2733.15</v>
      </c>
      <c r="J1164" s="3" t="s">
        <v>11</v>
      </c>
    </row>
    <row r="1165" spans="1:10" x14ac:dyDescent="0.35">
      <c r="A1165" s="3">
        <v>103406150</v>
      </c>
      <c r="B1165" s="3" t="s">
        <v>2657</v>
      </c>
      <c r="C1165" s="3" t="str">
        <f t="shared" si="21"/>
        <v>2022-07-06</v>
      </c>
      <c r="D1165" s="3" t="s">
        <v>9</v>
      </c>
      <c r="E1165" s="3" t="s">
        <v>5</v>
      </c>
      <c r="F1165" s="3" t="s">
        <v>10</v>
      </c>
      <c r="G1165" s="3" t="s">
        <v>2658</v>
      </c>
      <c r="H1165" s="3" t="s">
        <v>2659</v>
      </c>
      <c r="I1165" s="4">
        <v>1880.05</v>
      </c>
      <c r="J1165" s="3" t="s">
        <v>11</v>
      </c>
    </row>
    <row r="1166" spans="1:10" x14ac:dyDescent="0.35">
      <c r="A1166" s="3">
        <v>103406246</v>
      </c>
      <c r="B1166" s="3" t="s">
        <v>2660</v>
      </c>
      <c r="C1166" s="3" t="str">
        <f t="shared" si="21"/>
        <v>2022-07-06</v>
      </c>
      <c r="D1166" s="3" t="s">
        <v>9</v>
      </c>
      <c r="E1166" s="3" t="s">
        <v>5</v>
      </c>
      <c r="F1166" s="3" t="s">
        <v>10</v>
      </c>
      <c r="G1166" s="3" t="s">
        <v>2661</v>
      </c>
      <c r="H1166" s="3" t="s">
        <v>2662</v>
      </c>
      <c r="I1166" s="4">
        <v>3609.1</v>
      </c>
      <c r="J1166" s="3" t="s">
        <v>11</v>
      </c>
    </row>
    <row r="1167" spans="1:10" x14ac:dyDescent="0.35">
      <c r="A1167" s="3">
        <v>103406244</v>
      </c>
      <c r="B1167" s="3" t="s">
        <v>2663</v>
      </c>
      <c r="C1167" s="3" t="str">
        <f t="shared" si="21"/>
        <v>2022-07-06</v>
      </c>
      <c r="D1167" s="3" t="s">
        <v>9</v>
      </c>
      <c r="E1167" s="3" t="s">
        <v>5</v>
      </c>
      <c r="F1167" s="3" t="s">
        <v>12</v>
      </c>
      <c r="G1167" s="3" t="s">
        <v>2664</v>
      </c>
      <c r="H1167" s="3" t="s">
        <v>2665</v>
      </c>
      <c r="I1167" s="4">
        <v>3609.1</v>
      </c>
      <c r="J1167" s="3" t="s">
        <v>11</v>
      </c>
    </row>
    <row r="1168" spans="1:10" x14ac:dyDescent="0.35">
      <c r="A1168" s="3">
        <v>103406241</v>
      </c>
      <c r="B1168" s="3" t="s">
        <v>2666</v>
      </c>
      <c r="C1168" s="3" t="str">
        <f t="shared" si="21"/>
        <v>2022-07-06</v>
      </c>
      <c r="D1168" s="3" t="s">
        <v>9</v>
      </c>
      <c r="E1168" s="3" t="s">
        <v>5</v>
      </c>
      <c r="F1168" s="3" t="s">
        <v>10</v>
      </c>
      <c r="G1168" s="3" t="s">
        <v>2667</v>
      </c>
      <c r="H1168" s="3" t="s">
        <v>2668</v>
      </c>
      <c r="I1168" s="5">
        <v>2799</v>
      </c>
      <c r="J1168" s="3" t="s">
        <v>11</v>
      </c>
    </row>
    <row r="1169" spans="1:10" x14ac:dyDescent="0.35">
      <c r="A1169" s="3">
        <v>103406233</v>
      </c>
      <c r="B1169" s="3" t="s">
        <v>2669</v>
      </c>
      <c r="C1169" s="3" t="str">
        <f t="shared" si="21"/>
        <v>2022-07-06</v>
      </c>
      <c r="D1169" s="3" t="s">
        <v>9</v>
      </c>
      <c r="E1169" s="3" t="s">
        <v>5</v>
      </c>
      <c r="F1169" s="3" t="s">
        <v>10</v>
      </c>
      <c r="G1169" s="3" t="s">
        <v>2670</v>
      </c>
      <c r="H1169" s="3" t="s">
        <v>2671</v>
      </c>
      <c r="I1169" s="5">
        <v>2799</v>
      </c>
      <c r="J1169" s="3" t="s">
        <v>11</v>
      </c>
    </row>
    <row r="1170" spans="1:10" x14ac:dyDescent="0.35">
      <c r="A1170" s="3">
        <v>103406231</v>
      </c>
      <c r="B1170" s="3" t="s">
        <v>2672</v>
      </c>
      <c r="C1170" s="3" t="str">
        <f t="shared" si="21"/>
        <v>2022-07-06</v>
      </c>
      <c r="D1170" s="3" t="s">
        <v>9</v>
      </c>
      <c r="E1170" s="3" t="s">
        <v>5</v>
      </c>
      <c r="F1170" s="3" t="s">
        <v>10</v>
      </c>
      <c r="G1170" s="3" t="s">
        <v>2673</v>
      </c>
      <c r="H1170" s="3" t="s">
        <v>2674</v>
      </c>
      <c r="I1170" s="5">
        <v>1999</v>
      </c>
      <c r="J1170" s="3" t="s">
        <v>11</v>
      </c>
    </row>
    <row r="1171" spans="1:10" x14ac:dyDescent="0.35">
      <c r="A1171" s="3">
        <v>103406229</v>
      </c>
      <c r="B1171" s="3" t="s">
        <v>2675</v>
      </c>
      <c r="C1171" s="3" t="str">
        <f t="shared" si="21"/>
        <v>2022-07-06</v>
      </c>
      <c r="D1171" s="3" t="s">
        <v>9</v>
      </c>
      <c r="E1171" s="3" t="s">
        <v>5</v>
      </c>
      <c r="F1171" s="3" t="s">
        <v>10</v>
      </c>
      <c r="G1171" s="3" t="s">
        <v>2676</v>
      </c>
      <c r="H1171" s="3" t="s">
        <v>2677</v>
      </c>
      <c r="I1171" s="4">
        <v>3799.05</v>
      </c>
      <c r="J1171" s="3" t="s">
        <v>11</v>
      </c>
    </row>
    <row r="1172" spans="1:10" x14ac:dyDescent="0.35">
      <c r="A1172" s="3">
        <v>103406142</v>
      </c>
      <c r="B1172" s="3" t="s">
        <v>2678</v>
      </c>
      <c r="C1172" s="3" t="str">
        <f t="shared" si="21"/>
        <v>2022-07-06</v>
      </c>
      <c r="D1172" s="3" t="s">
        <v>9</v>
      </c>
      <c r="E1172" s="3" t="s">
        <v>5</v>
      </c>
      <c r="F1172" s="3" t="s">
        <v>10</v>
      </c>
      <c r="G1172" s="3" t="s">
        <v>2679</v>
      </c>
      <c r="H1172" s="3" t="s">
        <v>2680</v>
      </c>
      <c r="I1172" s="3">
        <v>778.05</v>
      </c>
      <c r="J1172" s="3" t="s">
        <v>11</v>
      </c>
    </row>
    <row r="1173" spans="1:10" x14ac:dyDescent="0.35">
      <c r="A1173" s="3">
        <v>103406141</v>
      </c>
      <c r="B1173" s="3" t="s">
        <v>2681</v>
      </c>
      <c r="C1173" s="3" t="str">
        <f t="shared" si="21"/>
        <v>2022-07-06</v>
      </c>
      <c r="D1173" s="3" t="s">
        <v>9</v>
      </c>
      <c r="E1173" s="3" t="s">
        <v>5</v>
      </c>
      <c r="F1173" s="3" t="s">
        <v>10</v>
      </c>
      <c r="G1173" s="3" t="s">
        <v>2682</v>
      </c>
      <c r="H1173" s="3" t="s">
        <v>2683</v>
      </c>
      <c r="I1173" s="4">
        <v>2841.97</v>
      </c>
      <c r="J1173" s="3" t="s">
        <v>11</v>
      </c>
    </row>
    <row r="1174" spans="1:10" x14ac:dyDescent="0.35">
      <c r="A1174" s="3">
        <v>103406140</v>
      </c>
      <c r="B1174" s="3" t="s">
        <v>2684</v>
      </c>
      <c r="C1174" s="3" t="str">
        <f t="shared" si="21"/>
        <v>2022-07-06</v>
      </c>
      <c r="D1174" s="3" t="s">
        <v>9</v>
      </c>
      <c r="E1174" s="3" t="s">
        <v>5</v>
      </c>
      <c r="F1174" s="3" t="s">
        <v>10</v>
      </c>
      <c r="G1174" s="3" t="s">
        <v>2673</v>
      </c>
      <c r="H1174" s="3" t="s">
        <v>2674</v>
      </c>
      <c r="I1174" s="3">
        <v>269</v>
      </c>
      <c r="J1174" s="3" t="s">
        <v>11</v>
      </c>
    </row>
    <row r="1175" spans="1:10" x14ac:dyDescent="0.35">
      <c r="A1175" s="3">
        <v>103406226</v>
      </c>
      <c r="B1175" s="3" t="s">
        <v>2685</v>
      </c>
      <c r="C1175" s="3" t="str">
        <f t="shared" si="21"/>
        <v>2022-07-06</v>
      </c>
      <c r="D1175" s="3" t="s">
        <v>9</v>
      </c>
      <c r="E1175" s="3" t="s">
        <v>5</v>
      </c>
      <c r="F1175" s="3" t="s">
        <v>10</v>
      </c>
      <c r="G1175" s="3" t="s">
        <v>2686</v>
      </c>
      <c r="H1175" s="3" t="s">
        <v>2687</v>
      </c>
      <c r="I1175" s="4">
        <v>1424.05</v>
      </c>
      <c r="J1175" s="3" t="s">
        <v>11</v>
      </c>
    </row>
    <row r="1176" spans="1:10" x14ac:dyDescent="0.35">
      <c r="A1176" s="3">
        <v>103406138</v>
      </c>
      <c r="B1176" s="3" t="s">
        <v>2688</v>
      </c>
      <c r="C1176" s="3" t="str">
        <f t="shared" si="21"/>
        <v>2022-07-06</v>
      </c>
      <c r="D1176" s="3" t="s">
        <v>9</v>
      </c>
      <c r="E1176" s="3" t="s">
        <v>5</v>
      </c>
      <c r="F1176" s="3" t="s">
        <v>10</v>
      </c>
      <c r="G1176" s="3" t="s">
        <v>2689</v>
      </c>
      <c r="H1176" s="3" t="s">
        <v>2690</v>
      </c>
      <c r="I1176" s="5">
        <v>2999</v>
      </c>
      <c r="J1176" s="3" t="s">
        <v>11</v>
      </c>
    </row>
    <row r="1177" spans="1:10" x14ac:dyDescent="0.35">
      <c r="A1177" s="3">
        <v>103406221</v>
      </c>
      <c r="B1177" s="3" t="s">
        <v>2691</v>
      </c>
      <c r="C1177" s="3" t="str">
        <f t="shared" si="21"/>
        <v>2022-07-06</v>
      </c>
      <c r="D1177" s="3" t="s">
        <v>9</v>
      </c>
      <c r="E1177" s="3" t="s">
        <v>5</v>
      </c>
      <c r="F1177" s="3" t="s">
        <v>10</v>
      </c>
      <c r="G1177" s="3" t="s">
        <v>2692</v>
      </c>
      <c r="H1177" s="3" t="s">
        <v>2693</v>
      </c>
      <c r="I1177" s="5">
        <v>4549</v>
      </c>
      <c r="J1177" s="3" t="s">
        <v>11</v>
      </c>
    </row>
    <row r="1178" spans="1:10" x14ac:dyDescent="0.35">
      <c r="A1178" s="3">
        <v>103406131</v>
      </c>
      <c r="B1178" s="3" t="s">
        <v>2694</v>
      </c>
      <c r="C1178" s="3" t="str">
        <f t="shared" si="21"/>
        <v>2022-07-06</v>
      </c>
      <c r="D1178" s="3" t="s">
        <v>9</v>
      </c>
      <c r="E1178" s="3" t="s">
        <v>5</v>
      </c>
      <c r="F1178" s="3" t="s">
        <v>10</v>
      </c>
      <c r="G1178" s="3" t="s">
        <v>2695</v>
      </c>
      <c r="H1178" s="3" t="s">
        <v>2696</v>
      </c>
      <c r="I1178" s="4">
        <v>2136.5500000000002</v>
      </c>
      <c r="J1178" s="3" t="s">
        <v>11</v>
      </c>
    </row>
    <row r="1179" spans="1:10" x14ac:dyDescent="0.35">
      <c r="A1179" s="3">
        <v>103406214</v>
      </c>
      <c r="B1179" s="3" t="s">
        <v>2697</v>
      </c>
      <c r="C1179" s="3" t="str">
        <f t="shared" si="21"/>
        <v>2022-07-06</v>
      </c>
      <c r="D1179" s="3" t="s">
        <v>9</v>
      </c>
      <c r="E1179" s="3" t="s">
        <v>5</v>
      </c>
      <c r="F1179" s="3" t="s">
        <v>10</v>
      </c>
      <c r="G1179" s="3" t="s">
        <v>2698</v>
      </c>
      <c r="H1179" s="3" t="s">
        <v>2699</v>
      </c>
      <c r="I1179" s="4">
        <v>2029.72</v>
      </c>
      <c r="J1179" s="3" t="s">
        <v>11</v>
      </c>
    </row>
    <row r="1180" spans="1:10" x14ac:dyDescent="0.35">
      <c r="A1180" s="3">
        <v>103406125</v>
      </c>
      <c r="B1180" s="3" t="s">
        <v>2700</v>
      </c>
      <c r="C1180" s="3" t="str">
        <f t="shared" si="21"/>
        <v>2022-07-06</v>
      </c>
      <c r="D1180" s="3" t="s">
        <v>9</v>
      </c>
      <c r="E1180" s="3" t="s">
        <v>5</v>
      </c>
      <c r="F1180" s="3" t="s">
        <v>10</v>
      </c>
      <c r="G1180" s="3" t="s">
        <v>2701</v>
      </c>
      <c r="H1180" s="3" t="s">
        <v>2702</v>
      </c>
      <c r="I1180" s="4">
        <v>1766.19</v>
      </c>
      <c r="J1180" s="3" t="s">
        <v>11</v>
      </c>
    </row>
    <row r="1181" spans="1:10" x14ac:dyDescent="0.35">
      <c r="A1181" s="3">
        <v>103406212</v>
      </c>
      <c r="B1181" s="3" t="s">
        <v>2703</v>
      </c>
      <c r="C1181" s="3" t="str">
        <f t="shared" si="21"/>
        <v>2022-07-06</v>
      </c>
      <c r="D1181" s="3" t="s">
        <v>9</v>
      </c>
      <c r="E1181" s="3" t="s">
        <v>5</v>
      </c>
      <c r="F1181" s="3" t="s">
        <v>10</v>
      </c>
      <c r="G1181" s="3" t="s">
        <v>2704</v>
      </c>
      <c r="H1181" s="3" t="s">
        <v>2705</v>
      </c>
      <c r="I1181" s="4">
        <v>2374.0500000000002</v>
      </c>
      <c r="J1181" s="3" t="s">
        <v>11</v>
      </c>
    </row>
    <row r="1182" spans="1:10" x14ac:dyDescent="0.35">
      <c r="A1182" s="3">
        <v>103406118</v>
      </c>
      <c r="B1182" s="3" t="s">
        <v>2706</v>
      </c>
      <c r="C1182" s="3" t="str">
        <f t="shared" si="21"/>
        <v>2022-07-06</v>
      </c>
      <c r="D1182" s="3" t="s">
        <v>9</v>
      </c>
      <c r="E1182" s="3" t="s">
        <v>5</v>
      </c>
      <c r="F1182" s="3" t="s">
        <v>12</v>
      </c>
      <c r="G1182" s="3" t="s">
        <v>2707</v>
      </c>
      <c r="H1182" s="3" t="s">
        <v>2708</v>
      </c>
      <c r="I1182" s="5">
        <v>1799</v>
      </c>
      <c r="J1182" s="3" t="s">
        <v>11</v>
      </c>
    </row>
    <row r="1183" spans="1:10" x14ac:dyDescent="0.35">
      <c r="A1183" s="3">
        <v>103406203</v>
      </c>
      <c r="B1183" s="3" t="s">
        <v>2709</v>
      </c>
      <c r="C1183" s="3" t="str">
        <f t="shared" si="21"/>
        <v>2022-07-06</v>
      </c>
      <c r="D1183" s="3" t="s">
        <v>9</v>
      </c>
      <c r="E1183" s="3" t="s">
        <v>5</v>
      </c>
      <c r="F1183" s="3" t="s">
        <v>10</v>
      </c>
      <c r="G1183" s="3" t="s">
        <v>2710</v>
      </c>
      <c r="H1183" s="3" t="s">
        <v>2711</v>
      </c>
      <c r="I1183" s="5">
        <v>3299</v>
      </c>
      <c r="J1183" s="3" t="s">
        <v>11</v>
      </c>
    </row>
    <row r="1184" spans="1:10" x14ac:dyDescent="0.35">
      <c r="A1184" s="3">
        <v>103406200</v>
      </c>
      <c r="B1184" s="3" t="s">
        <v>2712</v>
      </c>
      <c r="C1184" s="3" t="str">
        <f t="shared" si="21"/>
        <v>2022-07-06</v>
      </c>
      <c r="D1184" s="3" t="s">
        <v>9</v>
      </c>
      <c r="E1184" s="3" t="s">
        <v>5</v>
      </c>
      <c r="F1184" s="3" t="s">
        <v>10</v>
      </c>
      <c r="G1184" s="3" t="s">
        <v>2713</v>
      </c>
      <c r="H1184" s="3" t="s">
        <v>2714</v>
      </c>
      <c r="I1184" s="4">
        <v>1110.55</v>
      </c>
      <c r="J1184" s="3" t="s">
        <v>11</v>
      </c>
    </row>
    <row r="1185" spans="1:10" x14ac:dyDescent="0.35">
      <c r="A1185" s="3">
        <v>103406196</v>
      </c>
      <c r="B1185" s="3" t="s">
        <v>2715</v>
      </c>
      <c r="C1185" s="3" t="str">
        <f t="shared" si="21"/>
        <v>2022-07-06</v>
      </c>
      <c r="D1185" s="3" t="s">
        <v>9</v>
      </c>
      <c r="E1185" s="3" t="s">
        <v>5</v>
      </c>
      <c r="F1185" s="3" t="s">
        <v>10</v>
      </c>
      <c r="G1185" s="3" t="s">
        <v>2716</v>
      </c>
      <c r="H1185" s="3" t="s">
        <v>2717</v>
      </c>
      <c r="I1185" s="3">
        <v>899</v>
      </c>
      <c r="J1185" s="3" t="s">
        <v>11</v>
      </c>
    </row>
    <row r="1186" spans="1:10" x14ac:dyDescent="0.35">
      <c r="A1186" s="3">
        <v>103406195</v>
      </c>
      <c r="B1186" s="3" t="s">
        <v>2718</v>
      </c>
      <c r="C1186" s="3" t="str">
        <f t="shared" si="21"/>
        <v>2022-07-06</v>
      </c>
      <c r="D1186" s="3" t="s">
        <v>9</v>
      </c>
      <c r="E1186" s="3" t="s">
        <v>5</v>
      </c>
      <c r="F1186" s="3" t="s">
        <v>10</v>
      </c>
      <c r="G1186" s="3" t="s">
        <v>2695</v>
      </c>
      <c r="H1186" s="3" t="s">
        <v>2696</v>
      </c>
      <c r="I1186" s="4">
        <v>3704.05</v>
      </c>
      <c r="J1186" s="3" t="s">
        <v>11</v>
      </c>
    </row>
    <row r="1187" spans="1:10" x14ac:dyDescent="0.35">
      <c r="A1187" s="3">
        <v>103406111</v>
      </c>
      <c r="B1187" s="3" t="s">
        <v>2719</v>
      </c>
      <c r="C1187" s="3" t="str">
        <f t="shared" si="21"/>
        <v>2022-07-06</v>
      </c>
      <c r="D1187" s="3" t="s">
        <v>9</v>
      </c>
      <c r="E1187" s="3" t="s">
        <v>5</v>
      </c>
      <c r="F1187" s="3" t="s">
        <v>10</v>
      </c>
      <c r="G1187" s="3" t="s">
        <v>2720</v>
      </c>
      <c r="H1187" s="3" t="s">
        <v>2721</v>
      </c>
      <c r="I1187" s="3">
        <v>854.05</v>
      </c>
      <c r="J1187" s="3" t="s">
        <v>11</v>
      </c>
    </row>
    <row r="1188" spans="1:10" x14ac:dyDescent="0.35">
      <c r="A1188" s="3">
        <v>103406192</v>
      </c>
      <c r="B1188" s="3" t="s">
        <v>2722</v>
      </c>
      <c r="C1188" s="3" t="str">
        <f t="shared" si="21"/>
        <v>2022-07-06</v>
      </c>
      <c r="D1188" s="3" t="s">
        <v>9</v>
      </c>
      <c r="E1188" s="3" t="s">
        <v>5</v>
      </c>
      <c r="F1188" s="3" t="s">
        <v>10</v>
      </c>
      <c r="G1188" s="3" t="s">
        <v>2723</v>
      </c>
      <c r="H1188" s="3" t="s">
        <v>2724</v>
      </c>
      <c r="I1188" s="4">
        <v>1416.02</v>
      </c>
      <c r="J1188" s="3" t="s">
        <v>11</v>
      </c>
    </row>
    <row r="1189" spans="1:10" x14ac:dyDescent="0.35">
      <c r="A1189" s="3">
        <v>103406189</v>
      </c>
      <c r="B1189" s="3" t="s">
        <v>2725</v>
      </c>
      <c r="C1189" s="3" t="str">
        <f t="shared" si="21"/>
        <v>2022-07-06</v>
      </c>
      <c r="D1189" s="3" t="s">
        <v>9</v>
      </c>
      <c r="E1189" s="3" t="s">
        <v>5</v>
      </c>
      <c r="F1189" s="3" t="s">
        <v>10</v>
      </c>
      <c r="G1189" s="3" t="s">
        <v>2726</v>
      </c>
      <c r="H1189" s="3" t="s">
        <v>2727</v>
      </c>
      <c r="I1189" s="3">
        <v>996.55</v>
      </c>
      <c r="J1189" s="3" t="s">
        <v>11</v>
      </c>
    </row>
    <row r="1190" spans="1:10" x14ac:dyDescent="0.35">
      <c r="A1190" s="3">
        <v>103406105</v>
      </c>
      <c r="B1190" s="3" t="s">
        <v>2728</v>
      </c>
      <c r="C1190" s="3" t="str">
        <f t="shared" si="21"/>
        <v>2022-07-06</v>
      </c>
      <c r="D1190" s="3" t="s">
        <v>9</v>
      </c>
      <c r="E1190" s="3" t="s">
        <v>5</v>
      </c>
      <c r="F1190" s="3" t="s">
        <v>10</v>
      </c>
      <c r="G1190" s="3" t="s">
        <v>2729</v>
      </c>
      <c r="H1190" s="3" t="s">
        <v>2730</v>
      </c>
      <c r="I1190" s="4">
        <v>3134.05</v>
      </c>
      <c r="J1190" s="3" t="s">
        <v>11</v>
      </c>
    </row>
    <row r="1191" spans="1:10" x14ac:dyDescent="0.35">
      <c r="A1191" s="3">
        <v>103406102</v>
      </c>
      <c r="B1191" s="3" t="s">
        <v>2731</v>
      </c>
      <c r="C1191" s="3" t="str">
        <f t="shared" si="21"/>
        <v>2022-07-06</v>
      </c>
      <c r="D1191" s="3" t="s">
        <v>9</v>
      </c>
      <c r="E1191" s="3" t="s">
        <v>5</v>
      </c>
      <c r="F1191" s="3" t="s">
        <v>10</v>
      </c>
      <c r="G1191" s="3" t="s">
        <v>2732</v>
      </c>
      <c r="H1191" s="3" t="s">
        <v>2733</v>
      </c>
      <c r="I1191" s="4">
        <v>1451.22</v>
      </c>
      <c r="J1191" s="3" t="s">
        <v>11</v>
      </c>
    </row>
    <row r="1192" spans="1:10" x14ac:dyDescent="0.35">
      <c r="A1192" s="3">
        <v>103406183</v>
      </c>
      <c r="B1192" s="3" t="s">
        <v>2734</v>
      </c>
      <c r="C1192" s="3" t="str">
        <f t="shared" si="21"/>
        <v>2022-07-06</v>
      </c>
      <c r="D1192" s="3" t="s">
        <v>9</v>
      </c>
      <c r="E1192" s="3" t="s">
        <v>5</v>
      </c>
      <c r="F1192" s="3" t="s">
        <v>10</v>
      </c>
      <c r="G1192" s="3" t="s">
        <v>2735</v>
      </c>
      <c r="H1192" s="3" t="s">
        <v>2736</v>
      </c>
      <c r="I1192" s="5">
        <v>1869</v>
      </c>
      <c r="J1192" s="3" t="s">
        <v>11</v>
      </c>
    </row>
    <row r="1193" spans="1:10" x14ac:dyDescent="0.35">
      <c r="A1193" s="3">
        <v>103406182</v>
      </c>
      <c r="B1193" s="3" t="s">
        <v>2737</v>
      </c>
      <c r="C1193" s="3" t="str">
        <f t="shared" si="21"/>
        <v>2022-07-06</v>
      </c>
      <c r="D1193" s="3" t="s">
        <v>9</v>
      </c>
      <c r="E1193" s="3" t="s">
        <v>5</v>
      </c>
      <c r="F1193" s="3" t="s">
        <v>10</v>
      </c>
      <c r="G1193" s="3" t="s">
        <v>2738</v>
      </c>
      <c r="H1193" s="3" t="s">
        <v>2739</v>
      </c>
      <c r="I1193" s="5">
        <v>1349</v>
      </c>
      <c r="J1193" s="3" t="s">
        <v>11</v>
      </c>
    </row>
    <row r="1194" spans="1:10" x14ac:dyDescent="0.35">
      <c r="A1194" s="3">
        <v>103406095</v>
      </c>
      <c r="B1194" s="3" t="s">
        <v>2740</v>
      </c>
      <c r="C1194" s="3" t="str">
        <f t="shared" si="21"/>
        <v>2022-07-06</v>
      </c>
      <c r="D1194" s="3" t="s">
        <v>9</v>
      </c>
      <c r="E1194" s="3" t="s">
        <v>5</v>
      </c>
      <c r="F1194" s="3" t="s">
        <v>10</v>
      </c>
      <c r="G1194" s="3" t="s">
        <v>2741</v>
      </c>
      <c r="H1194" s="3" t="s">
        <v>2742</v>
      </c>
      <c r="I1194" s="3">
        <v>499</v>
      </c>
      <c r="J1194" s="3" t="s">
        <v>11</v>
      </c>
    </row>
    <row r="1195" spans="1:10" x14ac:dyDescent="0.35">
      <c r="A1195" s="3">
        <v>103406094</v>
      </c>
      <c r="B1195" s="3" t="s">
        <v>2743</v>
      </c>
      <c r="C1195" s="3" t="str">
        <f t="shared" si="21"/>
        <v>2022-07-06</v>
      </c>
      <c r="D1195" s="3" t="s">
        <v>9</v>
      </c>
      <c r="E1195" s="3" t="s">
        <v>5</v>
      </c>
      <c r="F1195" s="3" t="s">
        <v>10</v>
      </c>
      <c r="G1195" s="3" t="s">
        <v>2300</v>
      </c>
      <c r="H1195" s="3" t="s">
        <v>2301</v>
      </c>
      <c r="I1195" s="4">
        <v>2474.25</v>
      </c>
      <c r="J1195" s="3" t="s">
        <v>11</v>
      </c>
    </row>
    <row r="1196" spans="1:10" x14ac:dyDescent="0.35">
      <c r="A1196" s="3">
        <v>103406175</v>
      </c>
      <c r="B1196" s="3" t="s">
        <v>2744</v>
      </c>
      <c r="C1196" s="3" t="str">
        <f t="shared" si="21"/>
        <v>2022-07-06</v>
      </c>
      <c r="D1196" s="3" t="s">
        <v>9</v>
      </c>
      <c r="E1196" s="3" t="s">
        <v>5</v>
      </c>
      <c r="F1196" s="3" t="s">
        <v>10</v>
      </c>
      <c r="G1196" s="3" t="s">
        <v>2745</v>
      </c>
      <c r="H1196" s="3" t="s">
        <v>2746</v>
      </c>
      <c r="I1196" s="4">
        <v>2480.9699999999998</v>
      </c>
      <c r="J1196" s="3" t="s">
        <v>11</v>
      </c>
    </row>
    <row r="1197" spans="1:10" x14ac:dyDescent="0.35">
      <c r="A1197" s="3">
        <v>103406089</v>
      </c>
      <c r="B1197" s="3" t="s">
        <v>2747</v>
      </c>
      <c r="C1197" s="3" t="str">
        <f t="shared" si="21"/>
        <v>2022-07-06</v>
      </c>
      <c r="D1197" s="3" t="s">
        <v>9</v>
      </c>
      <c r="E1197" s="3" t="s">
        <v>5</v>
      </c>
      <c r="F1197" s="3" t="s">
        <v>12</v>
      </c>
      <c r="G1197" s="3" t="s">
        <v>2748</v>
      </c>
      <c r="H1197" s="3" t="s">
        <v>2749</v>
      </c>
      <c r="I1197" s="4">
        <v>2659.05</v>
      </c>
      <c r="J1197" s="3" t="s">
        <v>11</v>
      </c>
    </row>
    <row r="1198" spans="1:10" x14ac:dyDescent="0.35">
      <c r="A1198" s="3">
        <v>103406170</v>
      </c>
      <c r="B1198" s="3" t="s">
        <v>2750</v>
      </c>
      <c r="C1198" s="3" t="str">
        <f t="shared" si="21"/>
        <v>2022-07-06</v>
      </c>
      <c r="D1198" s="3" t="s">
        <v>9</v>
      </c>
      <c r="E1198" s="3" t="s">
        <v>5</v>
      </c>
      <c r="F1198" s="3" t="s">
        <v>10</v>
      </c>
      <c r="G1198" s="3" t="s">
        <v>2751</v>
      </c>
      <c r="H1198" s="3" t="s">
        <v>2752</v>
      </c>
      <c r="I1198" s="4">
        <v>1983.6</v>
      </c>
      <c r="J1198" s="3" t="s">
        <v>11</v>
      </c>
    </row>
    <row r="1199" spans="1:10" x14ac:dyDescent="0.35">
      <c r="A1199" s="3">
        <v>103406085</v>
      </c>
      <c r="B1199" s="3" t="s">
        <v>2753</v>
      </c>
      <c r="C1199" s="3" t="str">
        <f t="shared" si="21"/>
        <v>2022-07-06</v>
      </c>
      <c r="D1199" s="3" t="s">
        <v>9</v>
      </c>
      <c r="E1199" s="3" t="s">
        <v>5</v>
      </c>
      <c r="F1199" s="3" t="s">
        <v>10</v>
      </c>
      <c r="G1199" s="3" t="s">
        <v>2754</v>
      </c>
      <c r="H1199" s="3" t="s">
        <v>2755</v>
      </c>
      <c r="I1199" s="5">
        <v>1199</v>
      </c>
      <c r="J1199" s="3" t="s">
        <v>11</v>
      </c>
    </row>
    <row r="1200" spans="1:10" x14ac:dyDescent="0.35">
      <c r="A1200" s="3">
        <v>103406167</v>
      </c>
      <c r="B1200" s="3" t="s">
        <v>2756</v>
      </c>
      <c r="C1200" s="3" t="str">
        <f t="shared" si="21"/>
        <v>2022-07-06</v>
      </c>
      <c r="D1200" s="3" t="s">
        <v>9</v>
      </c>
      <c r="E1200" s="3" t="s">
        <v>5</v>
      </c>
      <c r="F1200" s="3" t="s">
        <v>10</v>
      </c>
      <c r="G1200" s="3" t="s">
        <v>2757</v>
      </c>
      <c r="H1200" s="3" t="s">
        <v>2758</v>
      </c>
      <c r="I1200" s="3">
        <v>439</v>
      </c>
      <c r="J1200" s="3" t="s">
        <v>11</v>
      </c>
    </row>
    <row r="1201" spans="1:10" x14ac:dyDescent="0.35">
      <c r="A1201" s="3">
        <v>103406166</v>
      </c>
      <c r="B1201" s="3" t="s">
        <v>2759</v>
      </c>
      <c r="C1201" s="3" t="str">
        <f t="shared" si="21"/>
        <v>2022-07-06</v>
      </c>
      <c r="D1201" s="3" t="s">
        <v>9</v>
      </c>
      <c r="E1201" s="3" t="s">
        <v>5</v>
      </c>
      <c r="F1201" s="3" t="s">
        <v>10</v>
      </c>
      <c r="G1201" s="3" t="s">
        <v>2760</v>
      </c>
      <c r="H1201" s="3" t="s">
        <v>2761</v>
      </c>
      <c r="I1201" s="4">
        <v>5984.05</v>
      </c>
      <c r="J1201" s="3" t="s">
        <v>11</v>
      </c>
    </row>
    <row r="1202" spans="1:10" x14ac:dyDescent="0.35">
      <c r="A1202" s="3">
        <v>103406079</v>
      </c>
      <c r="B1202" s="3" t="s">
        <v>2762</v>
      </c>
      <c r="C1202" s="3" t="str">
        <f t="shared" si="21"/>
        <v>2022-07-06</v>
      </c>
      <c r="D1202" s="3" t="s">
        <v>9</v>
      </c>
      <c r="E1202" s="3" t="s">
        <v>5</v>
      </c>
      <c r="F1202" s="3" t="s">
        <v>12</v>
      </c>
      <c r="G1202" s="3" t="s">
        <v>2763</v>
      </c>
      <c r="H1202" s="3" t="s">
        <v>2764</v>
      </c>
      <c r="I1202" s="4">
        <v>3290.89</v>
      </c>
      <c r="J1202" s="3" t="s">
        <v>11</v>
      </c>
    </row>
    <row r="1203" spans="1:10" x14ac:dyDescent="0.35">
      <c r="A1203" s="3">
        <v>103405964</v>
      </c>
      <c r="B1203" s="3" t="s">
        <v>2765</v>
      </c>
      <c r="C1203" s="3" t="str">
        <f t="shared" si="21"/>
        <v>2022-07-06</v>
      </c>
      <c r="D1203" s="3" t="s">
        <v>9</v>
      </c>
      <c r="E1203" s="3" t="s">
        <v>5</v>
      </c>
      <c r="F1203" s="3" t="s">
        <v>10</v>
      </c>
      <c r="G1203" s="3" t="s">
        <v>2766</v>
      </c>
      <c r="H1203" s="3" t="s">
        <v>2767</v>
      </c>
      <c r="I1203" s="3">
        <v>920.55</v>
      </c>
      <c r="J1203" s="3" t="s">
        <v>11</v>
      </c>
    </row>
    <row r="1204" spans="1:10" x14ac:dyDescent="0.35">
      <c r="A1204" s="3">
        <v>103405963</v>
      </c>
      <c r="B1204" s="3" t="s">
        <v>2768</v>
      </c>
      <c r="C1204" s="3" t="str">
        <f t="shared" si="21"/>
        <v>2022-07-06</v>
      </c>
      <c r="D1204" s="3" t="s">
        <v>9</v>
      </c>
      <c r="E1204" s="3" t="s">
        <v>5</v>
      </c>
      <c r="F1204" s="3" t="s">
        <v>10</v>
      </c>
      <c r="G1204" s="3" t="s">
        <v>2735</v>
      </c>
      <c r="H1204" s="3" t="s">
        <v>2736</v>
      </c>
      <c r="I1204" s="5">
        <v>1869</v>
      </c>
      <c r="J1204" s="3" t="s">
        <v>11</v>
      </c>
    </row>
    <row r="1205" spans="1:10" x14ac:dyDescent="0.35">
      <c r="A1205" s="3">
        <v>103406077</v>
      </c>
      <c r="B1205" s="3" t="s">
        <v>2769</v>
      </c>
      <c r="C1205" s="3" t="str">
        <f t="shared" si="21"/>
        <v>2022-07-06</v>
      </c>
      <c r="D1205" s="3" t="s">
        <v>9</v>
      </c>
      <c r="E1205" s="3" t="s">
        <v>5</v>
      </c>
      <c r="F1205" s="3" t="s">
        <v>10</v>
      </c>
      <c r="G1205" s="3" t="s">
        <v>2723</v>
      </c>
      <c r="H1205" s="3" t="s">
        <v>2724</v>
      </c>
      <c r="I1205" s="4">
        <v>4101.43</v>
      </c>
      <c r="J1205" s="3" t="s">
        <v>11</v>
      </c>
    </row>
    <row r="1206" spans="1:10" x14ac:dyDescent="0.35">
      <c r="A1206" s="3">
        <v>103406071</v>
      </c>
      <c r="B1206" s="3" t="s">
        <v>2770</v>
      </c>
      <c r="C1206" s="3" t="str">
        <f t="shared" si="21"/>
        <v>2022-07-06</v>
      </c>
      <c r="D1206" s="3" t="s">
        <v>9</v>
      </c>
      <c r="E1206" s="3" t="s">
        <v>5</v>
      </c>
      <c r="F1206" s="3" t="s">
        <v>10</v>
      </c>
      <c r="G1206" s="3" t="s">
        <v>1469</v>
      </c>
      <c r="H1206" s="3" t="s">
        <v>1470</v>
      </c>
      <c r="I1206" s="4">
        <v>1880.14</v>
      </c>
      <c r="J1206" s="3" t="s">
        <v>11</v>
      </c>
    </row>
    <row r="1207" spans="1:10" x14ac:dyDescent="0.35">
      <c r="A1207" s="3">
        <v>103406070</v>
      </c>
      <c r="B1207" s="3" t="s">
        <v>2771</v>
      </c>
      <c r="C1207" s="3" t="str">
        <f t="shared" si="21"/>
        <v>2022-07-06</v>
      </c>
      <c r="D1207" s="3" t="s">
        <v>9</v>
      </c>
      <c r="E1207" s="3" t="s">
        <v>5</v>
      </c>
      <c r="F1207" s="3" t="s">
        <v>10</v>
      </c>
      <c r="G1207" s="3" t="s">
        <v>2300</v>
      </c>
      <c r="H1207" s="3" t="s">
        <v>2301</v>
      </c>
      <c r="I1207" s="4">
        <v>12156.9</v>
      </c>
      <c r="J1207" s="3" t="s">
        <v>11</v>
      </c>
    </row>
    <row r="1208" spans="1:10" x14ac:dyDescent="0.35">
      <c r="A1208" s="3">
        <v>103406067</v>
      </c>
      <c r="B1208" s="3" t="s">
        <v>2772</v>
      </c>
      <c r="C1208" s="3" t="str">
        <f t="shared" si="21"/>
        <v>2022-07-06</v>
      </c>
      <c r="D1208" s="3" t="s">
        <v>9</v>
      </c>
      <c r="E1208" s="3" t="s">
        <v>5</v>
      </c>
      <c r="F1208" s="3" t="s">
        <v>10</v>
      </c>
      <c r="G1208" s="3" t="s">
        <v>2773</v>
      </c>
      <c r="H1208" s="3" t="s">
        <v>2774</v>
      </c>
      <c r="I1208" s="4">
        <v>1281.55</v>
      </c>
      <c r="J1208" s="3" t="s">
        <v>11</v>
      </c>
    </row>
    <row r="1209" spans="1:10" x14ac:dyDescent="0.35">
      <c r="A1209" s="3">
        <v>103406063</v>
      </c>
      <c r="B1209" s="3" t="s">
        <v>2775</v>
      </c>
      <c r="C1209" s="3" t="str">
        <f t="shared" si="21"/>
        <v>2022-07-06</v>
      </c>
      <c r="D1209" s="3" t="s">
        <v>9</v>
      </c>
      <c r="E1209" s="3" t="s">
        <v>5</v>
      </c>
      <c r="F1209" s="3" t="s">
        <v>10</v>
      </c>
      <c r="G1209" s="3" t="s">
        <v>2776</v>
      </c>
      <c r="H1209" s="3" t="s">
        <v>2777</v>
      </c>
      <c r="I1209" s="5">
        <v>3599</v>
      </c>
      <c r="J1209" s="3" t="s">
        <v>11</v>
      </c>
    </row>
    <row r="1210" spans="1:10" x14ac:dyDescent="0.35">
      <c r="A1210" s="3">
        <v>103406062</v>
      </c>
      <c r="B1210" s="3" t="s">
        <v>2778</v>
      </c>
      <c r="C1210" s="3" t="str">
        <f t="shared" si="21"/>
        <v>2022-07-06</v>
      </c>
      <c r="D1210" s="3" t="s">
        <v>9</v>
      </c>
      <c r="E1210" s="3" t="s">
        <v>5</v>
      </c>
      <c r="F1210" s="3" t="s">
        <v>10</v>
      </c>
      <c r="G1210" s="3" t="s">
        <v>2779</v>
      </c>
      <c r="H1210" s="3" t="s">
        <v>2780</v>
      </c>
      <c r="I1210" s="4">
        <v>1994.05</v>
      </c>
      <c r="J1210" s="3" t="s">
        <v>11</v>
      </c>
    </row>
    <row r="1211" spans="1:10" x14ac:dyDescent="0.35">
      <c r="A1211" s="3">
        <v>103405945</v>
      </c>
      <c r="B1211" s="3" t="s">
        <v>2781</v>
      </c>
      <c r="C1211" s="3" t="str">
        <f t="shared" si="21"/>
        <v>2022-07-06</v>
      </c>
      <c r="D1211" s="3" t="s">
        <v>9</v>
      </c>
      <c r="E1211" s="3" t="s">
        <v>5</v>
      </c>
      <c r="F1211" s="3" t="s">
        <v>10</v>
      </c>
      <c r="G1211" s="3" t="s">
        <v>2782</v>
      </c>
      <c r="H1211" s="3" t="s">
        <v>2783</v>
      </c>
      <c r="I1211" s="3">
        <v>350.55</v>
      </c>
      <c r="J1211" s="3" t="s">
        <v>11</v>
      </c>
    </row>
    <row r="1212" spans="1:10" x14ac:dyDescent="0.35">
      <c r="A1212" s="3">
        <v>103406055</v>
      </c>
      <c r="B1212" s="3" t="s">
        <v>2784</v>
      </c>
      <c r="C1212" s="3" t="str">
        <f t="shared" si="21"/>
        <v>2022-07-06</v>
      </c>
      <c r="D1212" s="3" t="s">
        <v>9</v>
      </c>
      <c r="E1212" s="3" t="s">
        <v>5</v>
      </c>
      <c r="F1212" s="3" t="s">
        <v>10</v>
      </c>
      <c r="G1212" s="3" t="s">
        <v>2785</v>
      </c>
      <c r="H1212" s="3" t="s">
        <v>2786</v>
      </c>
      <c r="I1212" s="4">
        <v>1310.05</v>
      </c>
      <c r="J1212" s="3" t="s">
        <v>11</v>
      </c>
    </row>
    <row r="1213" spans="1:10" x14ac:dyDescent="0.35">
      <c r="A1213" s="3">
        <v>103406053</v>
      </c>
      <c r="B1213" s="3" t="s">
        <v>2787</v>
      </c>
      <c r="C1213" s="3" t="str">
        <f t="shared" si="21"/>
        <v>2022-07-06</v>
      </c>
      <c r="D1213" s="3" t="s">
        <v>9</v>
      </c>
      <c r="E1213" s="3" t="s">
        <v>5</v>
      </c>
      <c r="F1213" s="3" t="s">
        <v>10</v>
      </c>
      <c r="G1213" s="3" t="s">
        <v>2788</v>
      </c>
      <c r="H1213" s="3" t="s">
        <v>2789</v>
      </c>
      <c r="I1213" s="5">
        <v>1479</v>
      </c>
      <c r="J1213" s="3" t="s">
        <v>11</v>
      </c>
    </row>
    <row r="1214" spans="1:10" x14ac:dyDescent="0.35">
      <c r="A1214" s="3">
        <v>103405941</v>
      </c>
      <c r="B1214" s="3" t="s">
        <v>2790</v>
      </c>
      <c r="C1214" s="3" t="str">
        <f t="shared" si="21"/>
        <v>2022-07-06</v>
      </c>
      <c r="D1214" s="3" t="s">
        <v>9</v>
      </c>
      <c r="E1214" s="3" t="s">
        <v>5</v>
      </c>
      <c r="F1214" s="3" t="s">
        <v>10</v>
      </c>
      <c r="G1214" s="3" t="s">
        <v>2791</v>
      </c>
      <c r="H1214" s="3" t="s">
        <v>2792</v>
      </c>
      <c r="I1214" s="3">
        <v>569.04999999999995</v>
      </c>
      <c r="J1214" s="3" t="s">
        <v>11</v>
      </c>
    </row>
    <row r="1215" spans="1:10" x14ac:dyDescent="0.35">
      <c r="A1215" s="3">
        <v>103406049</v>
      </c>
      <c r="B1215" s="3" t="s">
        <v>2793</v>
      </c>
      <c r="C1215" s="3" t="str">
        <f t="shared" si="21"/>
        <v>2022-07-06</v>
      </c>
      <c r="D1215" s="3" t="s">
        <v>9</v>
      </c>
      <c r="E1215" s="3" t="s">
        <v>5</v>
      </c>
      <c r="F1215" s="3" t="s">
        <v>10</v>
      </c>
      <c r="G1215" s="3" t="s">
        <v>2794</v>
      </c>
      <c r="H1215" s="3" t="s">
        <v>2795</v>
      </c>
      <c r="I1215" s="3">
        <v>768.55</v>
      </c>
      <c r="J1215" s="3" t="s">
        <v>11</v>
      </c>
    </row>
    <row r="1216" spans="1:10" x14ac:dyDescent="0.35">
      <c r="A1216" s="3">
        <v>103406047</v>
      </c>
      <c r="B1216" s="3" t="s">
        <v>2796</v>
      </c>
      <c r="C1216" s="3" t="str">
        <f t="shared" si="21"/>
        <v>2022-07-06</v>
      </c>
      <c r="D1216" s="3" t="s">
        <v>9</v>
      </c>
      <c r="E1216" s="3" t="s">
        <v>5</v>
      </c>
      <c r="F1216" s="3" t="s">
        <v>10</v>
      </c>
      <c r="G1216" s="3" t="s">
        <v>2797</v>
      </c>
      <c r="H1216" s="3" t="s">
        <v>2798</v>
      </c>
      <c r="I1216" s="3">
        <v>811.35</v>
      </c>
      <c r="J1216" s="3" t="s">
        <v>11</v>
      </c>
    </row>
    <row r="1217" spans="1:10" x14ac:dyDescent="0.35">
      <c r="A1217" s="3">
        <v>103406046</v>
      </c>
      <c r="B1217" s="3" t="s">
        <v>2799</v>
      </c>
      <c r="C1217" s="3" t="str">
        <f t="shared" si="21"/>
        <v>2022-07-06</v>
      </c>
      <c r="D1217" s="3" t="s">
        <v>9</v>
      </c>
      <c r="E1217" s="3" t="s">
        <v>5</v>
      </c>
      <c r="F1217" s="3" t="s">
        <v>12</v>
      </c>
      <c r="G1217" s="3" t="s">
        <v>2800</v>
      </c>
      <c r="H1217" s="3" t="s">
        <v>2801</v>
      </c>
      <c r="I1217" s="5">
        <v>1619</v>
      </c>
      <c r="J1217" s="3" t="s">
        <v>11</v>
      </c>
    </row>
    <row r="1218" spans="1:10" x14ac:dyDescent="0.35">
      <c r="A1218" s="3">
        <v>103406044</v>
      </c>
      <c r="B1218" s="3" t="s">
        <v>2802</v>
      </c>
      <c r="C1218" s="3" t="str">
        <f t="shared" si="21"/>
        <v>2022-07-06</v>
      </c>
      <c r="D1218" s="3" t="s">
        <v>9</v>
      </c>
      <c r="E1218" s="3" t="s">
        <v>5</v>
      </c>
      <c r="F1218" s="3" t="s">
        <v>10</v>
      </c>
      <c r="G1218" s="3" t="s">
        <v>2803</v>
      </c>
      <c r="H1218" s="3" t="s">
        <v>2804</v>
      </c>
      <c r="I1218" s="3">
        <v>768.55</v>
      </c>
      <c r="J1218" s="3" t="s">
        <v>11</v>
      </c>
    </row>
    <row r="1219" spans="1:10" x14ac:dyDescent="0.35">
      <c r="A1219" s="3">
        <v>103405932</v>
      </c>
      <c r="B1219" s="3" t="s">
        <v>2805</v>
      </c>
      <c r="C1219" s="3" t="str">
        <f t="shared" ref="C1219:C1282" si="22">LEFT(B1219,FIND("T",B1219)-1)</f>
        <v>2022-07-06</v>
      </c>
      <c r="D1219" s="3" t="s">
        <v>9</v>
      </c>
      <c r="E1219" s="3" t="s">
        <v>5</v>
      </c>
      <c r="F1219" s="3" t="s">
        <v>12</v>
      </c>
      <c r="G1219" s="3" t="s">
        <v>2806</v>
      </c>
      <c r="H1219" s="3" t="s">
        <v>2807</v>
      </c>
      <c r="I1219" s="4">
        <v>3509.1</v>
      </c>
      <c r="J1219" s="3" t="s">
        <v>11</v>
      </c>
    </row>
    <row r="1220" spans="1:10" x14ac:dyDescent="0.35">
      <c r="A1220" s="3">
        <v>103405931</v>
      </c>
      <c r="B1220" s="3" t="s">
        <v>2808</v>
      </c>
      <c r="C1220" s="3" t="str">
        <f t="shared" si="22"/>
        <v>2022-07-06</v>
      </c>
      <c r="D1220" s="3" t="s">
        <v>9</v>
      </c>
      <c r="E1220" s="3" t="s">
        <v>5</v>
      </c>
      <c r="F1220" s="3" t="s">
        <v>10</v>
      </c>
      <c r="G1220" s="3" t="s">
        <v>2809</v>
      </c>
      <c r="H1220" s="3" t="s">
        <v>2810</v>
      </c>
      <c r="I1220" s="4">
        <v>2753.1</v>
      </c>
      <c r="J1220" s="3" t="s">
        <v>11</v>
      </c>
    </row>
    <row r="1221" spans="1:10" x14ac:dyDescent="0.35">
      <c r="A1221" s="3">
        <v>103405929</v>
      </c>
      <c r="B1221" s="3" t="s">
        <v>2811</v>
      </c>
      <c r="C1221" s="3" t="str">
        <f t="shared" si="22"/>
        <v>2022-07-06</v>
      </c>
      <c r="D1221" s="3" t="s">
        <v>9</v>
      </c>
      <c r="E1221" s="3" t="s">
        <v>5</v>
      </c>
      <c r="F1221" s="3" t="s">
        <v>12</v>
      </c>
      <c r="G1221" s="3" t="s">
        <v>2812</v>
      </c>
      <c r="H1221" s="3" t="s">
        <v>2813</v>
      </c>
      <c r="I1221" s="5">
        <v>4549</v>
      </c>
      <c r="J1221" s="3" t="s">
        <v>11</v>
      </c>
    </row>
    <row r="1222" spans="1:10" x14ac:dyDescent="0.35">
      <c r="A1222" s="3">
        <v>103405926</v>
      </c>
      <c r="B1222" s="3" t="s">
        <v>2814</v>
      </c>
      <c r="C1222" s="3" t="str">
        <f t="shared" si="22"/>
        <v>2022-07-06</v>
      </c>
      <c r="D1222" s="3" t="s">
        <v>9</v>
      </c>
      <c r="E1222" s="3" t="s">
        <v>5</v>
      </c>
      <c r="F1222" s="3" t="s">
        <v>10</v>
      </c>
      <c r="G1222" s="3" t="s">
        <v>2815</v>
      </c>
      <c r="H1222" s="3" t="s">
        <v>2816</v>
      </c>
      <c r="I1222" s="3">
        <v>779</v>
      </c>
      <c r="J1222" s="3" t="s">
        <v>11</v>
      </c>
    </row>
    <row r="1223" spans="1:10" x14ac:dyDescent="0.35">
      <c r="A1223" s="3">
        <v>103405925</v>
      </c>
      <c r="B1223" s="3" t="s">
        <v>2817</v>
      </c>
      <c r="C1223" s="3" t="str">
        <f t="shared" si="22"/>
        <v>2022-07-06</v>
      </c>
      <c r="D1223" s="3" t="s">
        <v>9</v>
      </c>
      <c r="E1223" s="3" t="s">
        <v>5</v>
      </c>
      <c r="F1223" s="3" t="s">
        <v>10</v>
      </c>
      <c r="G1223" s="3" t="s">
        <v>2818</v>
      </c>
      <c r="H1223" s="3" t="s">
        <v>2819</v>
      </c>
      <c r="I1223" s="4">
        <v>4624.6000000000004</v>
      </c>
      <c r="J1223" s="3" t="s">
        <v>11</v>
      </c>
    </row>
    <row r="1224" spans="1:10" x14ac:dyDescent="0.35">
      <c r="A1224" s="3">
        <v>103406032</v>
      </c>
      <c r="B1224" s="3" t="s">
        <v>2820</v>
      </c>
      <c r="C1224" s="3" t="str">
        <f t="shared" si="22"/>
        <v>2022-07-06</v>
      </c>
      <c r="D1224" s="3" t="s">
        <v>9</v>
      </c>
      <c r="E1224" s="3" t="s">
        <v>5</v>
      </c>
      <c r="F1224" s="3" t="s">
        <v>10</v>
      </c>
      <c r="G1224" s="3" t="s">
        <v>2821</v>
      </c>
      <c r="H1224" s="3" t="s">
        <v>2822</v>
      </c>
      <c r="I1224" s="5">
        <v>1488</v>
      </c>
      <c r="J1224" s="3" t="s">
        <v>11</v>
      </c>
    </row>
    <row r="1225" spans="1:10" x14ac:dyDescent="0.35">
      <c r="A1225" s="3">
        <v>103405924</v>
      </c>
      <c r="B1225" s="3" t="s">
        <v>2823</v>
      </c>
      <c r="C1225" s="3" t="str">
        <f t="shared" si="22"/>
        <v>2022-07-06</v>
      </c>
      <c r="D1225" s="3" t="s">
        <v>9</v>
      </c>
      <c r="E1225" s="3" t="s">
        <v>5</v>
      </c>
      <c r="F1225" s="3" t="s">
        <v>10</v>
      </c>
      <c r="G1225" s="3" t="s">
        <v>1309</v>
      </c>
      <c r="H1225" s="3" t="s">
        <v>1310</v>
      </c>
      <c r="I1225" s="5">
        <v>3999</v>
      </c>
      <c r="J1225" s="3" t="s">
        <v>11</v>
      </c>
    </row>
    <row r="1226" spans="1:10" x14ac:dyDescent="0.35">
      <c r="A1226" s="3">
        <v>103405922</v>
      </c>
      <c r="B1226" s="3" t="s">
        <v>2824</v>
      </c>
      <c r="C1226" s="3" t="str">
        <f t="shared" si="22"/>
        <v>2022-07-06</v>
      </c>
      <c r="D1226" s="3" t="s">
        <v>9</v>
      </c>
      <c r="E1226" s="3" t="s">
        <v>5</v>
      </c>
      <c r="F1226" s="3" t="s">
        <v>12</v>
      </c>
      <c r="G1226" s="3" t="s">
        <v>2825</v>
      </c>
      <c r="H1226" s="3" t="s">
        <v>2826</v>
      </c>
      <c r="I1226" s="5">
        <v>2599</v>
      </c>
      <c r="J1226" s="3" t="s">
        <v>11</v>
      </c>
    </row>
    <row r="1227" spans="1:10" x14ac:dyDescent="0.35">
      <c r="A1227" s="3">
        <v>103406021</v>
      </c>
      <c r="B1227" s="3" t="s">
        <v>2827</v>
      </c>
      <c r="C1227" s="3" t="str">
        <f t="shared" si="22"/>
        <v>2022-07-06</v>
      </c>
      <c r="D1227" s="3" t="s">
        <v>9</v>
      </c>
      <c r="E1227" s="3" t="s">
        <v>5</v>
      </c>
      <c r="F1227" s="3" t="s">
        <v>10</v>
      </c>
      <c r="G1227" s="3" t="s">
        <v>2828</v>
      </c>
      <c r="H1227" s="3" t="s">
        <v>2829</v>
      </c>
      <c r="I1227" s="5">
        <v>1119</v>
      </c>
      <c r="J1227" s="3" t="s">
        <v>11</v>
      </c>
    </row>
    <row r="1228" spans="1:10" x14ac:dyDescent="0.35">
      <c r="A1228" s="3">
        <v>103406011</v>
      </c>
      <c r="B1228" s="3" t="s">
        <v>2830</v>
      </c>
      <c r="C1228" s="3" t="str">
        <f t="shared" si="22"/>
        <v>2022-07-06</v>
      </c>
      <c r="D1228" s="3" t="s">
        <v>9</v>
      </c>
      <c r="E1228" s="3" t="s">
        <v>5</v>
      </c>
      <c r="F1228" s="3" t="s">
        <v>10</v>
      </c>
      <c r="G1228" s="3" t="s">
        <v>2831</v>
      </c>
      <c r="H1228" s="3" t="s">
        <v>2832</v>
      </c>
      <c r="I1228" s="3">
        <v>971.1</v>
      </c>
      <c r="J1228" s="3" t="s">
        <v>11</v>
      </c>
    </row>
    <row r="1229" spans="1:10" x14ac:dyDescent="0.35">
      <c r="A1229" s="3">
        <v>103405917</v>
      </c>
      <c r="B1229" s="3" t="s">
        <v>2833</v>
      </c>
      <c r="C1229" s="3" t="str">
        <f t="shared" si="22"/>
        <v>2022-07-06</v>
      </c>
      <c r="D1229" s="3" t="s">
        <v>9</v>
      </c>
      <c r="E1229" s="3" t="s">
        <v>5</v>
      </c>
      <c r="F1229" s="3" t="s">
        <v>12</v>
      </c>
      <c r="G1229" s="3" t="s">
        <v>2834</v>
      </c>
      <c r="H1229" s="3" t="s">
        <v>2835</v>
      </c>
      <c r="I1229" s="5">
        <v>6447</v>
      </c>
      <c r="J1229" s="3" t="s">
        <v>11</v>
      </c>
    </row>
    <row r="1230" spans="1:10" x14ac:dyDescent="0.35">
      <c r="A1230" s="3">
        <v>103406008</v>
      </c>
      <c r="B1230" s="3" t="s">
        <v>2836</v>
      </c>
      <c r="C1230" s="3" t="str">
        <f t="shared" si="22"/>
        <v>2022-07-06</v>
      </c>
      <c r="D1230" s="3" t="s">
        <v>9</v>
      </c>
      <c r="E1230" s="3" t="s">
        <v>5</v>
      </c>
      <c r="F1230" s="3" t="s">
        <v>10</v>
      </c>
      <c r="G1230" s="3" t="s">
        <v>2837</v>
      </c>
      <c r="H1230" s="3" t="s">
        <v>2838</v>
      </c>
      <c r="I1230" s="5">
        <v>2309</v>
      </c>
      <c r="J1230" s="3" t="s">
        <v>11</v>
      </c>
    </row>
    <row r="1231" spans="1:10" x14ac:dyDescent="0.35">
      <c r="A1231" s="3">
        <v>103405915</v>
      </c>
      <c r="B1231" s="3" t="s">
        <v>2839</v>
      </c>
      <c r="C1231" s="3" t="str">
        <f t="shared" si="22"/>
        <v>2022-07-06</v>
      </c>
      <c r="D1231" s="3" t="s">
        <v>9</v>
      </c>
      <c r="E1231" s="3" t="s">
        <v>5</v>
      </c>
      <c r="F1231" s="3" t="s">
        <v>12</v>
      </c>
      <c r="G1231" s="3" t="s">
        <v>2840</v>
      </c>
      <c r="H1231" s="3" t="s">
        <v>2841</v>
      </c>
      <c r="I1231" s="5">
        <v>3849</v>
      </c>
      <c r="J1231" s="3" t="s">
        <v>11</v>
      </c>
    </row>
    <row r="1232" spans="1:10" x14ac:dyDescent="0.35">
      <c r="A1232" s="3">
        <v>103406007</v>
      </c>
      <c r="B1232" s="3" t="s">
        <v>2842</v>
      </c>
      <c r="C1232" s="3" t="str">
        <f t="shared" si="22"/>
        <v>2022-07-06</v>
      </c>
      <c r="D1232" s="3" t="s">
        <v>9</v>
      </c>
      <c r="E1232" s="3" t="s">
        <v>5</v>
      </c>
      <c r="F1232" s="3" t="s">
        <v>10</v>
      </c>
      <c r="G1232" s="3" t="s">
        <v>2843</v>
      </c>
      <c r="H1232" s="3" t="s">
        <v>2844</v>
      </c>
      <c r="I1232" s="3">
        <v>579</v>
      </c>
      <c r="J1232" s="3" t="s">
        <v>11</v>
      </c>
    </row>
    <row r="1233" spans="1:10" x14ac:dyDescent="0.35">
      <c r="A1233" s="3">
        <v>103405912</v>
      </c>
      <c r="B1233" s="3" t="s">
        <v>2845</v>
      </c>
      <c r="C1233" s="3" t="str">
        <f t="shared" si="22"/>
        <v>2022-07-06</v>
      </c>
      <c r="D1233" s="3" t="s">
        <v>9</v>
      </c>
      <c r="E1233" s="3" t="s">
        <v>5</v>
      </c>
      <c r="F1233" s="3" t="s">
        <v>10</v>
      </c>
      <c r="G1233" s="3" t="s">
        <v>2846</v>
      </c>
      <c r="H1233" s="3" t="s">
        <v>2847</v>
      </c>
      <c r="I1233" s="4">
        <v>6142.7</v>
      </c>
      <c r="J1233" s="3" t="s">
        <v>11</v>
      </c>
    </row>
    <row r="1234" spans="1:10" x14ac:dyDescent="0.35">
      <c r="A1234" s="3">
        <v>103406005</v>
      </c>
      <c r="B1234" s="3" t="s">
        <v>2848</v>
      </c>
      <c r="C1234" s="3" t="str">
        <f t="shared" si="22"/>
        <v>2022-07-06</v>
      </c>
      <c r="D1234" s="3" t="s">
        <v>9</v>
      </c>
      <c r="E1234" s="3" t="s">
        <v>5</v>
      </c>
      <c r="F1234" s="3" t="s">
        <v>10</v>
      </c>
      <c r="G1234" s="3" t="s">
        <v>2849</v>
      </c>
      <c r="H1234" s="3" t="s">
        <v>2850</v>
      </c>
      <c r="I1234" s="5">
        <v>1489</v>
      </c>
      <c r="J1234" s="3" t="s">
        <v>11</v>
      </c>
    </row>
    <row r="1235" spans="1:10" x14ac:dyDescent="0.35">
      <c r="A1235" s="3">
        <v>103406002</v>
      </c>
      <c r="B1235" s="3" t="s">
        <v>2851</v>
      </c>
      <c r="C1235" s="3" t="str">
        <f t="shared" si="22"/>
        <v>2022-07-06</v>
      </c>
      <c r="D1235" s="3" t="s">
        <v>9</v>
      </c>
      <c r="E1235" s="3" t="s">
        <v>5</v>
      </c>
      <c r="F1235" s="3" t="s">
        <v>10</v>
      </c>
      <c r="G1235" s="3" t="s">
        <v>2852</v>
      </c>
      <c r="H1235" s="3" t="s">
        <v>2853</v>
      </c>
      <c r="I1235" s="4">
        <v>8940.16</v>
      </c>
      <c r="J1235" s="3" t="s">
        <v>11</v>
      </c>
    </row>
    <row r="1236" spans="1:10" x14ac:dyDescent="0.35">
      <c r="A1236" s="3">
        <v>103406001</v>
      </c>
      <c r="B1236" s="3" t="s">
        <v>2854</v>
      </c>
      <c r="C1236" s="3" t="str">
        <f t="shared" si="22"/>
        <v>2022-07-06</v>
      </c>
      <c r="D1236" s="3" t="s">
        <v>9</v>
      </c>
      <c r="E1236" s="3" t="s">
        <v>5</v>
      </c>
      <c r="F1236" s="3" t="s">
        <v>10</v>
      </c>
      <c r="G1236" s="3" t="s">
        <v>2855</v>
      </c>
      <c r="H1236" s="3" t="s">
        <v>2856</v>
      </c>
      <c r="I1236" s="4">
        <v>3507.3</v>
      </c>
      <c r="J1236" s="3" t="s">
        <v>11</v>
      </c>
    </row>
    <row r="1237" spans="1:10" x14ac:dyDescent="0.35">
      <c r="A1237" s="3">
        <v>103405908</v>
      </c>
      <c r="B1237" s="3" t="s">
        <v>2857</v>
      </c>
      <c r="C1237" s="3" t="str">
        <f t="shared" si="22"/>
        <v>2022-07-06</v>
      </c>
      <c r="D1237" s="3" t="s">
        <v>9</v>
      </c>
      <c r="E1237" s="3" t="s">
        <v>5</v>
      </c>
      <c r="F1237" s="3" t="s">
        <v>10</v>
      </c>
      <c r="G1237" s="3" t="s">
        <v>2858</v>
      </c>
      <c r="H1237" s="3" t="s">
        <v>2859</v>
      </c>
      <c r="I1237" s="5">
        <v>3899</v>
      </c>
      <c r="J1237" s="3" t="s">
        <v>11</v>
      </c>
    </row>
    <row r="1238" spans="1:10" x14ac:dyDescent="0.35">
      <c r="A1238" s="3">
        <v>103405995</v>
      </c>
      <c r="B1238" s="3" t="s">
        <v>2860</v>
      </c>
      <c r="C1238" s="3" t="str">
        <f t="shared" si="22"/>
        <v>2022-07-06</v>
      </c>
      <c r="D1238" s="3" t="s">
        <v>9</v>
      </c>
      <c r="E1238" s="3" t="s">
        <v>5</v>
      </c>
      <c r="F1238" s="3" t="s">
        <v>10</v>
      </c>
      <c r="G1238" s="3" t="s">
        <v>2861</v>
      </c>
      <c r="H1238" s="3" t="s">
        <v>2862</v>
      </c>
      <c r="I1238" s="4">
        <v>1139.05</v>
      </c>
      <c r="J1238" s="3" t="s">
        <v>11</v>
      </c>
    </row>
    <row r="1239" spans="1:10" x14ac:dyDescent="0.35">
      <c r="A1239" s="3">
        <v>103405994</v>
      </c>
      <c r="B1239" s="3" t="s">
        <v>2863</v>
      </c>
      <c r="C1239" s="3" t="str">
        <f t="shared" si="22"/>
        <v>2022-07-06</v>
      </c>
      <c r="D1239" s="3" t="s">
        <v>9</v>
      </c>
      <c r="E1239" s="3" t="s">
        <v>5</v>
      </c>
      <c r="F1239" s="3" t="s">
        <v>10</v>
      </c>
      <c r="G1239" s="3" t="s">
        <v>2864</v>
      </c>
      <c r="H1239" s="3" t="s">
        <v>2865</v>
      </c>
      <c r="I1239" s="3">
        <v>464.55</v>
      </c>
      <c r="J1239" s="3" t="s">
        <v>11</v>
      </c>
    </row>
    <row r="1240" spans="1:10" x14ac:dyDescent="0.35">
      <c r="A1240" s="3">
        <v>103405993</v>
      </c>
      <c r="B1240" s="3" t="s">
        <v>2866</v>
      </c>
      <c r="C1240" s="3" t="str">
        <f t="shared" si="22"/>
        <v>2022-07-06</v>
      </c>
      <c r="D1240" s="3" t="s">
        <v>9</v>
      </c>
      <c r="E1240" s="3" t="s">
        <v>5</v>
      </c>
      <c r="F1240" s="3" t="s">
        <v>12</v>
      </c>
      <c r="G1240" s="3" t="s">
        <v>2867</v>
      </c>
      <c r="H1240" s="3" t="s">
        <v>2578</v>
      </c>
      <c r="I1240" s="3">
        <v>999</v>
      </c>
      <c r="J1240" s="3" t="s">
        <v>11</v>
      </c>
    </row>
    <row r="1241" spans="1:10" x14ac:dyDescent="0.35">
      <c r="A1241" s="3">
        <v>103405907</v>
      </c>
      <c r="B1241" s="3" t="s">
        <v>2868</v>
      </c>
      <c r="C1241" s="3" t="str">
        <f t="shared" si="22"/>
        <v>2022-07-06</v>
      </c>
      <c r="D1241" s="3" t="s">
        <v>9</v>
      </c>
      <c r="E1241" s="3" t="s">
        <v>5</v>
      </c>
      <c r="F1241" s="3" t="s">
        <v>10</v>
      </c>
      <c r="G1241" s="3" t="s">
        <v>2869</v>
      </c>
      <c r="H1241" s="3" t="s">
        <v>2870</v>
      </c>
      <c r="I1241" s="4">
        <v>3134.05</v>
      </c>
      <c r="J1241" s="3" t="s">
        <v>11</v>
      </c>
    </row>
    <row r="1242" spans="1:10" x14ac:dyDescent="0.35">
      <c r="A1242" s="3">
        <v>103405984</v>
      </c>
      <c r="B1242" s="3" t="s">
        <v>2871</v>
      </c>
      <c r="C1242" s="3" t="str">
        <f t="shared" si="22"/>
        <v>2022-07-06</v>
      </c>
      <c r="D1242" s="3" t="s">
        <v>9</v>
      </c>
      <c r="E1242" s="3" t="s">
        <v>5</v>
      </c>
      <c r="F1242" s="3" t="s">
        <v>10</v>
      </c>
      <c r="G1242" s="3" t="s">
        <v>2872</v>
      </c>
      <c r="H1242" s="3" t="s">
        <v>2873</v>
      </c>
      <c r="I1242" s="5">
        <v>5098</v>
      </c>
      <c r="J1242" s="3" t="s">
        <v>11</v>
      </c>
    </row>
    <row r="1243" spans="1:10" x14ac:dyDescent="0.35">
      <c r="A1243" s="3">
        <v>103405900</v>
      </c>
      <c r="B1243" s="3" t="s">
        <v>2874</v>
      </c>
      <c r="C1243" s="3" t="str">
        <f t="shared" si="22"/>
        <v>2022-07-06</v>
      </c>
      <c r="D1243" s="3" t="s">
        <v>9</v>
      </c>
      <c r="E1243" s="3" t="s">
        <v>5</v>
      </c>
      <c r="F1243" s="3" t="s">
        <v>10</v>
      </c>
      <c r="G1243" s="3" t="s">
        <v>2809</v>
      </c>
      <c r="H1243" s="3" t="s">
        <v>2810</v>
      </c>
      <c r="I1243" s="4">
        <v>1025.05</v>
      </c>
      <c r="J1243" s="3" t="s">
        <v>11</v>
      </c>
    </row>
    <row r="1244" spans="1:10" x14ac:dyDescent="0.35">
      <c r="A1244" s="3">
        <v>103405983</v>
      </c>
      <c r="B1244" s="3" t="s">
        <v>2875</v>
      </c>
      <c r="C1244" s="3" t="str">
        <f t="shared" si="22"/>
        <v>2022-07-06</v>
      </c>
      <c r="D1244" s="3" t="s">
        <v>9</v>
      </c>
      <c r="E1244" s="3" t="s">
        <v>5</v>
      </c>
      <c r="F1244" s="3" t="s">
        <v>10</v>
      </c>
      <c r="G1244" s="3" t="s">
        <v>2876</v>
      </c>
      <c r="H1244" s="3" t="s">
        <v>2877</v>
      </c>
      <c r="I1244" s="4">
        <v>1300.55</v>
      </c>
      <c r="J1244" s="3" t="s">
        <v>11</v>
      </c>
    </row>
    <row r="1245" spans="1:10" x14ac:dyDescent="0.35">
      <c r="A1245" s="3">
        <v>103405979</v>
      </c>
      <c r="B1245" s="3" t="s">
        <v>2878</v>
      </c>
      <c r="C1245" s="3" t="str">
        <f t="shared" si="22"/>
        <v>2022-07-06</v>
      </c>
      <c r="D1245" s="3" t="s">
        <v>9</v>
      </c>
      <c r="E1245" s="3" t="s">
        <v>5</v>
      </c>
      <c r="F1245" s="3" t="s">
        <v>10</v>
      </c>
      <c r="G1245" s="3" t="s">
        <v>2879</v>
      </c>
      <c r="H1245" s="3" t="s">
        <v>2880</v>
      </c>
      <c r="I1245" s="4">
        <v>2054.9899999999998</v>
      </c>
      <c r="J1245" s="3" t="s">
        <v>11</v>
      </c>
    </row>
    <row r="1246" spans="1:10" x14ac:dyDescent="0.35">
      <c r="A1246" s="3">
        <v>103405978</v>
      </c>
      <c r="B1246" s="3" t="s">
        <v>2881</v>
      </c>
      <c r="C1246" s="3" t="str">
        <f t="shared" si="22"/>
        <v>2022-07-06</v>
      </c>
      <c r="D1246" s="3" t="s">
        <v>9</v>
      </c>
      <c r="E1246" s="3" t="s">
        <v>5</v>
      </c>
      <c r="F1246" s="3" t="s">
        <v>10</v>
      </c>
      <c r="G1246" s="3" t="s">
        <v>2882</v>
      </c>
      <c r="H1246" s="3" t="s">
        <v>2883</v>
      </c>
      <c r="I1246" s="5">
        <v>2749</v>
      </c>
      <c r="J1246" s="3" t="s">
        <v>11</v>
      </c>
    </row>
    <row r="1247" spans="1:10" x14ac:dyDescent="0.35">
      <c r="A1247" s="3">
        <v>103405976</v>
      </c>
      <c r="B1247" s="3" t="s">
        <v>2884</v>
      </c>
      <c r="C1247" s="3" t="str">
        <f t="shared" si="22"/>
        <v>2022-07-06</v>
      </c>
      <c r="D1247" s="3" t="s">
        <v>9</v>
      </c>
      <c r="E1247" s="3" t="s">
        <v>5</v>
      </c>
      <c r="F1247" s="3" t="s">
        <v>12</v>
      </c>
      <c r="G1247" s="3" t="s">
        <v>2885</v>
      </c>
      <c r="H1247" s="3" t="s">
        <v>2886</v>
      </c>
      <c r="I1247" s="4">
        <v>2519.1</v>
      </c>
      <c r="J1247" s="3" t="s">
        <v>11</v>
      </c>
    </row>
    <row r="1248" spans="1:10" x14ac:dyDescent="0.35">
      <c r="A1248" s="3">
        <v>103405975</v>
      </c>
      <c r="B1248" s="3" t="s">
        <v>2887</v>
      </c>
      <c r="C1248" s="3" t="str">
        <f t="shared" si="22"/>
        <v>2022-07-06</v>
      </c>
      <c r="D1248" s="3" t="s">
        <v>9</v>
      </c>
      <c r="E1248" s="3" t="s">
        <v>5</v>
      </c>
      <c r="F1248" s="3" t="s">
        <v>10</v>
      </c>
      <c r="G1248" s="3" t="s">
        <v>2888</v>
      </c>
      <c r="H1248" s="3" t="s">
        <v>2889</v>
      </c>
      <c r="I1248" s="4">
        <v>1424.05</v>
      </c>
      <c r="J1248" s="3" t="s">
        <v>11</v>
      </c>
    </row>
    <row r="1249" spans="1:10" x14ac:dyDescent="0.35">
      <c r="A1249" s="3">
        <v>103405969</v>
      </c>
      <c r="B1249" s="3" t="s">
        <v>2890</v>
      </c>
      <c r="C1249" s="3" t="str">
        <f t="shared" si="22"/>
        <v>2022-07-06</v>
      </c>
      <c r="D1249" s="3" t="s">
        <v>9</v>
      </c>
      <c r="E1249" s="3" t="s">
        <v>5</v>
      </c>
      <c r="F1249" s="3" t="s">
        <v>10</v>
      </c>
      <c r="G1249" s="3" t="s">
        <v>2891</v>
      </c>
      <c r="H1249" s="3" t="s">
        <v>2892</v>
      </c>
      <c r="I1249" s="3">
        <v>808</v>
      </c>
      <c r="J1249" s="3" t="s">
        <v>11</v>
      </c>
    </row>
    <row r="1250" spans="1:10" x14ac:dyDescent="0.35">
      <c r="A1250" s="3">
        <v>103405890</v>
      </c>
      <c r="B1250" s="3" t="s">
        <v>2893</v>
      </c>
      <c r="C1250" s="3" t="str">
        <f t="shared" si="22"/>
        <v>2022-07-06</v>
      </c>
      <c r="D1250" s="3" t="s">
        <v>9</v>
      </c>
      <c r="E1250" s="3" t="s">
        <v>5</v>
      </c>
      <c r="F1250" s="3" t="s">
        <v>10</v>
      </c>
      <c r="G1250" s="3" t="s">
        <v>2894</v>
      </c>
      <c r="H1250" s="3" t="s">
        <v>2895</v>
      </c>
      <c r="I1250" s="5">
        <v>4098</v>
      </c>
      <c r="J1250" s="3" t="s">
        <v>11</v>
      </c>
    </row>
    <row r="1251" spans="1:10" x14ac:dyDescent="0.35">
      <c r="A1251" s="3">
        <v>103405887</v>
      </c>
      <c r="B1251" s="3" t="s">
        <v>2896</v>
      </c>
      <c r="C1251" s="3" t="str">
        <f t="shared" si="22"/>
        <v>2022-07-06</v>
      </c>
      <c r="D1251" s="3" t="s">
        <v>9</v>
      </c>
      <c r="E1251" s="3" t="s">
        <v>5</v>
      </c>
      <c r="F1251" s="3" t="s">
        <v>10</v>
      </c>
      <c r="G1251" s="3" t="s">
        <v>2897</v>
      </c>
      <c r="H1251" s="3" t="s">
        <v>2898</v>
      </c>
      <c r="I1251" s="4">
        <v>3134.05</v>
      </c>
      <c r="J1251" s="3" t="s">
        <v>11</v>
      </c>
    </row>
    <row r="1252" spans="1:10" x14ac:dyDescent="0.35">
      <c r="A1252" s="3">
        <v>103405882</v>
      </c>
      <c r="B1252" s="3" t="s">
        <v>2899</v>
      </c>
      <c r="C1252" s="3" t="str">
        <f t="shared" si="22"/>
        <v>2022-07-06</v>
      </c>
      <c r="D1252" s="3" t="s">
        <v>9</v>
      </c>
      <c r="E1252" s="3" t="s">
        <v>5</v>
      </c>
      <c r="F1252" s="3" t="s">
        <v>10</v>
      </c>
      <c r="G1252" s="3" t="s">
        <v>2900</v>
      </c>
      <c r="H1252" s="3" t="s">
        <v>2901</v>
      </c>
      <c r="I1252" s="5">
        <v>1719</v>
      </c>
      <c r="J1252" s="3" t="s">
        <v>11</v>
      </c>
    </row>
    <row r="1253" spans="1:10" x14ac:dyDescent="0.35">
      <c r="A1253" s="3">
        <v>103405879</v>
      </c>
      <c r="B1253" s="3" t="s">
        <v>2902</v>
      </c>
      <c r="C1253" s="3" t="str">
        <f t="shared" si="22"/>
        <v>2022-07-06</v>
      </c>
      <c r="D1253" s="3" t="s">
        <v>9</v>
      </c>
      <c r="E1253" s="3" t="s">
        <v>5</v>
      </c>
      <c r="F1253" s="3" t="s">
        <v>10</v>
      </c>
      <c r="G1253" s="3" t="s">
        <v>2903</v>
      </c>
      <c r="H1253" s="3" t="s">
        <v>2904</v>
      </c>
      <c r="I1253" s="4">
        <v>5745.6</v>
      </c>
      <c r="J1253" s="3" t="s">
        <v>11</v>
      </c>
    </row>
    <row r="1254" spans="1:10" x14ac:dyDescent="0.35">
      <c r="A1254" s="3">
        <v>103405878</v>
      </c>
      <c r="B1254" s="3" t="s">
        <v>2905</v>
      </c>
      <c r="C1254" s="3" t="str">
        <f t="shared" si="22"/>
        <v>2022-07-06</v>
      </c>
      <c r="D1254" s="3" t="s">
        <v>9</v>
      </c>
      <c r="E1254" s="3" t="s">
        <v>5</v>
      </c>
      <c r="F1254" s="3" t="s">
        <v>10</v>
      </c>
      <c r="G1254" s="3" t="s">
        <v>2906</v>
      </c>
      <c r="H1254" s="3" t="s">
        <v>2907</v>
      </c>
      <c r="I1254" s="3">
        <v>949.05</v>
      </c>
      <c r="J1254" s="3" t="s">
        <v>11</v>
      </c>
    </row>
    <row r="1255" spans="1:10" x14ac:dyDescent="0.35">
      <c r="A1255" s="3">
        <v>103405877</v>
      </c>
      <c r="B1255" s="3" t="s">
        <v>2908</v>
      </c>
      <c r="C1255" s="3" t="str">
        <f t="shared" si="22"/>
        <v>2022-07-06</v>
      </c>
      <c r="D1255" s="3" t="s">
        <v>9</v>
      </c>
      <c r="E1255" s="3" t="s">
        <v>5</v>
      </c>
      <c r="F1255" s="3" t="s">
        <v>10</v>
      </c>
      <c r="G1255" s="3" t="s">
        <v>2909</v>
      </c>
      <c r="H1255" s="3" t="s">
        <v>2910</v>
      </c>
      <c r="I1255" s="5">
        <v>3849</v>
      </c>
      <c r="J1255" s="3" t="s">
        <v>11</v>
      </c>
    </row>
    <row r="1256" spans="1:10" x14ac:dyDescent="0.35">
      <c r="A1256" s="3">
        <v>103405853</v>
      </c>
      <c r="B1256" s="3" t="s">
        <v>2911</v>
      </c>
      <c r="C1256" s="3" t="str">
        <f t="shared" si="22"/>
        <v>2022-07-06</v>
      </c>
      <c r="D1256" s="3" t="s">
        <v>9</v>
      </c>
      <c r="E1256" s="3" t="s">
        <v>5</v>
      </c>
      <c r="F1256" s="3" t="s">
        <v>10</v>
      </c>
      <c r="G1256" s="3" t="s">
        <v>2912</v>
      </c>
      <c r="H1256" s="3" t="s">
        <v>2913</v>
      </c>
      <c r="I1256" s="4">
        <v>2991.64</v>
      </c>
      <c r="J1256" s="3" t="s">
        <v>11</v>
      </c>
    </row>
    <row r="1257" spans="1:10" x14ac:dyDescent="0.35">
      <c r="A1257" s="3">
        <v>103405873</v>
      </c>
      <c r="B1257" s="3" t="s">
        <v>2914</v>
      </c>
      <c r="C1257" s="3" t="str">
        <f t="shared" si="22"/>
        <v>2022-07-06</v>
      </c>
      <c r="D1257" s="3" t="s">
        <v>9</v>
      </c>
      <c r="E1257" s="3" t="s">
        <v>5</v>
      </c>
      <c r="F1257" s="3" t="s">
        <v>10</v>
      </c>
      <c r="G1257" s="3" t="s">
        <v>2915</v>
      </c>
      <c r="H1257" s="3" t="s">
        <v>2916</v>
      </c>
      <c r="I1257" s="5">
        <v>2309</v>
      </c>
      <c r="J1257" s="3" t="s">
        <v>11</v>
      </c>
    </row>
    <row r="1258" spans="1:10" x14ac:dyDescent="0.35">
      <c r="A1258" s="3">
        <v>103405849</v>
      </c>
      <c r="B1258" s="3" t="s">
        <v>2917</v>
      </c>
      <c r="C1258" s="3" t="str">
        <f t="shared" si="22"/>
        <v>2022-07-06</v>
      </c>
      <c r="D1258" s="3" t="s">
        <v>9</v>
      </c>
      <c r="E1258" s="3" t="s">
        <v>5</v>
      </c>
      <c r="F1258" s="3" t="s">
        <v>10</v>
      </c>
      <c r="G1258" s="3" t="s">
        <v>2918</v>
      </c>
      <c r="H1258" s="3" t="s">
        <v>2919</v>
      </c>
      <c r="I1258" s="4">
        <v>1367.14</v>
      </c>
      <c r="J1258" s="3" t="s">
        <v>11</v>
      </c>
    </row>
    <row r="1259" spans="1:10" x14ac:dyDescent="0.35">
      <c r="A1259" s="3">
        <v>103405870</v>
      </c>
      <c r="B1259" s="3" t="s">
        <v>2917</v>
      </c>
      <c r="C1259" s="3" t="str">
        <f t="shared" si="22"/>
        <v>2022-07-06</v>
      </c>
      <c r="D1259" s="3" t="s">
        <v>9</v>
      </c>
      <c r="E1259" s="3" t="s">
        <v>5</v>
      </c>
      <c r="F1259" s="3" t="s">
        <v>10</v>
      </c>
      <c r="G1259" s="3" t="s">
        <v>2920</v>
      </c>
      <c r="H1259" s="3" t="s">
        <v>2921</v>
      </c>
      <c r="I1259" s="3">
        <v>929</v>
      </c>
      <c r="J1259" s="3" t="s">
        <v>11</v>
      </c>
    </row>
    <row r="1260" spans="1:10" x14ac:dyDescent="0.35">
      <c r="A1260" s="3">
        <v>103405848</v>
      </c>
      <c r="B1260" s="3" t="s">
        <v>2922</v>
      </c>
      <c r="C1260" s="3" t="str">
        <f t="shared" si="22"/>
        <v>2022-07-06</v>
      </c>
      <c r="D1260" s="3" t="s">
        <v>9</v>
      </c>
      <c r="E1260" s="3" t="s">
        <v>5</v>
      </c>
      <c r="F1260" s="3" t="s">
        <v>10</v>
      </c>
      <c r="G1260" s="3" t="s">
        <v>2923</v>
      </c>
      <c r="H1260" s="3" t="s">
        <v>2924</v>
      </c>
      <c r="I1260" s="3">
        <v>759.24</v>
      </c>
      <c r="J1260" s="3" t="s">
        <v>11</v>
      </c>
    </row>
    <row r="1261" spans="1:10" x14ac:dyDescent="0.35">
      <c r="A1261" s="3">
        <v>103405847</v>
      </c>
      <c r="B1261" s="3" t="s">
        <v>2925</v>
      </c>
      <c r="C1261" s="3" t="str">
        <f t="shared" si="22"/>
        <v>2022-07-06</v>
      </c>
      <c r="D1261" s="3" t="s">
        <v>9</v>
      </c>
      <c r="E1261" s="3" t="s">
        <v>5</v>
      </c>
      <c r="F1261" s="3" t="s">
        <v>10</v>
      </c>
      <c r="G1261" s="3" t="s">
        <v>2926</v>
      </c>
      <c r="H1261" s="3" t="s">
        <v>2927</v>
      </c>
      <c r="I1261" s="3">
        <v>568</v>
      </c>
      <c r="J1261" s="3" t="s">
        <v>11</v>
      </c>
    </row>
    <row r="1262" spans="1:10" x14ac:dyDescent="0.35">
      <c r="A1262" s="3">
        <v>103405868</v>
      </c>
      <c r="B1262" s="3" t="s">
        <v>2928</v>
      </c>
      <c r="C1262" s="3" t="str">
        <f t="shared" si="22"/>
        <v>2022-07-06</v>
      </c>
      <c r="D1262" s="3" t="s">
        <v>9</v>
      </c>
      <c r="E1262" s="3" t="s">
        <v>5</v>
      </c>
      <c r="F1262" s="3" t="s">
        <v>10</v>
      </c>
      <c r="G1262" s="3" t="s">
        <v>2900</v>
      </c>
      <c r="H1262" s="3" t="s">
        <v>2901</v>
      </c>
      <c r="I1262" s="5">
        <v>1999</v>
      </c>
      <c r="J1262" s="3" t="s">
        <v>11</v>
      </c>
    </row>
    <row r="1263" spans="1:10" x14ac:dyDescent="0.35">
      <c r="A1263" s="3">
        <v>103405844</v>
      </c>
      <c r="B1263" s="3" t="s">
        <v>2929</v>
      </c>
      <c r="C1263" s="3" t="str">
        <f t="shared" si="22"/>
        <v>2022-07-06</v>
      </c>
      <c r="D1263" s="3" t="s">
        <v>9</v>
      </c>
      <c r="E1263" s="3" t="s">
        <v>5</v>
      </c>
      <c r="F1263" s="3" t="s">
        <v>10</v>
      </c>
      <c r="G1263" s="3" t="s">
        <v>2930</v>
      </c>
      <c r="H1263" s="3" t="s">
        <v>2931</v>
      </c>
      <c r="I1263" s="5">
        <v>2499</v>
      </c>
      <c r="J1263" s="3" t="s">
        <v>11</v>
      </c>
    </row>
    <row r="1264" spans="1:10" x14ac:dyDescent="0.35">
      <c r="A1264" s="3">
        <v>103405841</v>
      </c>
      <c r="B1264" s="3" t="s">
        <v>2932</v>
      </c>
      <c r="C1264" s="3" t="str">
        <f t="shared" si="22"/>
        <v>2022-07-06</v>
      </c>
      <c r="D1264" s="3" t="s">
        <v>9</v>
      </c>
      <c r="E1264" s="3" t="s">
        <v>5</v>
      </c>
      <c r="F1264" s="3" t="s">
        <v>10</v>
      </c>
      <c r="G1264" s="3" t="s">
        <v>703</v>
      </c>
      <c r="H1264" s="3" t="s">
        <v>704</v>
      </c>
      <c r="I1264" s="3">
        <v>740.05</v>
      </c>
      <c r="J1264" s="3" t="s">
        <v>11</v>
      </c>
    </row>
    <row r="1265" spans="1:10" x14ac:dyDescent="0.35">
      <c r="A1265" s="3">
        <v>103405835</v>
      </c>
      <c r="B1265" s="3" t="s">
        <v>2933</v>
      </c>
      <c r="C1265" s="3" t="str">
        <f t="shared" si="22"/>
        <v>2022-07-06</v>
      </c>
      <c r="D1265" s="3" t="s">
        <v>9</v>
      </c>
      <c r="E1265" s="3" t="s">
        <v>5</v>
      </c>
      <c r="F1265" s="3" t="s">
        <v>12</v>
      </c>
      <c r="G1265" s="3" t="s">
        <v>2934</v>
      </c>
      <c r="H1265" s="3" t="s">
        <v>2935</v>
      </c>
      <c r="I1265" s="3">
        <v>799</v>
      </c>
      <c r="J1265" s="3" t="s">
        <v>11</v>
      </c>
    </row>
    <row r="1266" spans="1:10" x14ac:dyDescent="0.35">
      <c r="A1266" s="3">
        <v>103405833</v>
      </c>
      <c r="B1266" s="3" t="s">
        <v>2936</v>
      </c>
      <c r="C1266" s="3" t="str">
        <f t="shared" si="22"/>
        <v>2022-07-06</v>
      </c>
      <c r="D1266" s="3" t="s">
        <v>9</v>
      </c>
      <c r="E1266" s="3" t="s">
        <v>5</v>
      </c>
      <c r="F1266" s="3" t="s">
        <v>10</v>
      </c>
      <c r="G1266" s="3" t="s">
        <v>2937</v>
      </c>
      <c r="H1266" s="3" t="s">
        <v>2938</v>
      </c>
      <c r="I1266" s="5">
        <v>5199</v>
      </c>
      <c r="J1266" s="3" t="s">
        <v>11</v>
      </c>
    </row>
    <row r="1267" spans="1:10" x14ac:dyDescent="0.35">
      <c r="A1267" s="3">
        <v>103405756</v>
      </c>
      <c r="B1267" s="3" t="s">
        <v>2939</v>
      </c>
      <c r="C1267" s="3" t="str">
        <f t="shared" si="22"/>
        <v>2022-07-06</v>
      </c>
      <c r="D1267" s="3" t="s">
        <v>9</v>
      </c>
      <c r="E1267" s="3" t="s">
        <v>5</v>
      </c>
      <c r="F1267" s="3" t="s">
        <v>10</v>
      </c>
      <c r="G1267" s="3" t="s">
        <v>2940</v>
      </c>
      <c r="H1267" s="3" t="s">
        <v>2941</v>
      </c>
      <c r="I1267" s="5">
        <v>1249</v>
      </c>
      <c r="J1267" s="3" t="s">
        <v>11</v>
      </c>
    </row>
    <row r="1268" spans="1:10" x14ac:dyDescent="0.35">
      <c r="A1268" s="3">
        <v>103405755</v>
      </c>
      <c r="B1268" s="3" t="s">
        <v>2942</v>
      </c>
      <c r="C1268" s="3" t="str">
        <f t="shared" si="22"/>
        <v>2022-07-06</v>
      </c>
      <c r="D1268" s="3" t="s">
        <v>9</v>
      </c>
      <c r="E1268" s="3" t="s">
        <v>5</v>
      </c>
      <c r="F1268" s="3" t="s">
        <v>10</v>
      </c>
      <c r="G1268" s="3" t="s">
        <v>2943</v>
      </c>
      <c r="H1268" s="3" t="s">
        <v>2944</v>
      </c>
      <c r="I1268" s="4">
        <v>1586.59</v>
      </c>
      <c r="J1268" s="3" t="s">
        <v>11</v>
      </c>
    </row>
    <row r="1269" spans="1:10" x14ac:dyDescent="0.35">
      <c r="A1269" s="3">
        <v>103405828</v>
      </c>
      <c r="B1269" s="3" t="s">
        <v>2945</v>
      </c>
      <c r="C1269" s="3" t="str">
        <f t="shared" si="22"/>
        <v>2022-07-06</v>
      </c>
      <c r="D1269" s="3" t="s">
        <v>9</v>
      </c>
      <c r="E1269" s="3" t="s">
        <v>5</v>
      </c>
      <c r="F1269" s="3" t="s">
        <v>10</v>
      </c>
      <c r="G1269" s="3" t="s">
        <v>2946</v>
      </c>
      <c r="H1269" s="3" t="s">
        <v>2947</v>
      </c>
      <c r="I1269" s="5">
        <v>2599</v>
      </c>
      <c r="J1269" s="3" t="s">
        <v>11</v>
      </c>
    </row>
    <row r="1270" spans="1:10" x14ac:dyDescent="0.35">
      <c r="A1270" s="3">
        <v>103405827</v>
      </c>
      <c r="B1270" s="3" t="s">
        <v>2948</v>
      </c>
      <c r="C1270" s="3" t="str">
        <f t="shared" si="22"/>
        <v>2022-07-06</v>
      </c>
      <c r="D1270" s="3" t="s">
        <v>9</v>
      </c>
      <c r="E1270" s="3" t="s">
        <v>5</v>
      </c>
      <c r="F1270" s="3" t="s">
        <v>10</v>
      </c>
      <c r="G1270" s="3" t="s">
        <v>2949</v>
      </c>
      <c r="H1270" s="3" t="s">
        <v>2950</v>
      </c>
      <c r="I1270" s="3">
        <v>331.55</v>
      </c>
      <c r="J1270" s="3" t="s">
        <v>11</v>
      </c>
    </row>
    <row r="1271" spans="1:10" x14ac:dyDescent="0.35">
      <c r="A1271" s="3">
        <v>103405750</v>
      </c>
      <c r="B1271" s="3" t="s">
        <v>2951</v>
      </c>
      <c r="C1271" s="3" t="str">
        <f t="shared" si="22"/>
        <v>2022-07-06</v>
      </c>
      <c r="D1271" s="3" t="s">
        <v>9</v>
      </c>
      <c r="E1271" s="3" t="s">
        <v>5</v>
      </c>
      <c r="F1271" s="3" t="s">
        <v>10</v>
      </c>
      <c r="G1271" s="3" t="s">
        <v>2952</v>
      </c>
      <c r="H1271" s="3" t="s">
        <v>2953</v>
      </c>
      <c r="I1271" s="3">
        <v>949.05</v>
      </c>
      <c r="J1271" s="3" t="s">
        <v>11</v>
      </c>
    </row>
    <row r="1272" spans="1:10" x14ac:dyDescent="0.35">
      <c r="A1272" s="3">
        <v>103405821</v>
      </c>
      <c r="B1272" s="3" t="s">
        <v>4795</v>
      </c>
      <c r="C1272" s="3" t="str">
        <f t="shared" si="22"/>
        <v>2022-07-06</v>
      </c>
      <c r="D1272" s="3" t="s">
        <v>9</v>
      </c>
      <c r="E1272" s="3" t="s">
        <v>5</v>
      </c>
      <c r="F1272" s="3" t="s">
        <v>10</v>
      </c>
      <c r="G1272" s="3" t="s">
        <v>4796</v>
      </c>
      <c r="H1272" s="3" t="s">
        <v>4797</v>
      </c>
      <c r="I1272" s="4">
        <v>1538.05</v>
      </c>
      <c r="J1272" s="3" t="s">
        <v>13</v>
      </c>
    </row>
    <row r="1273" spans="1:10" x14ac:dyDescent="0.35">
      <c r="A1273" s="3">
        <v>103405745</v>
      </c>
      <c r="B1273" s="3" t="s">
        <v>2954</v>
      </c>
      <c r="C1273" s="3" t="str">
        <f t="shared" si="22"/>
        <v>2022-07-06</v>
      </c>
      <c r="D1273" s="3" t="s">
        <v>9</v>
      </c>
      <c r="E1273" s="3" t="s">
        <v>5</v>
      </c>
      <c r="F1273" s="3" t="s">
        <v>12</v>
      </c>
      <c r="G1273" s="3" t="s">
        <v>2955</v>
      </c>
      <c r="H1273" s="3" t="s">
        <v>2956</v>
      </c>
      <c r="I1273" s="5">
        <v>1238</v>
      </c>
      <c r="J1273" s="3" t="s">
        <v>11</v>
      </c>
    </row>
    <row r="1274" spans="1:10" x14ac:dyDescent="0.35">
      <c r="A1274" s="3">
        <v>103405744</v>
      </c>
      <c r="B1274" s="3" t="s">
        <v>2957</v>
      </c>
      <c r="C1274" s="3" t="str">
        <f t="shared" si="22"/>
        <v>2022-07-06</v>
      </c>
      <c r="D1274" s="3" t="s">
        <v>9</v>
      </c>
      <c r="E1274" s="3" t="s">
        <v>5</v>
      </c>
      <c r="F1274" s="3" t="s">
        <v>10</v>
      </c>
      <c r="G1274" s="3" t="s">
        <v>2958</v>
      </c>
      <c r="H1274" s="3" t="s">
        <v>2959</v>
      </c>
      <c r="I1274" s="5">
        <v>1349</v>
      </c>
      <c r="J1274" s="3" t="s">
        <v>11</v>
      </c>
    </row>
    <row r="1275" spans="1:10" x14ac:dyDescent="0.35">
      <c r="A1275" s="3">
        <v>103405742</v>
      </c>
      <c r="B1275" s="3" t="s">
        <v>2960</v>
      </c>
      <c r="C1275" s="3" t="str">
        <f t="shared" si="22"/>
        <v>2022-07-06</v>
      </c>
      <c r="D1275" s="3" t="s">
        <v>9</v>
      </c>
      <c r="E1275" s="3" t="s">
        <v>5</v>
      </c>
      <c r="F1275" s="3" t="s">
        <v>10</v>
      </c>
      <c r="G1275" s="3" t="s">
        <v>2961</v>
      </c>
      <c r="H1275" s="3" t="s">
        <v>2962</v>
      </c>
      <c r="I1275" s="3">
        <v>728.1</v>
      </c>
      <c r="J1275" s="3" t="s">
        <v>11</v>
      </c>
    </row>
    <row r="1276" spans="1:10" x14ac:dyDescent="0.35">
      <c r="A1276" s="3">
        <v>103405813</v>
      </c>
      <c r="B1276" s="3" t="s">
        <v>2963</v>
      </c>
      <c r="C1276" s="3" t="str">
        <f t="shared" si="22"/>
        <v>2022-07-06</v>
      </c>
      <c r="D1276" s="3" t="s">
        <v>9</v>
      </c>
      <c r="E1276" s="3" t="s">
        <v>5</v>
      </c>
      <c r="F1276" s="3" t="s">
        <v>10</v>
      </c>
      <c r="G1276" s="3" t="s">
        <v>2964</v>
      </c>
      <c r="H1276" s="3" t="s">
        <v>2965</v>
      </c>
      <c r="I1276" s="3">
        <v>949.05</v>
      </c>
      <c r="J1276" s="3" t="s">
        <v>11</v>
      </c>
    </row>
    <row r="1277" spans="1:10" x14ac:dyDescent="0.35">
      <c r="A1277" s="3">
        <v>103405810</v>
      </c>
      <c r="B1277" s="3" t="s">
        <v>2966</v>
      </c>
      <c r="C1277" s="3" t="str">
        <f t="shared" si="22"/>
        <v>2022-07-06</v>
      </c>
      <c r="D1277" s="3" t="s">
        <v>9</v>
      </c>
      <c r="E1277" s="3" t="s">
        <v>5</v>
      </c>
      <c r="F1277" s="3" t="s">
        <v>10</v>
      </c>
      <c r="G1277" s="3" t="s">
        <v>2967</v>
      </c>
      <c r="H1277" s="3" t="s">
        <v>2968</v>
      </c>
      <c r="I1277" s="5">
        <v>5567</v>
      </c>
      <c r="J1277" s="3" t="s">
        <v>11</v>
      </c>
    </row>
    <row r="1278" spans="1:10" x14ac:dyDescent="0.35">
      <c r="A1278" s="3">
        <v>103405809</v>
      </c>
      <c r="B1278" s="3" t="s">
        <v>2969</v>
      </c>
      <c r="C1278" s="3" t="str">
        <f t="shared" si="22"/>
        <v>2022-07-06</v>
      </c>
      <c r="D1278" s="3" t="s">
        <v>9</v>
      </c>
      <c r="E1278" s="3" t="s">
        <v>5</v>
      </c>
      <c r="F1278" s="3" t="s">
        <v>10</v>
      </c>
      <c r="G1278" s="3" t="s">
        <v>2970</v>
      </c>
      <c r="H1278" s="3" t="s">
        <v>2971</v>
      </c>
      <c r="I1278" s="5">
        <v>1189</v>
      </c>
      <c r="J1278" s="3" t="s">
        <v>11</v>
      </c>
    </row>
    <row r="1279" spans="1:10" x14ac:dyDescent="0.35">
      <c r="A1279" s="3">
        <v>103405803</v>
      </c>
      <c r="B1279" s="3" t="s">
        <v>2972</v>
      </c>
      <c r="C1279" s="3" t="str">
        <f t="shared" si="22"/>
        <v>2022-07-06</v>
      </c>
      <c r="D1279" s="3" t="s">
        <v>9</v>
      </c>
      <c r="E1279" s="3" t="s">
        <v>5</v>
      </c>
      <c r="F1279" s="3" t="s">
        <v>10</v>
      </c>
      <c r="G1279" s="3" t="s">
        <v>2973</v>
      </c>
      <c r="H1279" s="3" t="s">
        <v>2974</v>
      </c>
      <c r="I1279" s="3">
        <v>441.32</v>
      </c>
      <c r="J1279" s="3" t="s">
        <v>11</v>
      </c>
    </row>
    <row r="1280" spans="1:10" x14ac:dyDescent="0.35">
      <c r="A1280" s="3">
        <v>103405739</v>
      </c>
      <c r="B1280" s="3" t="s">
        <v>2975</v>
      </c>
      <c r="C1280" s="3" t="str">
        <f t="shared" si="22"/>
        <v>2022-07-06</v>
      </c>
      <c r="D1280" s="3" t="s">
        <v>9</v>
      </c>
      <c r="E1280" s="3" t="s">
        <v>5</v>
      </c>
      <c r="F1280" s="3" t="s">
        <v>10</v>
      </c>
      <c r="G1280" s="3" t="s">
        <v>2976</v>
      </c>
      <c r="H1280" s="3" t="s">
        <v>2977</v>
      </c>
      <c r="I1280" s="4">
        <v>4008.05</v>
      </c>
      <c r="J1280" s="3" t="s">
        <v>11</v>
      </c>
    </row>
    <row r="1281" spans="1:10" x14ac:dyDescent="0.35">
      <c r="A1281" s="3">
        <v>103405798</v>
      </c>
      <c r="B1281" s="3" t="s">
        <v>2978</v>
      </c>
      <c r="C1281" s="3" t="str">
        <f t="shared" si="22"/>
        <v>2022-07-06</v>
      </c>
      <c r="D1281" s="3" t="s">
        <v>9</v>
      </c>
      <c r="E1281" s="3" t="s">
        <v>5</v>
      </c>
      <c r="F1281" s="3" t="s">
        <v>10</v>
      </c>
      <c r="G1281" s="3" t="s">
        <v>2979</v>
      </c>
      <c r="H1281" s="3" t="s">
        <v>2980</v>
      </c>
      <c r="I1281" s="4">
        <v>4434.6000000000004</v>
      </c>
      <c r="J1281" s="3" t="s">
        <v>11</v>
      </c>
    </row>
    <row r="1282" spans="1:10" x14ac:dyDescent="0.35">
      <c r="A1282" s="3">
        <v>103405791</v>
      </c>
      <c r="B1282" s="3" t="s">
        <v>2981</v>
      </c>
      <c r="C1282" s="3" t="str">
        <f t="shared" si="22"/>
        <v>2022-07-06</v>
      </c>
      <c r="D1282" s="3" t="s">
        <v>9</v>
      </c>
      <c r="E1282" s="3" t="s">
        <v>5</v>
      </c>
      <c r="F1282" s="3" t="s">
        <v>12</v>
      </c>
      <c r="G1282" s="3" t="s">
        <v>2982</v>
      </c>
      <c r="H1282" s="3" t="s">
        <v>2983</v>
      </c>
      <c r="I1282" s="5">
        <v>3999</v>
      </c>
      <c r="J1282" s="3" t="s">
        <v>11</v>
      </c>
    </row>
    <row r="1283" spans="1:10" x14ac:dyDescent="0.35">
      <c r="A1283" s="3">
        <v>103405788</v>
      </c>
      <c r="B1283" s="3" t="s">
        <v>2984</v>
      </c>
      <c r="C1283" s="3" t="str">
        <f t="shared" ref="C1283:C1346" si="23">LEFT(B1283,FIND("T",B1283)-1)</f>
        <v>2022-07-06</v>
      </c>
      <c r="D1283" s="3" t="s">
        <v>9</v>
      </c>
      <c r="E1283" s="3" t="s">
        <v>5</v>
      </c>
      <c r="F1283" s="3" t="s">
        <v>10</v>
      </c>
      <c r="G1283" s="3" t="s">
        <v>2985</v>
      </c>
      <c r="H1283" s="3" t="s">
        <v>2986</v>
      </c>
      <c r="I1283" s="4">
        <v>3846.64</v>
      </c>
      <c r="J1283" s="3" t="s">
        <v>11</v>
      </c>
    </row>
    <row r="1284" spans="1:10" x14ac:dyDescent="0.35">
      <c r="A1284" s="3">
        <v>103405787</v>
      </c>
      <c r="B1284" s="3" t="s">
        <v>2987</v>
      </c>
      <c r="C1284" s="3" t="str">
        <f t="shared" si="23"/>
        <v>2022-07-06</v>
      </c>
      <c r="D1284" s="3" t="s">
        <v>9</v>
      </c>
      <c r="E1284" s="3" t="s">
        <v>5</v>
      </c>
      <c r="F1284" s="3" t="s">
        <v>12</v>
      </c>
      <c r="G1284" s="3" t="s">
        <v>2988</v>
      </c>
      <c r="H1284" s="3" t="s">
        <v>2989</v>
      </c>
      <c r="I1284" s="3">
        <v>759.05</v>
      </c>
      <c r="J1284" s="3" t="s">
        <v>11</v>
      </c>
    </row>
    <row r="1285" spans="1:10" x14ac:dyDescent="0.35">
      <c r="A1285" s="3">
        <v>103405786</v>
      </c>
      <c r="B1285" s="3" t="s">
        <v>2990</v>
      </c>
      <c r="C1285" s="3" t="str">
        <f t="shared" si="23"/>
        <v>2022-07-06</v>
      </c>
      <c r="D1285" s="3" t="s">
        <v>9</v>
      </c>
      <c r="E1285" s="3" t="s">
        <v>5</v>
      </c>
      <c r="F1285" s="3" t="s">
        <v>10</v>
      </c>
      <c r="G1285" s="3" t="s">
        <v>2991</v>
      </c>
      <c r="H1285" s="3" t="s">
        <v>2992</v>
      </c>
      <c r="I1285" s="5">
        <v>1539</v>
      </c>
      <c r="J1285" s="3" t="s">
        <v>11</v>
      </c>
    </row>
    <row r="1286" spans="1:10" x14ac:dyDescent="0.35">
      <c r="A1286" s="3">
        <v>103405785</v>
      </c>
      <c r="B1286" s="3" t="s">
        <v>2993</v>
      </c>
      <c r="C1286" s="3" t="str">
        <f t="shared" si="23"/>
        <v>2022-07-06</v>
      </c>
      <c r="D1286" s="3" t="s">
        <v>9</v>
      </c>
      <c r="E1286" s="3" t="s">
        <v>5</v>
      </c>
      <c r="F1286" s="3" t="s">
        <v>10</v>
      </c>
      <c r="G1286" s="3" t="s">
        <v>2994</v>
      </c>
      <c r="H1286" s="3" t="s">
        <v>2995</v>
      </c>
      <c r="I1286" s="4">
        <v>4321.55</v>
      </c>
      <c r="J1286" s="3" t="s">
        <v>11</v>
      </c>
    </row>
    <row r="1287" spans="1:10" x14ac:dyDescent="0.35">
      <c r="A1287" s="3">
        <v>103405784</v>
      </c>
      <c r="B1287" s="3" t="s">
        <v>2996</v>
      </c>
      <c r="C1287" s="3" t="str">
        <f t="shared" si="23"/>
        <v>2022-07-06</v>
      </c>
      <c r="D1287" s="3" t="s">
        <v>9</v>
      </c>
      <c r="E1287" s="3" t="s">
        <v>5</v>
      </c>
      <c r="F1287" s="3" t="s">
        <v>10</v>
      </c>
      <c r="G1287" s="3" t="s">
        <v>2997</v>
      </c>
      <c r="H1287" s="3" t="s">
        <v>2998</v>
      </c>
      <c r="I1287" s="4">
        <v>2868.05</v>
      </c>
      <c r="J1287" s="3" t="s">
        <v>11</v>
      </c>
    </row>
    <row r="1288" spans="1:10" x14ac:dyDescent="0.35">
      <c r="A1288" s="3">
        <v>103405728</v>
      </c>
      <c r="B1288" s="3" t="s">
        <v>2999</v>
      </c>
      <c r="C1288" s="3" t="str">
        <f t="shared" si="23"/>
        <v>2022-07-06</v>
      </c>
      <c r="D1288" s="3" t="s">
        <v>9</v>
      </c>
      <c r="E1288" s="3" t="s">
        <v>5</v>
      </c>
      <c r="F1288" s="3" t="s">
        <v>12</v>
      </c>
      <c r="G1288" s="3" t="s">
        <v>3000</v>
      </c>
      <c r="H1288" s="3" t="s">
        <v>3001</v>
      </c>
      <c r="I1288" s="5">
        <v>1198</v>
      </c>
      <c r="J1288" s="3" t="s">
        <v>11</v>
      </c>
    </row>
    <row r="1289" spans="1:10" x14ac:dyDescent="0.35">
      <c r="A1289" s="3">
        <v>103405775</v>
      </c>
      <c r="B1289" s="3" t="s">
        <v>3002</v>
      </c>
      <c r="C1289" s="3" t="str">
        <f t="shared" si="23"/>
        <v>2022-07-06</v>
      </c>
      <c r="D1289" s="3" t="s">
        <v>9</v>
      </c>
      <c r="E1289" s="3" t="s">
        <v>5</v>
      </c>
      <c r="F1289" s="3" t="s">
        <v>10</v>
      </c>
      <c r="G1289" s="3" t="s">
        <v>3003</v>
      </c>
      <c r="H1289" s="3" t="s">
        <v>3004</v>
      </c>
      <c r="I1289" s="5">
        <v>1799</v>
      </c>
      <c r="J1289" s="3" t="s">
        <v>11</v>
      </c>
    </row>
    <row r="1290" spans="1:10" x14ac:dyDescent="0.35">
      <c r="A1290" s="3">
        <v>103405770</v>
      </c>
      <c r="B1290" s="3" t="s">
        <v>3005</v>
      </c>
      <c r="C1290" s="3" t="str">
        <f t="shared" si="23"/>
        <v>2022-07-06</v>
      </c>
      <c r="D1290" s="3" t="s">
        <v>9</v>
      </c>
      <c r="E1290" s="3" t="s">
        <v>5</v>
      </c>
      <c r="F1290" s="3" t="s">
        <v>10</v>
      </c>
      <c r="G1290" s="3" t="s">
        <v>3006</v>
      </c>
      <c r="H1290" s="3" t="s">
        <v>3007</v>
      </c>
      <c r="I1290" s="3">
        <v>838.42</v>
      </c>
      <c r="J1290" s="3" t="s">
        <v>11</v>
      </c>
    </row>
    <row r="1291" spans="1:10" x14ac:dyDescent="0.35">
      <c r="A1291" s="3">
        <v>103405771</v>
      </c>
      <c r="B1291" s="3" t="s">
        <v>3005</v>
      </c>
      <c r="C1291" s="3" t="str">
        <f t="shared" si="23"/>
        <v>2022-07-06</v>
      </c>
      <c r="D1291" s="3" t="s">
        <v>9</v>
      </c>
      <c r="E1291" s="3" t="s">
        <v>5</v>
      </c>
      <c r="F1291" s="3" t="s">
        <v>10</v>
      </c>
      <c r="G1291" s="3" t="s">
        <v>3008</v>
      </c>
      <c r="H1291" s="3" t="s">
        <v>3009</v>
      </c>
      <c r="I1291" s="3">
        <v>756.29</v>
      </c>
      <c r="J1291" s="3" t="s">
        <v>11</v>
      </c>
    </row>
    <row r="1292" spans="1:10" x14ac:dyDescent="0.35">
      <c r="A1292" s="3">
        <v>103405769</v>
      </c>
      <c r="B1292" s="3" t="s">
        <v>3010</v>
      </c>
      <c r="C1292" s="3" t="str">
        <f t="shared" si="23"/>
        <v>2022-07-06</v>
      </c>
      <c r="D1292" s="3" t="s">
        <v>9</v>
      </c>
      <c r="E1292" s="3" t="s">
        <v>5</v>
      </c>
      <c r="F1292" s="3" t="s">
        <v>10</v>
      </c>
      <c r="G1292" s="3" t="s">
        <v>3011</v>
      </c>
      <c r="H1292" s="3" t="s">
        <v>3012</v>
      </c>
      <c r="I1292" s="4">
        <v>2221.29</v>
      </c>
      <c r="J1292" s="3" t="s">
        <v>11</v>
      </c>
    </row>
    <row r="1293" spans="1:10" x14ac:dyDescent="0.35">
      <c r="A1293" s="3">
        <v>103405726</v>
      </c>
      <c r="B1293" s="3" t="s">
        <v>3013</v>
      </c>
      <c r="C1293" s="3" t="str">
        <f t="shared" si="23"/>
        <v>2022-07-06</v>
      </c>
      <c r="D1293" s="3" t="s">
        <v>9</v>
      </c>
      <c r="E1293" s="3" t="s">
        <v>5</v>
      </c>
      <c r="F1293" s="3" t="s">
        <v>10</v>
      </c>
      <c r="G1293" s="3" t="s">
        <v>3014</v>
      </c>
      <c r="H1293" s="3" t="s">
        <v>3015</v>
      </c>
      <c r="I1293" s="3">
        <v>969</v>
      </c>
      <c r="J1293" s="3" t="s">
        <v>11</v>
      </c>
    </row>
    <row r="1294" spans="1:10" x14ac:dyDescent="0.35">
      <c r="A1294" s="3">
        <v>103405725</v>
      </c>
      <c r="B1294" s="3" t="s">
        <v>3016</v>
      </c>
      <c r="C1294" s="3" t="str">
        <f t="shared" si="23"/>
        <v>2022-07-06</v>
      </c>
      <c r="D1294" s="3" t="s">
        <v>9</v>
      </c>
      <c r="E1294" s="3" t="s">
        <v>5</v>
      </c>
      <c r="F1294" s="3" t="s">
        <v>10</v>
      </c>
      <c r="G1294" s="3" t="s">
        <v>3017</v>
      </c>
      <c r="H1294" s="3" t="s">
        <v>3018</v>
      </c>
      <c r="I1294" s="4">
        <v>3989.05</v>
      </c>
      <c r="J1294" s="3" t="s">
        <v>11</v>
      </c>
    </row>
    <row r="1295" spans="1:10" x14ac:dyDescent="0.35">
      <c r="A1295" s="3">
        <v>103405664</v>
      </c>
      <c r="B1295" s="3" t="s">
        <v>3019</v>
      </c>
      <c r="C1295" s="3" t="str">
        <f t="shared" si="23"/>
        <v>2022-07-06</v>
      </c>
      <c r="D1295" s="3" t="s">
        <v>9</v>
      </c>
      <c r="E1295" s="3" t="s">
        <v>5</v>
      </c>
      <c r="F1295" s="3" t="s">
        <v>10</v>
      </c>
      <c r="G1295" s="3" t="s">
        <v>3020</v>
      </c>
      <c r="H1295" s="3" t="s">
        <v>3021</v>
      </c>
      <c r="I1295" s="5">
        <v>7999</v>
      </c>
      <c r="J1295" s="3" t="s">
        <v>11</v>
      </c>
    </row>
    <row r="1296" spans="1:10" x14ac:dyDescent="0.35">
      <c r="A1296" s="3">
        <v>103405766</v>
      </c>
      <c r="B1296" s="3" t="s">
        <v>3019</v>
      </c>
      <c r="C1296" s="3" t="str">
        <f t="shared" si="23"/>
        <v>2022-07-06</v>
      </c>
      <c r="D1296" s="3" t="s">
        <v>9</v>
      </c>
      <c r="E1296" s="3" t="s">
        <v>5</v>
      </c>
      <c r="F1296" s="3" t="s">
        <v>10</v>
      </c>
      <c r="G1296" s="3" t="s">
        <v>1309</v>
      </c>
      <c r="H1296" s="3" t="s">
        <v>3022</v>
      </c>
      <c r="I1296" s="3">
        <v>464.55</v>
      </c>
      <c r="J1296" s="3" t="s">
        <v>11</v>
      </c>
    </row>
    <row r="1297" spans="1:10" x14ac:dyDescent="0.35">
      <c r="A1297" s="3">
        <v>103405662</v>
      </c>
      <c r="B1297" s="3" t="s">
        <v>3023</v>
      </c>
      <c r="C1297" s="3" t="str">
        <f t="shared" si="23"/>
        <v>2022-07-06</v>
      </c>
      <c r="D1297" s="3" t="s">
        <v>9</v>
      </c>
      <c r="E1297" s="3" t="s">
        <v>5</v>
      </c>
      <c r="F1297" s="3" t="s">
        <v>12</v>
      </c>
      <c r="G1297" s="3" t="s">
        <v>3024</v>
      </c>
      <c r="H1297" s="3" t="s">
        <v>3025</v>
      </c>
      <c r="I1297" s="3">
        <v>664.05</v>
      </c>
      <c r="J1297" s="3" t="s">
        <v>11</v>
      </c>
    </row>
    <row r="1298" spans="1:10" x14ac:dyDescent="0.35">
      <c r="A1298" s="3">
        <v>103405654</v>
      </c>
      <c r="B1298" s="3" t="s">
        <v>3026</v>
      </c>
      <c r="C1298" s="3" t="str">
        <f t="shared" si="23"/>
        <v>2022-07-06</v>
      </c>
      <c r="D1298" s="3" t="s">
        <v>9</v>
      </c>
      <c r="E1298" s="3" t="s">
        <v>5</v>
      </c>
      <c r="F1298" s="3" t="s">
        <v>10</v>
      </c>
      <c r="G1298" s="3" t="s">
        <v>3027</v>
      </c>
      <c r="H1298" s="3" t="s">
        <v>3028</v>
      </c>
      <c r="I1298" s="4">
        <v>4319.1000000000004</v>
      </c>
      <c r="J1298" s="3" t="s">
        <v>11</v>
      </c>
    </row>
    <row r="1299" spans="1:10" x14ac:dyDescent="0.35">
      <c r="A1299" s="3">
        <v>103405718</v>
      </c>
      <c r="B1299" s="3" t="s">
        <v>3029</v>
      </c>
      <c r="C1299" s="3" t="str">
        <f t="shared" si="23"/>
        <v>2022-07-06</v>
      </c>
      <c r="D1299" s="3" t="s">
        <v>9</v>
      </c>
      <c r="E1299" s="3" t="s">
        <v>5</v>
      </c>
      <c r="F1299" s="3" t="s">
        <v>12</v>
      </c>
      <c r="G1299" s="3" t="s">
        <v>3030</v>
      </c>
      <c r="H1299" s="3" t="s">
        <v>3031</v>
      </c>
      <c r="I1299" s="5">
        <v>9999</v>
      </c>
      <c r="J1299" s="3" t="s">
        <v>11</v>
      </c>
    </row>
    <row r="1300" spans="1:10" x14ac:dyDescent="0.35">
      <c r="A1300" s="3">
        <v>103405653</v>
      </c>
      <c r="B1300" s="3" t="s">
        <v>3032</v>
      </c>
      <c r="C1300" s="3" t="str">
        <f t="shared" si="23"/>
        <v>2022-07-06</v>
      </c>
      <c r="D1300" s="3" t="s">
        <v>9</v>
      </c>
      <c r="E1300" s="3" t="s">
        <v>5</v>
      </c>
      <c r="F1300" s="3" t="s">
        <v>10</v>
      </c>
      <c r="G1300" s="3" t="s">
        <v>3033</v>
      </c>
      <c r="H1300" s="3" t="s">
        <v>3034</v>
      </c>
      <c r="I1300" s="5">
        <v>2249</v>
      </c>
      <c r="J1300" s="3" t="s">
        <v>11</v>
      </c>
    </row>
    <row r="1301" spans="1:10" x14ac:dyDescent="0.35">
      <c r="A1301" s="3">
        <v>103405651</v>
      </c>
      <c r="B1301" s="3" t="s">
        <v>3035</v>
      </c>
      <c r="C1301" s="3" t="str">
        <f t="shared" si="23"/>
        <v>2022-07-06</v>
      </c>
      <c r="D1301" s="3" t="s">
        <v>9</v>
      </c>
      <c r="E1301" s="3" t="s">
        <v>5</v>
      </c>
      <c r="F1301" s="3" t="s">
        <v>10</v>
      </c>
      <c r="G1301" s="3" t="s">
        <v>3036</v>
      </c>
      <c r="H1301" s="3" t="s">
        <v>3037</v>
      </c>
      <c r="I1301" s="4">
        <v>1922.89</v>
      </c>
      <c r="J1301" s="3" t="s">
        <v>11</v>
      </c>
    </row>
    <row r="1302" spans="1:10" x14ac:dyDescent="0.35">
      <c r="A1302" s="3">
        <v>103405645</v>
      </c>
      <c r="B1302" s="3" t="s">
        <v>3038</v>
      </c>
      <c r="C1302" s="3" t="str">
        <f t="shared" si="23"/>
        <v>2022-07-06</v>
      </c>
      <c r="D1302" s="3" t="s">
        <v>9</v>
      </c>
      <c r="E1302" s="3" t="s">
        <v>5</v>
      </c>
      <c r="F1302" s="3" t="s">
        <v>10</v>
      </c>
      <c r="G1302" s="3" t="s">
        <v>3039</v>
      </c>
      <c r="H1302" s="3" t="s">
        <v>3040</v>
      </c>
      <c r="I1302" s="4">
        <v>4559.05</v>
      </c>
      <c r="J1302" s="3" t="s">
        <v>11</v>
      </c>
    </row>
    <row r="1303" spans="1:10" x14ac:dyDescent="0.35">
      <c r="A1303" s="3">
        <v>103405644</v>
      </c>
      <c r="B1303" s="3" t="s">
        <v>3041</v>
      </c>
      <c r="C1303" s="3" t="str">
        <f t="shared" si="23"/>
        <v>2022-07-06</v>
      </c>
      <c r="D1303" s="3" t="s">
        <v>9</v>
      </c>
      <c r="E1303" s="3" t="s">
        <v>5</v>
      </c>
      <c r="F1303" s="3" t="s">
        <v>10</v>
      </c>
      <c r="G1303" s="3" t="s">
        <v>3042</v>
      </c>
      <c r="H1303" s="3" t="s">
        <v>3043</v>
      </c>
      <c r="I1303" s="3">
        <v>369</v>
      </c>
      <c r="J1303" s="3" t="s">
        <v>11</v>
      </c>
    </row>
    <row r="1304" spans="1:10" x14ac:dyDescent="0.35">
      <c r="A1304" s="3">
        <v>103405704</v>
      </c>
      <c r="B1304" s="3" t="s">
        <v>3044</v>
      </c>
      <c r="C1304" s="3" t="str">
        <f t="shared" si="23"/>
        <v>2022-07-06</v>
      </c>
      <c r="D1304" s="3" t="s">
        <v>9</v>
      </c>
      <c r="E1304" s="3" t="s">
        <v>5</v>
      </c>
      <c r="F1304" s="3" t="s">
        <v>10</v>
      </c>
      <c r="G1304" s="3" t="s">
        <v>3045</v>
      </c>
      <c r="H1304" s="3" t="s">
        <v>3046</v>
      </c>
      <c r="I1304" s="5">
        <v>2699</v>
      </c>
      <c r="J1304" s="3" t="s">
        <v>11</v>
      </c>
    </row>
    <row r="1305" spans="1:10" x14ac:dyDescent="0.35">
      <c r="A1305" s="3">
        <v>103405642</v>
      </c>
      <c r="B1305" s="3" t="s">
        <v>3047</v>
      </c>
      <c r="C1305" s="3" t="str">
        <f t="shared" si="23"/>
        <v>2022-07-06</v>
      </c>
      <c r="D1305" s="3" t="s">
        <v>9</v>
      </c>
      <c r="E1305" s="3" t="s">
        <v>5</v>
      </c>
      <c r="F1305" s="3" t="s">
        <v>10</v>
      </c>
      <c r="G1305" s="3" t="s">
        <v>3048</v>
      </c>
      <c r="H1305" s="3" t="s">
        <v>3049</v>
      </c>
      <c r="I1305" s="3">
        <v>649</v>
      </c>
      <c r="J1305" s="3" t="s">
        <v>11</v>
      </c>
    </row>
    <row r="1306" spans="1:10" x14ac:dyDescent="0.35">
      <c r="A1306" s="3">
        <v>103405700</v>
      </c>
      <c r="B1306" s="3" t="s">
        <v>3050</v>
      </c>
      <c r="C1306" s="3" t="str">
        <f t="shared" si="23"/>
        <v>2022-07-06</v>
      </c>
      <c r="D1306" s="3" t="s">
        <v>9</v>
      </c>
      <c r="E1306" s="3" t="s">
        <v>5</v>
      </c>
      <c r="F1306" s="3" t="s">
        <v>10</v>
      </c>
      <c r="G1306" s="3" t="s">
        <v>3008</v>
      </c>
      <c r="H1306" s="3" t="s">
        <v>3009</v>
      </c>
      <c r="I1306" s="4">
        <v>4487.8900000000003</v>
      </c>
      <c r="J1306" s="3" t="s">
        <v>11</v>
      </c>
    </row>
    <row r="1307" spans="1:10" x14ac:dyDescent="0.35">
      <c r="A1307" s="3">
        <v>103405634</v>
      </c>
      <c r="B1307" s="3" t="s">
        <v>3051</v>
      </c>
      <c r="C1307" s="3" t="str">
        <f t="shared" si="23"/>
        <v>2022-07-06</v>
      </c>
      <c r="D1307" s="3" t="s">
        <v>9</v>
      </c>
      <c r="E1307" s="3" t="s">
        <v>5</v>
      </c>
      <c r="F1307" s="3" t="s">
        <v>10</v>
      </c>
      <c r="G1307" s="3" t="s">
        <v>3052</v>
      </c>
      <c r="H1307" s="3" t="s">
        <v>3053</v>
      </c>
      <c r="I1307" s="4">
        <v>6567.3</v>
      </c>
      <c r="J1307" s="3" t="s">
        <v>11</v>
      </c>
    </row>
    <row r="1308" spans="1:10" x14ac:dyDescent="0.35">
      <c r="A1308" s="3">
        <v>103405696</v>
      </c>
      <c r="B1308" s="3" t="s">
        <v>3054</v>
      </c>
      <c r="C1308" s="3" t="str">
        <f t="shared" si="23"/>
        <v>2022-07-06</v>
      </c>
      <c r="D1308" s="3" t="s">
        <v>9</v>
      </c>
      <c r="E1308" s="3" t="s">
        <v>5</v>
      </c>
      <c r="F1308" s="3" t="s">
        <v>10</v>
      </c>
      <c r="G1308" s="3" t="s">
        <v>21</v>
      </c>
      <c r="H1308" s="3" t="s">
        <v>3055</v>
      </c>
      <c r="I1308" s="5">
        <v>1169</v>
      </c>
      <c r="J1308" s="3" t="s">
        <v>11</v>
      </c>
    </row>
    <row r="1309" spans="1:10" x14ac:dyDescent="0.35">
      <c r="A1309" s="3">
        <v>103405631</v>
      </c>
      <c r="B1309" s="3" t="s">
        <v>3056</v>
      </c>
      <c r="C1309" s="3" t="str">
        <f t="shared" si="23"/>
        <v>2022-07-06</v>
      </c>
      <c r="D1309" s="3" t="s">
        <v>9</v>
      </c>
      <c r="E1309" s="3" t="s">
        <v>5</v>
      </c>
      <c r="F1309" s="3" t="s">
        <v>10</v>
      </c>
      <c r="G1309" s="3" t="s">
        <v>3057</v>
      </c>
      <c r="H1309" s="3" t="s">
        <v>3058</v>
      </c>
      <c r="I1309" s="3">
        <v>749</v>
      </c>
      <c r="J1309" s="3" t="s">
        <v>11</v>
      </c>
    </row>
    <row r="1310" spans="1:10" x14ac:dyDescent="0.35">
      <c r="A1310" s="3">
        <v>103405694</v>
      </c>
      <c r="B1310" s="3" t="s">
        <v>3059</v>
      </c>
      <c r="C1310" s="3" t="str">
        <f t="shared" si="23"/>
        <v>2022-07-06</v>
      </c>
      <c r="D1310" s="3" t="s">
        <v>9</v>
      </c>
      <c r="E1310" s="3" t="s">
        <v>5</v>
      </c>
      <c r="F1310" s="3" t="s">
        <v>10</v>
      </c>
      <c r="G1310" s="3" t="s">
        <v>3060</v>
      </c>
      <c r="H1310" s="3" t="s">
        <v>3061</v>
      </c>
      <c r="I1310" s="3">
        <v>519</v>
      </c>
      <c r="J1310" s="3" t="s">
        <v>11</v>
      </c>
    </row>
    <row r="1311" spans="1:10" x14ac:dyDescent="0.35">
      <c r="A1311" s="3">
        <v>103405692</v>
      </c>
      <c r="B1311" s="3" t="s">
        <v>3062</v>
      </c>
      <c r="C1311" s="3" t="str">
        <f t="shared" si="23"/>
        <v>2022-07-06</v>
      </c>
      <c r="D1311" s="3" t="s">
        <v>9</v>
      </c>
      <c r="E1311" s="3" t="s">
        <v>5</v>
      </c>
      <c r="F1311" s="3" t="s">
        <v>10</v>
      </c>
      <c r="G1311" s="3" t="s">
        <v>3063</v>
      </c>
      <c r="H1311" s="3" t="s">
        <v>3064</v>
      </c>
      <c r="I1311" s="4">
        <v>1110.55</v>
      </c>
      <c r="J1311" s="3" t="s">
        <v>11</v>
      </c>
    </row>
    <row r="1312" spans="1:10" x14ac:dyDescent="0.35">
      <c r="A1312" s="3">
        <v>103405623</v>
      </c>
      <c r="B1312" s="3" t="s">
        <v>3065</v>
      </c>
      <c r="C1312" s="3" t="str">
        <f t="shared" si="23"/>
        <v>2022-07-06</v>
      </c>
      <c r="D1312" s="3" t="s">
        <v>9</v>
      </c>
      <c r="E1312" s="3" t="s">
        <v>5</v>
      </c>
      <c r="F1312" s="3" t="s">
        <v>10</v>
      </c>
      <c r="G1312" s="3" t="s">
        <v>3066</v>
      </c>
      <c r="H1312" s="3" t="s">
        <v>3067</v>
      </c>
      <c r="I1312" s="3">
        <v>920.55</v>
      </c>
      <c r="J1312" s="3" t="s">
        <v>11</v>
      </c>
    </row>
    <row r="1313" spans="1:10" x14ac:dyDescent="0.35">
      <c r="A1313" s="3">
        <v>103405622</v>
      </c>
      <c r="B1313" s="3" t="s">
        <v>3068</v>
      </c>
      <c r="C1313" s="3" t="str">
        <f t="shared" si="23"/>
        <v>2022-07-06</v>
      </c>
      <c r="D1313" s="3" t="s">
        <v>9</v>
      </c>
      <c r="E1313" s="3" t="s">
        <v>5</v>
      </c>
      <c r="F1313" s="3" t="s">
        <v>12</v>
      </c>
      <c r="G1313" s="3" t="s">
        <v>3069</v>
      </c>
      <c r="H1313" s="3" t="s">
        <v>3070</v>
      </c>
      <c r="I1313" s="3">
        <v>599</v>
      </c>
      <c r="J1313" s="3" t="s">
        <v>11</v>
      </c>
    </row>
    <row r="1314" spans="1:10" x14ac:dyDescent="0.35">
      <c r="A1314" s="3">
        <v>103405621</v>
      </c>
      <c r="B1314" s="3" t="s">
        <v>3071</v>
      </c>
      <c r="C1314" s="3" t="str">
        <f t="shared" si="23"/>
        <v>2022-07-06</v>
      </c>
      <c r="D1314" s="3" t="s">
        <v>9</v>
      </c>
      <c r="E1314" s="3" t="s">
        <v>5</v>
      </c>
      <c r="F1314" s="3" t="s">
        <v>10</v>
      </c>
      <c r="G1314" s="3" t="s">
        <v>3072</v>
      </c>
      <c r="H1314" s="3" t="s">
        <v>3073</v>
      </c>
      <c r="I1314" s="4">
        <v>2193.5500000000002</v>
      </c>
      <c r="J1314" s="3" t="s">
        <v>11</v>
      </c>
    </row>
    <row r="1315" spans="1:10" x14ac:dyDescent="0.35">
      <c r="A1315" s="3">
        <v>103405690</v>
      </c>
      <c r="B1315" s="3" t="s">
        <v>3074</v>
      </c>
      <c r="C1315" s="3" t="str">
        <f t="shared" si="23"/>
        <v>2022-07-06</v>
      </c>
      <c r="D1315" s="3" t="s">
        <v>9</v>
      </c>
      <c r="E1315" s="3" t="s">
        <v>5</v>
      </c>
      <c r="F1315" s="3" t="s">
        <v>10</v>
      </c>
      <c r="G1315" s="3" t="s">
        <v>3075</v>
      </c>
      <c r="H1315" s="3" t="s">
        <v>3076</v>
      </c>
      <c r="I1315" s="5">
        <v>2599</v>
      </c>
      <c r="J1315" s="3" t="s">
        <v>11</v>
      </c>
    </row>
    <row r="1316" spans="1:10" x14ac:dyDescent="0.35">
      <c r="A1316" s="3">
        <v>103405619</v>
      </c>
      <c r="B1316" s="3" t="s">
        <v>3077</v>
      </c>
      <c r="C1316" s="3" t="str">
        <f t="shared" si="23"/>
        <v>2022-07-06</v>
      </c>
      <c r="D1316" s="3" t="s">
        <v>9</v>
      </c>
      <c r="E1316" s="3" t="s">
        <v>5</v>
      </c>
      <c r="F1316" s="3" t="s">
        <v>10</v>
      </c>
      <c r="G1316" s="3" t="s">
        <v>3078</v>
      </c>
      <c r="H1316" s="3" t="s">
        <v>3079</v>
      </c>
      <c r="I1316" s="3">
        <v>369.55</v>
      </c>
      <c r="J1316" s="3" t="s">
        <v>11</v>
      </c>
    </row>
    <row r="1317" spans="1:10" x14ac:dyDescent="0.35">
      <c r="A1317" s="3">
        <v>103405677</v>
      </c>
      <c r="B1317" s="3" t="s">
        <v>3080</v>
      </c>
      <c r="C1317" s="3" t="str">
        <f t="shared" si="23"/>
        <v>2022-07-06</v>
      </c>
      <c r="D1317" s="3" t="s">
        <v>9</v>
      </c>
      <c r="E1317" s="3" t="s">
        <v>5</v>
      </c>
      <c r="F1317" s="3" t="s">
        <v>12</v>
      </c>
      <c r="G1317" s="3" t="s">
        <v>3081</v>
      </c>
      <c r="H1317" s="3" t="s">
        <v>3082</v>
      </c>
      <c r="I1317" s="5">
        <v>2458</v>
      </c>
      <c r="J1317" s="3" t="s">
        <v>11</v>
      </c>
    </row>
    <row r="1318" spans="1:10" x14ac:dyDescent="0.35">
      <c r="A1318" s="3">
        <v>103405676</v>
      </c>
      <c r="B1318" s="3" t="s">
        <v>3083</v>
      </c>
      <c r="C1318" s="3" t="str">
        <f t="shared" si="23"/>
        <v>2022-07-06</v>
      </c>
      <c r="D1318" s="3" t="s">
        <v>9</v>
      </c>
      <c r="E1318" s="3" t="s">
        <v>5</v>
      </c>
      <c r="F1318" s="3" t="s">
        <v>10</v>
      </c>
      <c r="G1318" s="3" t="s">
        <v>3084</v>
      </c>
      <c r="H1318" s="3" t="s">
        <v>3085</v>
      </c>
      <c r="I1318" s="3">
        <v>711.55</v>
      </c>
      <c r="J1318" s="3" t="s">
        <v>11</v>
      </c>
    </row>
    <row r="1319" spans="1:10" x14ac:dyDescent="0.35">
      <c r="A1319" s="3">
        <v>103405675</v>
      </c>
      <c r="B1319" s="3" t="s">
        <v>3086</v>
      </c>
      <c r="C1319" s="3" t="str">
        <f t="shared" si="23"/>
        <v>2022-07-06</v>
      </c>
      <c r="D1319" s="3" t="s">
        <v>9</v>
      </c>
      <c r="E1319" s="3" t="s">
        <v>5</v>
      </c>
      <c r="F1319" s="3" t="s">
        <v>10</v>
      </c>
      <c r="G1319" s="3" t="s">
        <v>3087</v>
      </c>
      <c r="H1319" s="3" t="s">
        <v>3070</v>
      </c>
      <c r="I1319" s="3">
        <v>599</v>
      </c>
      <c r="J1319" s="3" t="s">
        <v>11</v>
      </c>
    </row>
    <row r="1320" spans="1:10" x14ac:dyDescent="0.35">
      <c r="A1320" s="3">
        <v>103405605</v>
      </c>
      <c r="B1320" s="3" t="s">
        <v>3088</v>
      </c>
      <c r="C1320" s="3" t="str">
        <f t="shared" si="23"/>
        <v>2022-07-06</v>
      </c>
      <c r="D1320" s="3" t="s">
        <v>9</v>
      </c>
      <c r="E1320" s="3" t="s">
        <v>5</v>
      </c>
      <c r="F1320" s="3" t="s">
        <v>10</v>
      </c>
      <c r="G1320" s="3" t="s">
        <v>3089</v>
      </c>
      <c r="H1320" s="3" t="s">
        <v>3090</v>
      </c>
      <c r="I1320" s="4">
        <v>3086.55</v>
      </c>
      <c r="J1320" s="3" t="s">
        <v>11</v>
      </c>
    </row>
    <row r="1321" spans="1:10" x14ac:dyDescent="0.35">
      <c r="A1321" s="3">
        <v>103405673</v>
      </c>
      <c r="B1321" s="3" t="s">
        <v>3091</v>
      </c>
      <c r="C1321" s="3" t="str">
        <f t="shared" si="23"/>
        <v>2022-07-06</v>
      </c>
      <c r="D1321" s="3" t="s">
        <v>9</v>
      </c>
      <c r="E1321" s="3" t="s">
        <v>5</v>
      </c>
      <c r="F1321" s="3" t="s">
        <v>10</v>
      </c>
      <c r="G1321" s="3" t="s">
        <v>3092</v>
      </c>
      <c r="H1321" s="3" t="s">
        <v>3093</v>
      </c>
      <c r="I1321" s="3">
        <v>854.05</v>
      </c>
      <c r="J1321" s="3" t="s">
        <v>11</v>
      </c>
    </row>
    <row r="1322" spans="1:10" x14ac:dyDescent="0.35">
      <c r="A1322" s="3">
        <v>103405670</v>
      </c>
      <c r="B1322" s="3" t="s">
        <v>3094</v>
      </c>
      <c r="C1322" s="3" t="str">
        <f t="shared" si="23"/>
        <v>2022-07-06</v>
      </c>
      <c r="D1322" s="3" t="s">
        <v>9</v>
      </c>
      <c r="E1322" s="3" t="s">
        <v>5</v>
      </c>
      <c r="F1322" s="3" t="s">
        <v>10</v>
      </c>
      <c r="G1322" s="3" t="s">
        <v>3095</v>
      </c>
      <c r="H1322" s="3" t="s">
        <v>3096</v>
      </c>
      <c r="I1322" s="4">
        <v>2611.5500000000002</v>
      </c>
      <c r="J1322" s="3" t="s">
        <v>11</v>
      </c>
    </row>
    <row r="1323" spans="1:10" x14ac:dyDescent="0.35">
      <c r="A1323" s="3">
        <v>103405669</v>
      </c>
      <c r="B1323" s="3" t="s">
        <v>3097</v>
      </c>
      <c r="C1323" s="3" t="str">
        <f t="shared" si="23"/>
        <v>2022-07-06</v>
      </c>
      <c r="D1323" s="3" t="s">
        <v>9</v>
      </c>
      <c r="E1323" s="3" t="s">
        <v>5</v>
      </c>
      <c r="F1323" s="3" t="s">
        <v>10</v>
      </c>
      <c r="G1323" s="3" t="s">
        <v>3098</v>
      </c>
      <c r="H1323" s="3" t="s">
        <v>3099</v>
      </c>
      <c r="I1323" s="4">
        <v>2887.05</v>
      </c>
      <c r="J1323" s="3" t="s">
        <v>11</v>
      </c>
    </row>
    <row r="1324" spans="1:10" x14ac:dyDescent="0.35">
      <c r="A1324" s="3">
        <v>103405601</v>
      </c>
      <c r="B1324" s="3" t="s">
        <v>3100</v>
      </c>
      <c r="C1324" s="3" t="str">
        <f t="shared" si="23"/>
        <v>2022-07-06</v>
      </c>
      <c r="D1324" s="3" t="s">
        <v>9</v>
      </c>
      <c r="E1324" s="3" t="s">
        <v>5</v>
      </c>
      <c r="F1324" s="3" t="s">
        <v>10</v>
      </c>
      <c r="G1324" s="3" t="s">
        <v>3101</v>
      </c>
      <c r="H1324" s="3" t="s">
        <v>3102</v>
      </c>
      <c r="I1324" s="4">
        <v>1310.05</v>
      </c>
      <c r="J1324" s="3" t="s">
        <v>11</v>
      </c>
    </row>
    <row r="1325" spans="1:10" x14ac:dyDescent="0.35">
      <c r="A1325" s="3">
        <v>103405667</v>
      </c>
      <c r="B1325" s="3" t="s">
        <v>3103</v>
      </c>
      <c r="C1325" s="3" t="str">
        <f t="shared" si="23"/>
        <v>2022-07-06</v>
      </c>
      <c r="D1325" s="3" t="s">
        <v>9</v>
      </c>
      <c r="E1325" s="3" t="s">
        <v>5</v>
      </c>
      <c r="F1325" s="3" t="s">
        <v>10</v>
      </c>
      <c r="G1325" s="3" t="s">
        <v>3104</v>
      </c>
      <c r="H1325" s="3" t="s">
        <v>3105</v>
      </c>
      <c r="I1325" s="5">
        <v>1599</v>
      </c>
      <c r="J1325" s="3" t="s">
        <v>11</v>
      </c>
    </row>
    <row r="1326" spans="1:10" x14ac:dyDescent="0.35">
      <c r="A1326" s="3">
        <v>103405665</v>
      </c>
      <c r="B1326" s="3" t="s">
        <v>3106</v>
      </c>
      <c r="C1326" s="3" t="str">
        <f t="shared" si="23"/>
        <v>2022-07-06</v>
      </c>
      <c r="D1326" s="3" t="s">
        <v>9</v>
      </c>
      <c r="E1326" s="3" t="s">
        <v>5</v>
      </c>
      <c r="F1326" s="3" t="s">
        <v>10</v>
      </c>
      <c r="G1326" s="3" t="s">
        <v>3107</v>
      </c>
      <c r="H1326" s="3" t="s">
        <v>3108</v>
      </c>
      <c r="I1326" s="4">
        <v>1217.47</v>
      </c>
      <c r="J1326" s="3" t="s">
        <v>11</v>
      </c>
    </row>
    <row r="1327" spans="1:10" x14ac:dyDescent="0.35">
      <c r="A1327" s="3">
        <v>103405459</v>
      </c>
      <c r="B1327" s="3" t="s">
        <v>3109</v>
      </c>
      <c r="C1327" s="3" t="str">
        <f t="shared" si="23"/>
        <v>2022-07-06</v>
      </c>
      <c r="D1327" s="3" t="s">
        <v>9</v>
      </c>
      <c r="E1327" s="3" t="s">
        <v>5</v>
      </c>
      <c r="F1327" s="3" t="s">
        <v>10</v>
      </c>
      <c r="G1327" s="3" t="s">
        <v>3110</v>
      </c>
      <c r="H1327" s="3" t="s">
        <v>3111</v>
      </c>
      <c r="I1327" s="4">
        <v>5097.7</v>
      </c>
      <c r="J1327" s="3" t="s">
        <v>11</v>
      </c>
    </row>
    <row r="1328" spans="1:10" x14ac:dyDescent="0.35">
      <c r="A1328" s="3">
        <v>103405586</v>
      </c>
      <c r="B1328" s="3" t="s">
        <v>3112</v>
      </c>
      <c r="C1328" s="3" t="str">
        <f t="shared" si="23"/>
        <v>2022-07-06</v>
      </c>
      <c r="D1328" s="3" t="s">
        <v>9</v>
      </c>
      <c r="E1328" s="3" t="s">
        <v>5</v>
      </c>
      <c r="F1328" s="3" t="s">
        <v>10</v>
      </c>
      <c r="G1328" s="3" t="s">
        <v>3113</v>
      </c>
      <c r="H1328" s="3" t="s">
        <v>3114</v>
      </c>
      <c r="I1328" s="4">
        <v>2042.1</v>
      </c>
      <c r="J1328" s="3" t="s">
        <v>11</v>
      </c>
    </row>
    <row r="1329" spans="1:10" x14ac:dyDescent="0.35">
      <c r="A1329" s="3">
        <v>103405451</v>
      </c>
      <c r="B1329" s="3" t="s">
        <v>3115</v>
      </c>
      <c r="C1329" s="3" t="str">
        <f t="shared" si="23"/>
        <v>2022-07-06</v>
      </c>
      <c r="D1329" s="3" t="s">
        <v>9</v>
      </c>
      <c r="E1329" s="3" t="s">
        <v>5</v>
      </c>
      <c r="F1329" s="3" t="s">
        <v>10</v>
      </c>
      <c r="G1329" s="3" t="s">
        <v>2515</v>
      </c>
      <c r="H1329" s="3" t="s">
        <v>2516</v>
      </c>
      <c r="I1329" s="5">
        <v>4199</v>
      </c>
      <c r="J1329" s="3" t="s">
        <v>11</v>
      </c>
    </row>
    <row r="1330" spans="1:10" x14ac:dyDescent="0.35">
      <c r="A1330" s="3">
        <v>103405585</v>
      </c>
      <c r="B1330" s="3" t="s">
        <v>3116</v>
      </c>
      <c r="C1330" s="3" t="str">
        <f t="shared" si="23"/>
        <v>2022-07-06</v>
      </c>
      <c r="D1330" s="3" t="s">
        <v>9</v>
      </c>
      <c r="E1330" s="3" t="s">
        <v>5</v>
      </c>
      <c r="F1330" s="3" t="s">
        <v>10</v>
      </c>
      <c r="G1330" s="3" t="s">
        <v>3117</v>
      </c>
      <c r="H1330" s="3" t="s">
        <v>3118</v>
      </c>
      <c r="I1330" s="4">
        <v>1186.55</v>
      </c>
      <c r="J1330" s="3" t="s">
        <v>11</v>
      </c>
    </row>
    <row r="1331" spans="1:10" x14ac:dyDescent="0.35">
      <c r="A1331" s="3">
        <v>103405581</v>
      </c>
      <c r="B1331" s="3" t="s">
        <v>3119</v>
      </c>
      <c r="C1331" s="3" t="str">
        <f t="shared" si="23"/>
        <v>2022-07-06</v>
      </c>
      <c r="D1331" s="3" t="s">
        <v>9</v>
      </c>
      <c r="E1331" s="3" t="s">
        <v>5</v>
      </c>
      <c r="F1331" s="3" t="s">
        <v>10</v>
      </c>
      <c r="G1331" s="3" t="s">
        <v>3120</v>
      </c>
      <c r="H1331" s="3" t="s">
        <v>3121</v>
      </c>
      <c r="I1331" s="5">
        <v>1189</v>
      </c>
      <c r="J1331" s="3" t="s">
        <v>11</v>
      </c>
    </row>
    <row r="1332" spans="1:10" x14ac:dyDescent="0.35">
      <c r="A1332" s="3">
        <v>103405572</v>
      </c>
      <c r="B1332" s="3" t="s">
        <v>3122</v>
      </c>
      <c r="C1332" s="3" t="str">
        <f t="shared" si="23"/>
        <v>2022-07-06</v>
      </c>
      <c r="D1332" s="3" t="s">
        <v>9</v>
      </c>
      <c r="E1332" s="3" t="s">
        <v>5</v>
      </c>
      <c r="F1332" s="3" t="s">
        <v>10</v>
      </c>
      <c r="G1332" s="3" t="s">
        <v>3123</v>
      </c>
      <c r="H1332" s="3" t="s">
        <v>3124</v>
      </c>
      <c r="I1332" s="4">
        <v>2717.1</v>
      </c>
      <c r="J1332" s="3" t="s">
        <v>11</v>
      </c>
    </row>
    <row r="1333" spans="1:10" x14ac:dyDescent="0.35">
      <c r="A1333" s="3">
        <v>103405568</v>
      </c>
      <c r="B1333" s="3" t="s">
        <v>3125</v>
      </c>
      <c r="C1333" s="3" t="str">
        <f t="shared" si="23"/>
        <v>2022-07-06</v>
      </c>
      <c r="D1333" s="3" t="s">
        <v>9</v>
      </c>
      <c r="E1333" s="3" t="s">
        <v>5</v>
      </c>
      <c r="F1333" s="3" t="s">
        <v>12</v>
      </c>
      <c r="G1333" s="3" t="s">
        <v>3126</v>
      </c>
      <c r="H1333" s="3" t="s">
        <v>3127</v>
      </c>
      <c r="I1333" s="3">
        <v>920.55</v>
      </c>
      <c r="J1333" s="3" t="s">
        <v>11</v>
      </c>
    </row>
    <row r="1334" spans="1:10" x14ac:dyDescent="0.35">
      <c r="A1334" s="3">
        <v>103405565</v>
      </c>
      <c r="B1334" s="3" t="s">
        <v>3128</v>
      </c>
      <c r="C1334" s="3" t="str">
        <f t="shared" si="23"/>
        <v>2022-07-06</v>
      </c>
      <c r="D1334" s="3" t="s">
        <v>9</v>
      </c>
      <c r="E1334" s="3" t="s">
        <v>5</v>
      </c>
      <c r="F1334" s="3" t="s">
        <v>10</v>
      </c>
      <c r="G1334" s="3" t="s">
        <v>3129</v>
      </c>
      <c r="H1334" s="3" t="s">
        <v>3130</v>
      </c>
      <c r="I1334" s="4">
        <v>3040.52</v>
      </c>
      <c r="J1334" s="3" t="s">
        <v>11</v>
      </c>
    </row>
    <row r="1335" spans="1:10" x14ac:dyDescent="0.35">
      <c r="A1335" s="3">
        <v>103405564</v>
      </c>
      <c r="B1335" s="3" t="s">
        <v>3131</v>
      </c>
      <c r="C1335" s="3" t="str">
        <f t="shared" si="23"/>
        <v>2022-07-06</v>
      </c>
      <c r="D1335" s="3" t="s">
        <v>9</v>
      </c>
      <c r="E1335" s="3" t="s">
        <v>5</v>
      </c>
      <c r="F1335" s="3" t="s">
        <v>10</v>
      </c>
      <c r="G1335" s="3" t="s">
        <v>3132</v>
      </c>
      <c r="H1335" s="3" t="s">
        <v>3133</v>
      </c>
      <c r="I1335" s="4">
        <v>4103.67</v>
      </c>
      <c r="J1335" s="3" t="s">
        <v>11</v>
      </c>
    </row>
    <row r="1336" spans="1:10" x14ac:dyDescent="0.35">
      <c r="A1336" s="3">
        <v>103405563</v>
      </c>
      <c r="B1336" s="3" t="s">
        <v>3134</v>
      </c>
      <c r="C1336" s="3" t="str">
        <f t="shared" si="23"/>
        <v>2022-07-06</v>
      </c>
      <c r="D1336" s="3" t="s">
        <v>9</v>
      </c>
      <c r="E1336" s="3" t="s">
        <v>5</v>
      </c>
      <c r="F1336" s="3" t="s">
        <v>10</v>
      </c>
      <c r="G1336" s="3" t="s">
        <v>3135</v>
      </c>
      <c r="H1336" s="3" t="s">
        <v>3136</v>
      </c>
      <c r="I1336" s="4">
        <v>3086.55</v>
      </c>
      <c r="J1336" s="3" t="s">
        <v>11</v>
      </c>
    </row>
    <row r="1337" spans="1:10" x14ac:dyDescent="0.35">
      <c r="A1337" s="3">
        <v>103405441</v>
      </c>
      <c r="B1337" s="3" t="s">
        <v>3137</v>
      </c>
      <c r="C1337" s="3" t="str">
        <f t="shared" si="23"/>
        <v>2022-07-06</v>
      </c>
      <c r="D1337" s="3" t="s">
        <v>9</v>
      </c>
      <c r="E1337" s="3" t="s">
        <v>5</v>
      </c>
      <c r="F1337" s="3" t="s">
        <v>10</v>
      </c>
      <c r="G1337" s="3" t="s">
        <v>3138</v>
      </c>
      <c r="H1337" s="3" t="s">
        <v>3139</v>
      </c>
      <c r="I1337" s="5">
        <v>1199</v>
      </c>
      <c r="J1337" s="3" t="s">
        <v>11</v>
      </c>
    </row>
    <row r="1338" spans="1:10" x14ac:dyDescent="0.35">
      <c r="A1338" s="3">
        <v>103405440</v>
      </c>
      <c r="B1338" s="3" t="s">
        <v>3140</v>
      </c>
      <c r="C1338" s="3" t="str">
        <f t="shared" si="23"/>
        <v>2022-07-06</v>
      </c>
      <c r="D1338" s="3" t="s">
        <v>9</v>
      </c>
      <c r="E1338" s="3" t="s">
        <v>5</v>
      </c>
      <c r="F1338" s="3" t="s">
        <v>10</v>
      </c>
      <c r="G1338" s="3" t="s">
        <v>3141</v>
      </c>
      <c r="H1338" s="3" t="s">
        <v>3142</v>
      </c>
      <c r="I1338" s="3">
        <v>759.05</v>
      </c>
      <c r="J1338" s="3" t="s">
        <v>11</v>
      </c>
    </row>
    <row r="1339" spans="1:10" x14ac:dyDescent="0.35">
      <c r="A1339" s="3">
        <v>103405556</v>
      </c>
      <c r="B1339" s="3" t="s">
        <v>3143</v>
      </c>
      <c r="C1339" s="3" t="str">
        <f t="shared" si="23"/>
        <v>2022-07-06</v>
      </c>
      <c r="D1339" s="3" t="s">
        <v>9</v>
      </c>
      <c r="E1339" s="3" t="s">
        <v>5</v>
      </c>
      <c r="F1339" s="3" t="s">
        <v>10</v>
      </c>
      <c r="G1339" s="3" t="s">
        <v>3144</v>
      </c>
      <c r="H1339" s="3" t="s">
        <v>3145</v>
      </c>
      <c r="I1339" s="4">
        <v>3419.05</v>
      </c>
      <c r="J1339" s="3" t="s">
        <v>11</v>
      </c>
    </row>
    <row r="1340" spans="1:10" x14ac:dyDescent="0.35">
      <c r="A1340" s="3">
        <v>103405555</v>
      </c>
      <c r="B1340" s="3" t="s">
        <v>3146</v>
      </c>
      <c r="C1340" s="3" t="str">
        <f t="shared" si="23"/>
        <v>2022-07-06</v>
      </c>
      <c r="D1340" s="3" t="s">
        <v>9</v>
      </c>
      <c r="E1340" s="3" t="s">
        <v>5</v>
      </c>
      <c r="F1340" s="3" t="s">
        <v>10</v>
      </c>
      <c r="G1340" s="3" t="s">
        <v>3147</v>
      </c>
      <c r="H1340" s="3" t="s">
        <v>3148</v>
      </c>
      <c r="I1340" s="3">
        <v>399</v>
      </c>
      <c r="J1340" s="3" t="s">
        <v>11</v>
      </c>
    </row>
    <row r="1341" spans="1:10" x14ac:dyDescent="0.35">
      <c r="A1341" s="3">
        <v>103405554</v>
      </c>
      <c r="B1341" s="3" t="s">
        <v>3149</v>
      </c>
      <c r="C1341" s="3" t="str">
        <f t="shared" si="23"/>
        <v>2022-07-06</v>
      </c>
      <c r="D1341" s="3" t="s">
        <v>9</v>
      </c>
      <c r="E1341" s="3" t="s">
        <v>5</v>
      </c>
      <c r="F1341" s="3" t="s">
        <v>10</v>
      </c>
      <c r="G1341" s="3" t="s">
        <v>3150</v>
      </c>
      <c r="H1341" s="3" t="s">
        <v>3151</v>
      </c>
      <c r="I1341" s="4">
        <v>3134.05</v>
      </c>
      <c r="J1341" s="3" t="s">
        <v>11</v>
      </c>
    </row>
    <row r="1342" spans="1:10" x14ac:dyDescent="0.35">
      <c r="A1342" s="3">
        <v>103405553</v>
      </c>
      <c r="B1342" s="3" t="s">
        <v>3152</v>
      </c>
      <c r="C1342" s="3" t="str">
        <f t="shared" si="23"/>
        <v>2022-07-06</v>
      </c>
      <c r="D1342" s="3" t="s">
        <v>9</v>
      </c>
      <c r="E1342" s="3" t="s">
        <v>5</v>
      </c>
      <c r="F1342" s="3" t="s">
        <v>10</v>
      </c>
      <c r="G1342" s="3" t="s">
        <v>3153</v>
      </c>
      <c r="H1342" s="3" t="s">
        <v>22</v>
      </c>
      <c r="I1342" s="3">
        <v>269</v>
      </c>
      <c r="J1342" s="3" t="s">
        <v>11</v>
      </c>
    </row>
    <row r="1343" spans="1:10" x14ac:dyDescent="0.35">
      <c r="A1343" s="3">
        <v>103405551</v>
      </c>
      <c r="B1343" s="3" t="s">
        <v>3154</v>
      </c>
      <c r="C1343" s="3" t="str">
        <f t="shared" si="23"/>
        <v>2022-07-06</v>
      </c>
      <c r="D1343" s="3" t="s">
        <v>9</v>
      </c>
      <c r="E1343" s="3" t="s">
        <v>5</v>
      </c>
      <c r="F1343" s="3" t="s">
        <v>10</v>
      </c>
      <c r="G1343" s="3" t="s">
        <v>3155</v>
      </c>
      <c r="H1343" s="3" t="s">
        <v>3156</v>
      </c>
      <c r="I1343" s="3">
        <v>748.5</v>
      </c>
      <c r="J1343" s="3" t="s">
        <v>11</v>
      </c>
    </row>
    <row r="1344" spans="1:10" x14ac:dyDescent="0.35">
      <c r="A1344" s="3">
        <v>103405433</v>
      </c>
      <c r="B1344" s="3" t="s">
        <v>3157</v>
      </c>
      <c r="C1344" s="3" t="str">
        <f t="shared" si="23"/>
        <v>2022-07-06</v>
      </c>
      <c r="D1344" s="3" t="s">
        <v>9</v>
      </c>
      <c r="E1344" s="3" t="s">
        <v>5</v>
      </c>
      <c r="F1344" s="3" t="s">
        <v>10</v>
      </c>
      <c r="G1344" s="3" t="s">
        <v>3158</v>
      </c>
      <c r="H1344" s="3" t="s">
        <v>3159</v>
      </c>
      <c r="I1344" s="4">
        <v>1994.05</v>
      </c>
      <c r="J1344" s="3" t="s">
        <v>11</v>
      </c>
    </row>
    <row r="1345" spans="1:10" x14ac:dyDescent="0.35">
      <c r="A1345" s="3">
        <v>103405550</v>
      </c>
      <c r="B1345" s="3" t="s">
        <v>3160</v>
      </c>
      <c r="C1345" s="3" t="str">
        <f t="shared" si="23"/>
        <v>2022-07-06</v>
      </c>
      <c r="D1345" s="3" t="s">
        <v>9</v>
      </c>
      <c r="E1345" s="3" t="s">
        <v>5</v>
      </c>
      <c r="F1345" s="3" t="s">
        <v>10</v>
      </c>
      <c r="G1345" s="3" t="s">
        <v>3161</v>
      </c>
      <c r="H1345" s="3" t="s">
        <v>3162</v>
      </c>
      <c r="I1345" s="4">
        <v>1310.05</v>
      </c>
      <c r="J1345" s="3" t="s">
        <v>11</v>
      </c>
    </row>
    <row r="1346" spans="1:10" x14ac:dyDescent="0.35">
      <c r="A1346" s="3">
        <v>103405549</v>
      </c>
      <c r="B1346" s="3" t="s">
        <v>3163</v>
      </c>
      <c r="C1346" s="3" t="str">
        <f t="shared" si="23"/>
        <v>2022-07-06</v>
      </c>
      <c r="D1346" s="3" t="s">
        <v>9</v>
      </c>
      <c r="E1346" s="3" t="s">
        <v>5</v>
      </c>
      <c r="F1346" s="3" t="s">
        <v>10</v>
      </c>
      <c r="G1346" s="3" t="s">
        <v>3164</v>
      </c>
      <c r="H1346" s="3" t="s">
        <v>3165</v>
      </c>
      <c r="I1346" s="4">
        <v>1196.05</v>
      </c>
      <c r="J1346" s="3" t="s">
        <v>11</v>
      </c>
    </row>
    <row r="1347" spans="1:10" x14ac:dyDescent="0.35">
      <c r="A1347" s="3">
        <v>103405547</v>
      </c>
      <c r="B1347" s="3" t="s">
        <v>3166</v>
      </c>
      <c r="C1347" s="3" t="str">
        <f t="shared" ref="C1347:C1410" si="24">LEFT(B1347,FIND("T",B1347)-1)</f>
        <v>2022-07-06</v>
      </c>
      <c r="D1347" s="3" t="s">
        <v>9</v>
      </c>
      <c r="E1347" s="3" t="s">
        <v>5</v>
      </c>
      <c r="F1347" s="3" t="s">
        <v>12</v>
      </c>
      <c r="G1347" s="3" t="s">
        <v>2515</v>
      </c>
      <c r="H1347" s="3" t="s">
        <v>3167</v>
      </c>
      <c r="I1347" s="5">
        <v>4199</v>
      </c>
      <c r="J1347" s="3" t="s">
        <v>11</v>
      </c>
    </row>
    <row r="1348" spans="1:10" x14ac:dyDescent="0.35">
      <c r="A1348" s="3">
        <v>103405538</v>
      </c>
      <c r="B1348" s="3" t="s">
        <v>3168</v>
      </c>
      <c r="C1348" s="3" t="str">
        <f t="shared" si="24"/>
        <v>2022-07-06</v>
      </c>
      <c r="D1348" s="3" t="s">
        <v>9</v>
      </c>
      <c r="E1348" s="3" t="s">
        <v>5</v>
      </c>
      <c r="F1348" s="3" t="s">
        <v>10</v>
      </c>
      <c r="G1348" s="3" t="s">
        <v>3169</v>
      </c>
      <c r="H1348" s="3" t="s">
        <v>3170</v>
      </c>
      <c r="I1348" s="4">
        <v>1661.55</v>
      </c>
      <c r="J1348" s="3" t="s">
        <v>11</v>
      </c>
    </row>
    <row r="1349" spans="1:10" x14ac:dyDescent="0.35">
      <c r="A1349" s="3">
        <v>103405532</v>
      </c>
      <c r="B1349" s="3" t="s">
        <v>3171</v>
      </c>
      <c r="C1349" s="3" t="str">
        <f t="shared" si="24"/>
        <v>2022-07-06</v>
      </c>
      <c r="D1349" s="3" t="s">
        <v>9</v>
      </c>
      <c r="E1349" s="3" t="s">
        <v>5</v>
      </c>
      <c r="F1349" s="3" t="s">
        <v>10</v>
      </c>
      <c r="G1349" s="3" t="s">
        <v>3147</v>
      </c>
      <c r="H1349" s="3" t="s">
        <v>3148</v>
      </c>
      <c r="I1349" s="3">
        <v>279</v>
      </c>
      <c r="J1349" s="3" t="s">
        <v>11</v>
      </c>
    </row>
    <row r="1350" spans="1:10" x14ac:dyDescent="0.35">
      <c r="A1350" s="3">
        <v>103405421</v>
      </c>
      <c r="B1350" s="3" t="s">
        <v>3172</v>
      </c>
      <c r="C1350" s="3" t="str">
        <f t="shared" si="24"/>
        <v>2022-07-06</v>
      </c>
      <c r="D1350" s="3" t="s">
        <v>9</v>
      </c>
      <c r="E1350" s="3" t="s">
        <v>5</v>
      </c>
      <c r="F1350" s="3" t="s">
        <v>10</v>
      </c>
      <c r="G1350" s="3" t="s">
        <v>3173</v>
      </c>
      <c r="H1350" s="3" t="s">
        <v>3174</v>
      </c>
      <c r="I1350" s="3">
        <v>474.05</v>
      </c>
      <c r="J1350" s="3" t="s">
        <v>11</v>
      </c>
    </row>
    <row r="1351" spans="1:10" x14ac:dyDescent="0.35">
      <c r="A1351" s="3">
        <v>103405420</v>
      </c>
      <c r="B1351" s="3" t="s">
        <v>3175</v>
      </c>
      <c r="C1351" s="3" t="str">
        <f t="shared" si="24"/>
        <v>2022-07-06</v>
      </c>
      <c r="D1351" s="3" t="s">
        <v>9</v>
      </c>
      <c r="E1351" s="3" t="s">
        <v>5</v>
      </c>
      <c r="F1351" s="3" t="s">
        <v>10</v>
      </c>
      <c r="G1351" s="3" t="s">
        <v>3176</v>
      </c>
      <c r="H1351" s="3" t="s">
        <v>3177</v>
      </c>
      <c r="I1351" s="4">
        <v>4872.6000000000004</v>
      </c>
      <c r="J1351" s="3" t="s">
        <v>11</v>
      </c>
    </row>
    <row r="1352" spans="1:10" x14ac:dyDescent="0.35">
      <c r="A1352" s="3">
        <v>103405531</v>
      </c>
      <c r="B1352" s="3" t="s">
        <v>3178</v>
      </c>
      <c r="C1352" s="3" t="str">
        <f t="shared" si="24"/>
        <v>2022-07-06</v>
      </c>
      <c r="D1352" s="3" t="s">
        <v>9</v>
      </c>
      <c r="E1352" s="3" t="s">
        <v>5</v>
      </c>
      <c r="F1352" s="3" t="s">
        <v>10</v>
      </c>
      <c r="G1352" s="3" t="s">
        <v>3179</v>
      </c>
      <c r="H1352" s="3" t="s">
        <v>3180</v>
      </c>
      <c r="I1352" s="4">
        <v>1835.68</v>
      </c>
      <c r="J1352" s="3" t="s">
        <v>11</v>
      </c>
    </row>
    <row r="1353" spans="1:10" x14ac:dyDescent="0.35">
      <c r="A1353" s="3">
        <v>103405419</v>
      </c>
      <c r="B1353" s="3" t="s">
        <v>3181</v>
      </c>
      <c r="C1353" s="3" t="str">
        <f t="shared" si="24"/>
        <v>2022-07-06</v>
      </c>
      <c r="D1353" s="3" t="s">
        <v>9</v>
      </c>
      <c r="E1353" s="3" t="s">
        <v>5</v>
      </c>
      <c r="F1353" s="3" t="s">
        <v>12</v>
      </c>
      <c r="G1353" s="3" t="s">
        <v>3182</v>
      </c>
      <c r="H1353" s="3" t="s">
        <v>3183</v>
      </c>
      <c r="I1353" s="5">
        <v>8398</v>
      </c>
      <c r="J1353" s="3" t="s">
        <v>11</v>
      </c>
    </row>
    <row r="1354" spans="1:10" x14ac:dyDescent="0.35">
      <c r="A1354" s="3">
        <v>103405528</v>
      </c>
      <c r="B1354" s="3" t="s">
        <v>3184</v>
      </c>
      <c r="C1354" s="3" t="str">
        <f t="shared" si="24"/>
        <v>2022-07-06</v>
      </c>
      <c r="D1354" s="3" t="s">
        <v>9</v>
      </c>
      <c r="E1354" s="3" t="s">
        <v>5</v>
      </c>
      <c r="F1354" s="3" t="s">
        <v>10</v>
      </c>
      <c r="G1354" s="3" t="s">
        <v>1114</v>
      </c>
      <c r="H1354" s="3" t="s">
        <v>3185</v>
      </c>
      <c r="I1354" s="5">
        <v>3849</v>
      </c>
      <c r="J1354" s="3" t="s">
        <v>11</v>
      </c>
    </row>
    <row r="1355" spans="1:10" x14ac:dyDescent="0.35">
      <c r="A1355" s="3">
        <v>103405416</v>
      </c>
      <c r="B1355" s="3" t="s">
        <v>3186</v>
      </c>
      <c r="C1355" s="3" t="str">
        <f t="shared" si="24"/>
        <v>2022-07-06</v>
      </c>
      <c r="D1355" s="3" t="s">
        <v>9</v>
      </c>
      <c r="E1355" s="3" t="s">
        <v>5</v>
      </c>
      <c r="F1355" s="3" t="s">
        <v>10</v>
      </c>
      <c r="G1355" s="3" t="s">
        <v>3187</v>
      </c>
      <c r="H1355" s="3" t="s">
        <v>3188</v>
      </c>
      <c r="I1355" s="5">
        <v>3599</v>
      </c>
      <c r="J1355" s="3" t="s">
        <v>11</v>
      </c>
    </row>
    <row r="1356" spans="1:10" x14ac:dyDescent="0.35">
      <c r="A1356" s="3">
        <v>103405415</v>
      </c>
      <c r="B1356" s="3" t="s">
        <v>3189</v>
      </c>
      <c r="C1356" s="3" t="str">
        <f t="shared" si="24"/>
        <v>2022-07-06</v>
      </c>
      <c r="D1356" s="3" t="s">
        <v>9</v>
      </c>
      <c r="E1356" s="3" t="s">
        <v>5</v>
      </c>
      <c r="F1356" s="3" t="s">
        <v>10</v>
      </c>
      <c r="G1356" s="3" t="s">
        <v>3190</v>
      </c>
      <c r="H1356" s="3" t="s">
        <v>3191</v>
      </c>
      <c r="I1356" s="5">
        <v>1649</v>
      </c>
      <c r="J1356" s="3" t="s">
        <v>11</v>
      </c>
    </row>
    <row r="1357" spans="1:10" x14ac:dyDescent="0.35">
      <c r="A1357" s="3">
        <v>103405414</v>
      </c>
      <c r="B1357" s="3" t="s">
        <v>3192</v>
      </c>
      <c r="C1357" s="3" t="str">
        <f t="shared" si="24"/>
        <v>2022-07-06</v>
      </c>
      <c r="D1357" s="3" t="s">
        <v>9</v>
      </c>
      <c r="E1357" s="3" t="s">
        <v>5</v>
      </c>
      <c r="F1357" s="3" t="s">
        <v>10</v>
      </c>
      <c r="G1357" s="3" t="s">
        <v>3193</v>
      </c>
      <c r="H1357" s="3" t="s">
        <v>3194</v>
      </c>
      <c r="I1357" s="5">
        <v>4199</v>
      </c>
      <c r="J1357" s="3" t="s">
        <v>11</v>
      </c>
    </row>
    <row r="1358" spans="1:10" x14ac:dyDescent="0.35">
      <c r="A1358" s="3">
        <v>103405523</v>
      </c>
      <c r="B1358" s="3" t="s">
        <v>3195</v>
      </c>
      <c r="C1358" s="3" t="str">
        <f t="shared" si="24"/>
        <v>2022-07-06</v>
      </c>
      <c r="D1358" s="3" t="s">
        <v>9</v>
      </c>
      <c r="E1358" s="3" t="s">
        <v>5</v>
      </c>
      <c r="F1358" s="3" t="s">
        <v>10</v>
      </c>
      <c r="G1358" s="3" t="s">
        <v>3196</v>
      </c>
      <c r="H1358" s="3" t="s">
        <v>3197</v>
      </c>
      <c r="I1358" s="4">
        <v>2564.14</v>
      </c>
      <c r="J1358" s="3" t="s">
        <v>11</v>
      </c>
    </row>
    <row r="1359" spans="1:10" x14ac:dyDescent="0.35">
      <c r="A1359" s="3">
        <v>103405411</v>
      </c>
      <c r="B1359" s="3" t="s">
        <v>3198</v>
      </c>
      <c r="C1359" s="3" t="str">
        <f t="shared" si="24"/>
        <v>2022-07-06</v>
      </c>
      <c r="D1359" s="3" t="s">
        <v>9</v>
      </c>
      <c r="E1359" s="3" t="s">
        <v>5</v>
      </c>
      <c r="F1359" s="3" t="s">
        <v>10</v>
      </c>
      <c r="G1359" s="3" t="s">
        <v>3199</v>
      </c>
      <c r="H1359" s="3" t="s">
        <v>3200</v>
      </c>
      <c r="I1359" s="5">
        <v>1199</v>
      </c>
      <c r="J1359" s="3" t="s">
        <v>11</v>
      </c>
    </row>
    <row r="1360" spans="1:10" x14ac:dyDescent="0.35">
      <c r="A1360" s="3">
        <v>103405410</v>
      </c>
      <c r="B1360" s="3" t="s">
        <v>3201</v>
      </c>
      <c r="C1360" s="3" t="str">
        <f t="shared" si="24"/>
        <v>2022-07-06</v>
      </c>
      <c r="D1360" s="3" t="s">
        <v>9</v>
      </c>
      <c r="E1360" s="3" t="s">
        <v>5</v>
      </c>
      <c r="F1360" s="3" t="s">
        <v>10</v>
      </c>
      <c r="G1360" s="3" t="s">
        <v>3202</v>
      </c>
      <c r="H1360" s="3" t="s">
        <v>3203</v>
      </c>
      <c r="I1360" s="5">
        <v>3249</v>
      </c>
      <c r="J1360" s="3" t="s">
        <v>11</v>
      </c>
    </row>
    <row r="1361" spans="1:10" x14ac:dyDescent="0.35">
      <c r="A1361" s="3">
        <v>103405409</v>
      </c>
      <c r="B1361" s="3" t="s">
        <v>3204</v>
      </c>
      <c r="C1361" s="3" t="str">
        <f t="shared" si="24"/>
        <v>2022-07-06</v>
      </c>
      <c r="D1361" s="3" t="s">
        <v>9</v>
      </c>
      <c r="E1361" s="3" t="s">
        <v>5</v>
      </c>
      <c r="F1361" s="3" t="s">
        <v>10</v>
      </c>
      <c r="G1361" s="3" t="s">
        <v>3205</v>
      </c>
      <c r="H1361" s="3" t="s">
        <v>3206</v>
      </c>
      <c r="I1361" s="4">
        <v>5556.55</v>
      </c>
      <c r="J1361" s="3" t="s">
        <v>11</v>
      </c>
    </row>
    <row r="1362" spans="1:10" x14ac:dyDescent="0.35">
      <c r="A1362" s="3">
        <v>103405408</v>
      </c>
      <c r="B1362" s="3" t="s">
        <v>3207</v>
      </c>
      <c r="C1362" s="3" t="str">
        <f t="shared" si="24"/>
        <v>2022-07-06</v>
      </c>
      <c r="D1362" s="3" t="s">
        <v>9</v>
      </c>
      <c r="E1362" s="3" t="s">
        <v>5</v>
      </c>
      <c r="F1362" s="3" t="s">
        <v>10</v>
      </c>
      <c r="G1362" s="3" t="s">
        <v>3208</v>
      </c>
      <c r="H1362" s="3" t="s">
        <v>3209</v>
      </c>
      <c r="I1362" s="3">
        <v>616.54999999999995</v>
      </c>
      <c r="J1362" s="3" t="s">
        <v>11</v>
      </c>
    </row>
    <row r="1363" spans="1:10" x14ac:dyDescent="0.35">
      <c r="A1363" s="3">
        <v>103405519</v>
      </c>
      <c r="B1363" s="3" t="s">
        <v>3210</v>
      </c>
      <c r="C1363" s="3" t="str">
        <f t="shared" si="24"/>
        <v>2022-07-06</v>
      </c>
      <c r="D1363" s="3" t="s">
        <v>9</v>
      </c>
      <c r="E1363" s="3" t="s">
        <v>5</v>
      </c>
      <c r="F1363" s="3" t="s">
        <v>10</v>
      </c>
      <c r="G1363" s="3" t="s">
        <v>1001</v>
      </c>
      <c r="H1363" s="3" t="s">
        <v>1002</v>
      </c>
      <c r="I1363" s="5">
        <v>1399</v>
      </c>
      <c r="J1363" s="3" t="s">
        <v>11</v>
      </c>
    </row>
    <row r="1364" spans="1:10" x14ac:dyDescent="0.35">
      <c r="A1364" s="3">
        <v>103405407</v>
      </c>
      <c r="B1364" s="3" t="s">
        <v>3211</v>
      </c>
      <c r="C1364" s="3" t="str">
        <f t="shared" si="24"/>
        <v>2022-07-06</v>
      </c>
      <c r="D1364" s="3" t="s">
        <v>9</v>
      </c>
      <c r="E1364" s="3" t="s">
        <v>5</v>
      </c>
      <c r="F1364" s="3" t="s">
        <v>10</v>
      </c>
      <c r="G1364" s="3" t="s">
        <v>3212</v>
      </c>
      <c r="H1364" s="3" t="s">
        <v>3213</v>
      </c>
      <c r="I1364" s="4">
        <v>3656.55</v>
      </c>
      <c r="J1364" s="3" t="s">
        <v>11</v>
      </c>
    </row>
    <row r="1365" spans="1:10" x14ac:dyDescent="0.35">
      <c r="A1365" s="3">
        <v>103405405</v>
      </c>
      <c r="B1365" s="3" t="s">
        <v>3214</v>
      </c>
      <c r="C1365" s="3" t="str">
        <f t="shared" si="24"/>
        <v>2022-07-06</v>
      </c>
      <c r="D1365" s="3" t="s">
        <v>9</v>
      </c>
      <c r="E1365" s="3" t="s">
        <v>5</v>
      </c>
      <c r="F1365" s="3" t="s">
        <v>10</v>
      </c>
      <c r="G1365" s="3" t="s">
        <v>3215</v>
      </c>
      <c r="H1365" s="3" t="s">
        <v>3216</v>
      </c>
      <c r="I1365" s="4">
        <v>3656.55</v>
      </c>
      <c r="J1365" s="3" t="s">
        <v>11</v>
      </c>
    </row>
    <row r="1366" spans="1:10" x14ac:dyDescent="0.35">
      <c r="A1366" s="3">
        <v>103405404</v>
      </c>
      <c r="B1366" s="3" t="s">
        <v>3217</v>
      </c>
      <c r="C1366" s="3" t="str">
        <f t="shared" si="24"/>
        <v>2022-07-06</v>
      </c>
      <c r="D1366" s="3" t="s">
        <v>9</v>
      </c>
      <c r="E1366" s="3" t="s">
        <v>5</v>
      </c>
      <c r="F1366" s="3" t="s">
        <v>10</v>
      </c>
      <c r="G1366" s="3" t="s">
        <v>3218</v>
      </c>
      <c r="H1366" s="3" t="s">
        <v>3219</v>
      </c>
      <c r="I1366" s="4">
        <v>3799.05</v>
      </c>
      <c r="J1366" s="3" t="s">
        <v>11</v>
      </c>
    </row>
    <row r="1367" spans="1:10" x14ac:dyDescent="0.35">
      <c r="A1367" s="3">
        <v>103405509</v>
      </c>
      <c r="B1367" s="3" t="s">
        <v>3220</v>
      </c>
      <c r="C1367" s="3" t="str">
        <f t="shared" si="24"/>
        <v>2022-07-06</v>
      </c>
      <c r="D1367" s="3" t="s">
        <v>9</v>
      </c>
      <c r="E1367" s="3" t="s">
        <v>5</v>
      </c>
      <c r="F1367" s="3" t="s">
        <v>10</v>
      </c>
      <c r="G1367" s="3" t="s">
        <v>3221</v>
      </c>
      <c r="H1367" s="3" t="s">
        <v>3222</v>
      </c>
      <c r="I1367" s="5">
        <v>5199</v>
      </c>
      <c r="J1367" s="3" t="s">
        <v>11</v>
      </c>
    </row>
    <row r="1368" spans="1:10" x14ac:dyDescent="0.35">
      <c r="A1368" s="3">
        <v>103405508</v>
      </c>
      <c r="B1368" s="3" t="s">
        <v>3223</v>
      </c>
      <c r="C1368" s="3" t="str">
        <f t="shared" si="24"/>
        <v>2022-07-06</v>
      </c>
      <c r="D1368" s="3" t="s">
        <v>9</v>
      </c>
      <c r="E1368" s="3" t="s">
        <v>5</v>
      </c>
      <c r="F1368" s="3" t="s">
        <v>10</v>
      </c>
      <c r="G1368" s="3" t="s">
        <v>3224</v>
      </c>
      <c r="H1368" s="3" t="s">
        <v>3225</v>
      </c>
      <c r="I1368" s="4">
        <v>3419.14</v>
      </c>
      <c r="J1368" s="3" t="s">
        <v>11</v>
      </c>
    </row>
    <row r="1369" spans="1:10" x14ac:dyDescent="0.35">
      <c r="A1369" s="3">
        <v>103405507</v>
      </c>
      <c r="B1369" s="3" t="s">
        <v>3226</v>
      </c>
      <c r="C1369" s="3" t="str">
        <f t="shared" si="24"/>
        <v>2022-07-06</v>
      </c>
      <c r="D1369" s="3" t="s">
        <v>9</v>
      </c>
      <c r="E1369" s="3" t="s">
        <v>5</v>
      </c>
      <c r="F1369" s="3" t="s">
        <v>10</v>
      </c>
      <c r="G1369" s="3" t="s">
        <v>3227</v>
      </c>
      <c r="H1369" s="3" t="s">
        <v>3228</v>
      </c>
      <c r="I1369" s="3">
        <v>359</v>
      </c>
      <c r="J1369" s="3" t="s">
        <v>11</v>
      </c>
    </row>
    <row r="1370" spans="1:10" x14ac:dyDescent="0.35">
      <c r="A1370" s="3">
        <v>103405506</v>
      </c>
      <c r="B1370" s="3" t="s">
        <v>3229</v>
      </c>
      <c r="C1370" s="3" t="str">
        <f t="shared" si="24"/>
        <v>2022-07-06</v>
      </c>
      <c r="D1370" s="3" t="s">
        <v>9</v>
      </c>
      <c r="E1370" s="3" t="s">
        <v>5</v>
      </c>
      <c r="F1370" s="3" t="s">
        <v>10</v>
      </c>
      <c r="G1370" s="3" t="s">
        <v>3230</v>
      </c>
      <c r="H1370" s="3" t="s">
        <v>3231</v>
      </c>
      <c r="I1370" s="3">
        <v>489</v>
      </c>
      <c r="J1370" s="3" t="s">
        <v>11</v>
      </c>
    </row>
    <row r="1371" spans="1:10" x14ac:dyDescent="0.35">
      <c r="A1371" s="3">
        <v>103405398</v>
      </c>
      <c r="B1371" s="3" t="s">
        <v>3232</v>
      </c>
      <c r="C1371" s="3" t="str">
        <f t="shared" si="24"/>
        <v>2022-07-06</v>
      </c>
      <c r="D1371" s="3" t="s">
        <v>9</v>
      </c>
      <c r="E1371" s="3" t="s">
        <v>5</v>
      </c>
      <c r="F1371" s="3" t="s">
        <v>10</v>
      </c>
      <c r="G1371" s="3" t="s">
        <v>3233</v>
      </c>
      <c r="H1371" s="3" t="s">
        <v>3234</v>
      </c>
      <c r="I1371" s="4">
        <v>4094.1</v>
      </c>
      <c r="J1371" s="3" t="s">
        <v>11</v>
      </c>
    </row>
    <row r="1372" spans="1:10" x14ac:dyDescent="0.35">
      <c r="A1372" s="3">
        <v>103405397</v>
      </c>
      <c r="B1372" s="3" t="s">
        <v>3235</v>
      </c>
      <c r="C1372" s="3" t="str">
        <f t="shared" si="24"/>
        <v>2022-07-06</v>
      </c>
      <c r="D1372" s="3" t="s">
        <v>9</v>
      </c>
      <c r="E1372" s="3" t="s">
        <v>5</v>
      </c>
      <c r="F1372" s="3" t="s">
        <v>10</v>
      </c>
      <c r="G1372" s="3" t="s">
        <v>3236</v>
      </c>
      <c r="H1372" s="3" t="s">
        <v>3237</v>
      </c>
      <c r="I1372" s="4">
        <v>3656.55</v>
      </c>
      <c r="J1372" s="3" t="s">
        <v>11</v>
      </c>
    </row>
    <row r="1373" spans="1:10" x14ac:dyDescent="0.35">
      <c r="A1373" s="3">
        <v>103405396</v>
      </c>
      <c r="B1373" s="3" t="s">
        <v>3238</v>
      </c>
      <c r="C1373" s="3" t="str">
        <f t="shared" si="24"/>
        <v>2022-07-06</v>
      </c>
      <c r="D1373" s="3" t="s">
        <v>9</v>
      </c>
      <c r="E1373" s="3" t="s">
        <v>5</v>
      </c>
      <c r="F1373" s="3" t="s">
        <v>10</v>
      </c>
      <c r="G1373" s="3" t="s">
        <v>15</v>
      </c>
      <c r="H1373" s="3" t="s">
        <v>16</v>
      </c>
      <c r="I1373" s="4">
        <v>1049.25</v>
      </c>
      <c r="J1373" s="3" t="s">
        <v>11</v>
      </c>
    </row>
    <row r="1374" spans="1:10" x14ac:dyDescent="0.35">
      <c r="A1374" s="3">
        <v>103405496</v>
      </c>
      <c r="B1374" s="3" t="s">
        <v>3239</v>
      </c>
      <c r="C1374" s="3" t="str">
        <f t="shared" si="24"/>
        <v>2022-07-06</v>
      </c>
      <c r="D1374" s="3" t="s">
        <v>9</v>
      </c>
      <c r="E1374" s="3" t="s">
        <v>5</v>
      </c>
      <c r="F1374" s="3" t="s">
        <v>10</v>
      </c>
      <c r="G1374" s="3" t="s">
        <v>3240</v>
      </c>
      <c r="H1374" s="3" t="s">
        <v>3241</v>
      </c>
      <c r="I1374" s="5">
        <v>4199</v>
      </c>
      <c r="J1374" s="3" t="s">
        <v>11</v>
      </c>
    </row>
    <row r="1375" spans="1:10" x14ac:dyDescent="0.35">
      <c r="A1375" s="3">
        <v>103405493</v>
      </c>
      <c r="B1375" s="3" t="s">
        <v>3242</v>
      </c>
      <c r="C1375" s="3" t="str">
        <f t="shared" si="24"/>
        <v>2022-07-06</v>
      </c>
      <c r="D1375" s="3" t="s">
        <v>9</v>
      </c>
      <c r="E1375" s="3" t="s">
        <v>5</v>
      </c>
      <c r="F1375" s="3" t="s">
        <v>10</v>
      </c>
      <c r="G1375" s="3" t="s">
        <v>3243</v>
      </c>
      <c r="H1375" s="3" t="s">
        <v>3244</v>
      </c>
      <c r="I1375" s="4">
        <v>2193.5500000000002</v>
      </c>
      <c r="J1375" s="3" t="s">
        <v>11</v>
      </c>
    </row>
    <row r="1376" spans="1:10" x14ac:dyDescent="0.35">
      <c r="A1376" s="3">
        <v>103405492</v>
      </c>
      <c r="B1376" s="3" t="s">
        <v>3245</v>
      </c>
      <c r="C1376" s="3" t="str">
        <f t="shared" si="24"/>
        <v>2022-07-06</v>
      </c>
      <c r="D1376" s="3" t="s">
        <v>9</v>
      </c>
      <c r="E1376" s="3" t="s">
        <v>5</v>
      </c>
      <c r="F1376" s="3" t="s">
        <v>12</v>
      </c>
      <c r="G1376" s="3" t="s">
        <v>3246</v>
      </c>
      <c r="H1376" s="3" t="s">
        <v>3247</v>
      </c>
      <c r="I1376" s="5">
        <v>3599</v>
      </c>
      <c r="J1376" s="3" t="s">
        <v>11</v>
      </c>
    </row>
    <row r="1377" spans="1:10" x14ac:dyDescent="0.35">
      <c r="A1377" s="3">
        <v>103405491</v>
      </c>
      <c r="B1377" s="3" t="s">
        <v>3248</v>
      </c>
      <c r="C1377" s="3" t="str">
        <f t="shared" si="24"/>
        <v>2022-07-06</v>
      </c>
      <c r="D1377" s="3" t="s">
        <v>9</v>
      </c>
      <c r="E1377" s="3" t="s">
        <v>5</v>
      </c>
      <c r="F1377" s="3" t="s">
        <v>10</v>
      </c>
      <c r="G1377" s="3" t="s">
        <v>3249</v>
      </c>
      <c r="H1377" s="3" t="s">
        <v>3250</v>
      </c>
      <c r="I1377" s="4">
        <v>1755.6</v>
      </c>
      <c r="J1377" s="3" t="s">
        <v>11</v>
      </c>
    </row>
    <row r="1378" spans="1:10" x14ac:dyDescent="0.35">
      <c r="A1378" s="3">
        <v>103405490</v>
      </c>
      <c r="B1378" s="3" t="s">
        <v>3251</v>
      </c>
      <c r="C1378" s="3" t="str">
        <f t="shared" si="24"/>
        <v>2022-07-06</v>
      </c>
      <c r="D1378" s="3" t="s">
        <v>9</v>
      </c>
      <c r="E1378" s="3" t="s">
        <v>5</v>
      </c>
      <c r="F1378" s="3" t="s">
        <v>12</v>
      </c>
      <c r="G1378" s="3" t="s">
        <v>3252</v>
      </c>
      <c r="H1378" s="3" t="s">
        <v>3253</v>
      </c>
      <c r="I1378" s="5">
        <v>1349</v>
      </c>
      <c r="J1378" s="3" t="s">
        <v>11</v>
      </c>
    </row>
    <row r="1379" spans="1:10" x14ac:dyDescent="0.35">
      <c r="A1379" s="3">
        <v>103405484</v>
      </c>
      <c r="B1379" s="3" t="s">
        <v>3254</v>
      </c>
      <c r="C1379" s="3" t="str">
        <f t="shared" si="24"/>
        <v>2022-07-06</v>
      </c>
      <c r="D1379" s="3" t="s">
        <v>9</v>
      </c>
      <c r="E1379" s="3" t="s">
        <v>5</v>
      </c>
      <c r="F1379" s="3" t="s">
        <v>10</v>
      </c>
      <c r="G1379" s="3" t="s">
        <v>3255</v>
      </c>
      <c r="H1379" s="3" t="s">
        <v>3256</v>
      </c>
      <c r="I1379" s="5">
        <v>6565</v>
      </c>
      <c r="J1379" s="3" t="s">
        <v>11</v>
      </c>
    </row>
    <row r="1380" spans="1:10" x14ac:dyDescent="0.35">
      <c r="A1380" s="3">
        <v>103405390</v>
      </c>
      <c r="B1380" s="3" t="s">
        <v>3257</v>
      </c>
      <c r="C1380" s="3" t="str">
        <f t="shared" si="24"/>
        <v>2022-07-06</v>
      </c>
      <c r="D1380" s="3" t="s">
        <v>9</v>
      </c>
      <c r="E1380" s="3" t="s">
        <v>5</v>
      </c>
      <c r="F1380" s="3" t="s">
        <v>10</v>
      </c>
      <c r="G1380" s="3" t="s">
        <v>3258</v>
      </c>
      <c r="H1380" s="3" t="s">
        <v>3259</v>
      </c>
      <c r="I1380" s="5">
        <v>1248</v>
      </c>
      <c r="J1380" s="3" t="s">
        <v>11</v>
      </c>
    </row>
    <row r="1381" spans="1:10" x14ac:dyDescent="0.35">
      <c r="A1381" s="3">
        <v>103405388</v>
      </c>
      <c r="B1381" s="3" t="s">
        <v>3260</v>
      </c>
      <c r="C1381" s="3" t="str">
        <f t="shared" si="24"/>
        <v>2022-07-06</v>
      </c>
      <c r="D1381" s="3" t="s">
        <v>9</v>
      </c>
      <c r="E1381" s="3" t="s">
        <v>5</v>
      </c>
      <c r="F1381" s="3" t="s">
        <v>10</v>
      </c>
      <c r="G1381" s="3" t="s">
        <v>3261</v>
      </c>
      <c r="H1381" s="3" t="s">
        <v>3262</v>
      </c>
      <c r="I1381" s="3">
        <v>819</v>
      </c>
      <c r="J1381" s="3" t="s">
        <v>11</v>
      </c>
    </row>
    <row r="1382" spans="1:10" x14ac:dyDescent="0.35">
      <c r="A1382" s="3">
        <v>103405385</v>
      </c>
      <c r="B1382" s="3" t="s">
        <v>3263</v>
      </c>
      <c r="C1382" s="3" t="str">
        <f t="shared" si="24"/>
        <v>2022-07-06</v>
      </c>
      <c r="D1382" s="3" t="s">
        <v>9</v>
      </c>
      <c r="E1382" s="3" t="s">
        <v>5</v>
      </c>
      <c r="F1382" s="3" t="s">
        <v>10</v>
      </c>
      <c r="G1382" s="3" t="s">
        <v>3264</v>
      </c>
      <c r="H1382" s="3" t="s">
        <v>3265</v>
      </c>
      <c r="I1382" s="4">
        <v>1165.6500000000001</v>
      </c>
      <c r="J1382" s="3" t="s">
        <v>11</v>
      </c>
    </row>
    <row r="1383" spans="1:10" x14ac:dyDescent="0.35">
      <c r="A1383" s="3">
        <v>103405479</v>
      </c>
      <c r="B1383" s="3" t="s">
        <v>3266</v>
      </c>
      <c r="C1383" s="3" t="str">
        <f t="shared" si="24"/>
        <v>2022-07-06</v>
      </c>
      <c r="D1383" s="3" t="s">
        <v>9</v>
      </c>
      <c r="E1383" s="3" t="s">
        <v>5</v>
      </c>
      <c r="F1383" s="3" t="s">
        <v>10</v>
      </c>
      <c r="G1383" s="3" t="s">
        <v>3267</v>
      </c>
      <c r="H1383" s="3" t="s">
        <v>3268</v>
      </c>
      <c r="I1383" s="4">
        <v>3656.55</v>
      </c>
      <c r="J1383" s="3" t="s">
        <v>11</v>
      </c>
    </row>
    <row r="1384" spans="1:10" x14ac:dyDescent="0.35">
      <c r="A1384" s="3">
        <v>103405478</v>
      </c>
      <c r="B1384" s="3" t="s">
        <v>3266</v>
      </c>
      <c r="C1384" s="3" t="str">
        <f t="shared" si="24"/>
        <v>2022-07-06</v>
      </c>
      <c r="D1384" s="3" t="s">
        <v>9</v>
      </c>
      <c r="E1384" s="3" t="s">
        <v>5</v>
      </c>
      <c r="F1384" s="3" t="s">
        <v>10</v>
      </c>
      <c r="G1384" s="3" t="s">
        <v>1788</v>
      </c>
      <c r="H1384" s="3" t="s">
        <v>1789</v>
      </c>
      <c r="I1384" s="5">
        <v>1119</v>
      </c>
      <c r="J1384" s="3" t="s">
        <v>11</v>
      </c>
    </row>
    <row r="1385" spans="1:10" x14ac:dyDescent="0.35">
      <c r="A1385" s="3">
        <v>103405471</v>
      </c>
      <c r="B1385" s="3" t="s">
        <v>3269</v>
      </c>
      <c r="C1385" s="3" t="str">
        <f t="shared" si="24"/>
        <v>2022-07-06</v>
      </c>
      <c r="D1385" s="3" t="s">
        <v>9</v>
      </c>
      <c r="E1385" s="3" t="s">
        <v>5</v>
      </c>
      <c r="F1385" s="3" t="s">
        <v>10</v>
      </c>
      <c r="G1385" s="3" t="s">
        <v>3270</v>
      </c>
      <c r="H1385" s="3" t="s">
        <v>3271</v>
      </c>
      <c r="I1385" s="4">
        <v>2659.05</v>
      </c>
      <c r="J1385" s="3" t="s">
        <v>11</v>
      </c>
    </row>
    <row r="1386" spans="1:10" x14ac:dyDescent="0.35">
      <c r="A1386" s="3">
        <v>103405381</v>
      </c>
      <c r="B1386" s="3" t="s">
        <v>3272</v>
      </c>
      <c r="C1386" s="3" t="str">
        <f t="shared" si="24"/>
        <v>2022-07-06</v>
      </c>
      <c r="D1386" s="3" t="s">
        <v>9</v>
      </c>
      <c r="E1386" s="3" t="s">
        <v>5</v>
      </c>
      <c r="F1386" s="3" t="s">
        <v>10</v>
      </c>
      <c r="G1386" s="3" t="s">
        <v>3273</v>
      </c>
      <c r="H1386" s="3" t="s">
        <v>3274</v>
      </c>
      <c r="I1386" s="4">
        <v>2611.5500000000002</v>
      </c>
      <c r="J1386" s="3" t="s">
        <v>11</v>
      </c>
    </row>
    <row r="1387" spans="1:10" x14ac:dyDescent="0.35">
      <c r="A1387" s="3">
        <v>103405468</v>
      </c>
      <c r="B1387" s="3" t="s">
        <v>3275</v>
      </c>
      <c r="C1387" s="3" t="str">
        <f t="shared" si="24"/>
        <v>2022-07-06</v>
      </c>
      <c r="D1387" s="3" t="s">
        <v>9</v>
      </c>
      <c r="E1387" s="3" t="s">
        <v>5</v>
      </c>
      <c r="F1387" s="3" t="s">
        <v>12</v>
      </c>
      <c r="G1387" s="3" t="s">
        <v>3276</v>
      </c>
      <c r="H1387" s="3" t="s">
        <v>3277</v>
      </c>
      <c r="I1387" s="3">
        <v>649</v>
      </c>
      <c r="J1387" s="3" t="s">
        <v>11</v>
      </c>
    </row>
    <row r="1388" spans="1:10" x14ac:dyDescent="0.35">
      <c r="A1388" s="3">
        <v>103405378</v>
      </c>
      <c r="B1388" s="3" t="s">
        <v>3278</v>
      </c>
      <c r="C1388" s="3" t="str">
        <f t="shared" si="24"/>
        <v>2022-07-06</v>
      </c>
      <c r="D1388" s="3" t="s">
        <v>9</v>
      </c>
      <c r="E1388" s="3" t="s">
        <v>5</v>
      </c>
      <c r="F1388" s="3" t="s">
        <v>10</v>
      </c>
      <c r="G1388" s="3" t="s">
        <v>3279</v>
      </c>
      <c r="H1388" s="3" t="s">
        <v>3280</v>
      </c>
      <c r="I1388" s="5">
        <v>4199</v>
      </c>
      <c r="J1388" s="3" t="s">
        <v>11</v>
      </c>
    </row>
    <row r="1389" spans="1:10" x14ac:dyDescent="0.35">
      <c r="A1389" s="3">
        <v>103405377</v>
      </c>
      <c r="B1389" s="3" t="s">
        <v>3281</v>
      </c>
      <c r="C1389" s="3" t="str">
        <f t="shared" si="24"/>
        <v>2022-07-06</v>
      </c>
      <c r="D1389" s="3" t="s">
        <v>9</v>
      </c>
      <c r="E1389" s="3" t="s">
        <v>5</v>
      </c>
      <c r="F1389" s="3" t="s">
        <v>10</v>
      </c>
      <c r="G1389" s="3" t="s">
        <v>3282</v>
      </c>
      <c r="H1389" s="3" t="s">
        <v>3283</v>
      </c>
      <c r="I1389" s="5">
        <v>1199</v>
      </c>
      <c r="J1389" s="3" t="s">
        <v>11</v>
      </c>
    </row>
    <row r="1390" spans="1:10" x14ac:dyDescent="0.35">
      <c r="A1390" s="3">
        <v>103405465</v>
      </c>
      <c r="B1390" s="3" t="s">
        <v>3284</v>
      </c>
      <c r="C1390" s="3" t="str">
        <f t="shared" si="24"/>
        <v>2022-07-06</v>
      </c>
      <c r="D1390" s="3" t="s">
        <v>9</v>
      </c>
      <c r="E1390" s="3" t="s">
        <v>5</v>
      </c>
      <c r="F1390" s="3" t="s">
        <v>10</v>
      </c>
      <c r="G1390" s="3" t="s">
        <v>3285</v>
      </c>
      <c r="H1390" s="3" t="s">
        <v>3286</v>
      </c>
      <c r="I1390" s="5">
        <v>6598</v>
      </c>
      <c r="J1390" s="3" t="s">
        <v>11</v>
      </c>
    </row>
    <row r="1391" spans="1:10" x14ac:dyDescent="0.35">
      <c r="A1391" s="3">
        <v>103405373</v>
      </c>
      <c r="B1391" s="3" t="s">
        <v>3287</v>
      </c>
      <c r="C1391" s="3" t="str">
        <f t="shared" si="24"/>
        <v>2022-07-06</v>
      </c>
      <c r="D1391" s="3" t="s">
        <v>9</v>
      </c>
      <c r="E1391" s="3" t="s">
        <v>5</v>
      </c>
      <c r="F1391" s="3" t="s">
        <v>10</v>
      </c>
      <c r="G1391" s="3" t="s">
        <v>3288</v>
      </c>
      <c r="H1391" s="3" t="s">
        <v>3289</v>
      </c>
      <c r="I1391" s="5">
        <v>5599</v>
      </c>
      <c r="J1391" s="3" t="s">
        <v>11</v>
      </c>
    </row>
    <row r="1392" spans="1:10" x14ac:dyDescent="0.35">
      <c r="A1392" s="3">
        <v>103405359</v>
      </c>
      <c r="B1392" s="3" t="s">
        <v>3290</v>
      </c>
      <c r="C1392" s="3" t="str">
        <f t="shared" si="24"/>
        <v>2022-07-06</v>
      </c>
      <c r="D1392" s="3" t="s">
        <v>9</v>
      </c>
      <c r="E1392" s="3" t="s">
        <v>5</v>
      </c>
      <c r="F1392" s="3" t="s">
        <v>10</v>
      </c>
      <c r="G1392" s="3" t="s">
        <v>3291</v>
      </c>
      <c r="H1392" s="3" t="s">
        <v>3292</v>
      </c>
      <c r="I1392" s="4">
        <v>4511.6000000000004</v>
      </c>
      <c r="J1392" s="3" t="s">
        <v>11</v>
      </c>
    </row>
    <row r="1393" spans="1:10" x14ac:dyDescent="0.35">
      <c r="A1393" s="3">
        <v>103405369</v>
      </c>
      <c r="B1393" s="3" t="s">
        <v>3293</v>
      </c>
      <c r="C1393" s="3" t="str">
        <f t="shared" si="24"/>
        <v>2022-07-06</v>
      </c>
      <c r="D1393" s="3" t="s">
        <v>9</v>
      </c>
      <c r="E1393" s="3" t="s">
        <v>5</v>
      </c>
      <c r="F1393" s="3" t="s">
        <v>10</v>
      </c>
      <c r="G1393" s="3" t="s">
        <v>3294</v>
      </c>
      <c r="H1393" s="3" t="s">
        <v>3295</v>
      </c>
      <c r="I1393" s="3">
        <v>439</v>
      </c>
      <c r="J1393" s="3" t="s">
        <v>11</v>
      </c>
    </row>
    <row r="1394" spans="1:10" x14ac:dyDescent="0.35">
      <c r="A1394" s="3">
        <v>103405357</v>
      </c>
      <c r="B1394" s="3" t="s">
        <v>3296</v>
      </c>
      <c r="C1394" s="3" t="str">
        <f t="shared" si="24"/>
        <v>2022-07-06</v>
      </c>
      <c r="D1394" s="3" t="s">
        <v>9</v>
      </c>
      <c r="E1394" s="3" t="s">
        <v>5</v>
      </c>
      <c r="F1394" s="3" t="s">
        <v>10</v>
      </c>
      <c r="G1394" s="3" t="s">
        <v>3255</v>
      </c>
      <c r="H1394" s="3" t="s">
        <v>3256</v>
      </c>
      <c r="I1394" s="5">
        <v>9618</v>
      </c>
      <c r="J1394" s="3" t="s">
        <v>11</v>
      </c>
    </row>
    <row r="1395" spans="1:10" x14ac:dyDescent="0.35">
      <c r="A1395" s="3">
        <v>103405352</v>
      </c>
      <c r="B1395" s="3" t="s">
        <v>3297</v>
      </c>
      <c r="C1395" s="3" t="str">
        <f t="shared" si="24"/>
        <v>2022-07-06</v>
      </c>
      <c r="D1395" s="3" t="s">
        <v>9</v>
      </c>
      <c r="E1395" s="3" t="s">
        <v>5</v>
      </c>
      <c r="F1395" s="3" t="s">
        <v>10</v>
      </c>
      <c r="G1395" s="3" t="s">
        <v>3298</v>
      </c>
      <c r="H1395" s="3" t="s">
        <v>3299</v>
      </c>
      <c r="I1395" s="5">
        <v>1169</v>
      </c>
      <c r="J1395" s="3" t="s">
        <v>11</v>
      </c>
    </row>
    <row r="1396" spans="1:10" x14ac:dyDescent="0.35">
      <c r="A1396" s="3">
        <v>103405365</v>
      </c>
      <c r="B1396" s="3" t="s">
        <v>3297</v>
      </c>
      <c r="C1396" s="3" t="str">
        <f t="shared" si="24"/>
        <v>2022-07-06</v>
      </c>
      <c r="D1396" s="3" t="s">
        <v>9</v>
      </c>
      <c r="E1396" s="3" t="s">
        <v>5</v>
      </c>
      <c r="F1396" s="3" t="s">
        <v>10</v>
      </c>
      <c r="G1396" s="3" t="s">
        <v>3300</v>
      </c>
      <c r="H1396" s="3" t="s">
        <v>3301</v>
      </c>
      <c r="I1396" s="3">
        <v>779</v>
      </c>
      <c r="J1396" s="3" t="s">
        <v>11</v>
      </c>
    </row>
    <row r="1397" spans="1:10" x14ac:dyDescent="0.35">
      <c r="A1397" s="3">
        <v>103405264</v>
      </c>
      <c r="B1397" s="3" t="s">
        <v>3302</v>
      </c>
      <c r="C1397" s="3" t="str">
        <f t="shared" si="24"/>
        <v>2022-07-06</v>
      </c>
      <c r="D1397" s="3" t="s">
        <v>9</v>
      </c>
      <c r="E1397" s="3" t="s">
        <v>5</v>
      </c>
      <c r="F1397" s="3" t="s">
        <v>10</v>
      </c>
      <c r="G1397" s="3" t="s">
        <v>3303</v>
      </c>
      <c r="H1397" s="3" t="s">
        <v>3304</v>
      </c>
      <c r="I1397" s="5">
        <v>1139</v>
      </c>
      <c r="J1397" s="3" t="s">
        <v>11</v>
      </c>
    </row>
    <row r="1398" spans="1:10" x14ac:dyDescent="0.35">
      <c r="A1398" s="3">
        <v>103405350</v>
      </c>
      <c r="B1398" s="3" t="s">
        <v>3305</v>
      </c>
      <c r="C1398" s="3" t="str">
        <f t="shared" si="24"/>
        <v>2022-07-06</v>
      </c>
      <c r="D1398" s="3" t="s">
        <v>9</v>
      </c>
      <c r="E1398" s="3" t="s">
        <v>5</v>
      </c>
      <c r="F1398" s="3" t="s">
        <v>10</v>
      </c>
      <c r="G1398" s="3" t="s">
        <v>3306</v>
      </c>
      <c r="H1398" s="3" t="s">
        <v>3307</v>
      </c>
      <c r="I1398" s="3">
        <v>616.54999999999995</v>
      </c>
      <c r="J1398" s="3" t="s">
        <v>11</v>
      </c>
    </row>
    <row r="1399" spans="1:10" x14ac:dyDescent="0.35">
      <c r="A1399" s="3">
        <v>103405259</v>
      </c>
      <c r="B1399" s="3" t="s">
        <v>3308</v>
      </c>
      <c r="C1399" s="3" t="str">
        <f t="shared" si="24"/>
        <v>2022-07-06</v>
      </c>
      <c r="D1399" s="3" t="s">
        <v>9</v>
      </c>
      <c r="E1399" s="3" t="s">
        <v>5</v>
      </c>
      <c r="F1399" s="3" t="s">
        <v>10</v>
      </c>
      <c r="G1399" s="3" t="s">
        <v>3309</v>
      </c>
      <c r="H1399" s="3" t="s">
        <v>3310</v>
      </c>
      <c r="I1399" s="5">
        <v>3019</v>
      </c>
      <c r="J1399" s="3" t="s">
        <v>11</v>
      </c>
    </row>
    <row r="1400" spans="1:10" x14ac:dyDescent="0.35">
      <c r="A1400" s="3">
        <v>103405257</v>
      </c>
      <c r="B1400" s="3" t="s">
        <v>3311</v>
      </c>
      <c r="C1400" s="3" t="str">
        <f t="shared" si="24"/>
        <v>2022-07-06</v>
      </c>
      <c r="D1400" s="3" t="s">
        <v>9</v>
      </c>
      <c r="E1400" s="3" t="s">
        <v>5</v>
      </c>
      <c r="F1400" s="3" t="s">
        <v>10</v>
      </c>
      <c r="G1400" s="3" t="s">
        <v>3312</v>
      </c>
      <c r="H1400" s="3" t="s">
        <v>3313</v>
      </c>
      <c r="I1400" s="5">
        <v>2249</v>
      </c>
      <c r="J1400" s="3" t="s">
        <v>11</v>
      </c>
    </row>
    <row r="1401" spans="1:10" x14ac:dyDescent="0.35">
      <c r="A1401" s="3">
        <v>103405256</v>
      </c>
      <c r="B1401" s="3" t="s">
        <v>3314</v>
      </c>
      <c r="C1401" s="3" t="str">
        <f t="shared" si="24"/>
        <v>2022-07-06</v>
      </c>
      <c r="D1401" s="3" t="s">
        <v>9</v>
      </c>
      <c r="E1401" s="3" t="s">
        <v>5</v>
      </c>
      <c r="F1401" s="3" t="s">
        <v>10</v>
      </c>
      <c r="G1401" s="3" t="s">
        <v>3315</v>
      </c>
      <c r="H1401" s="3" t="s">
        <v>3316</v>
      </c>
      <c r="I1401" s="5">
        <v>4898</v>
      </c>
      <c r="J1401" s="3" t="s">
        <v>11</v>
      </c>
    </row>
    <row r="1402" spans="1:10" x14ac:dyDescent="0.35">
      <c r="A1402" s="3">
        <v>103405343</v>
      </c>
      <c r="B1402" s="3" t="s">
        <v>3317</v>
      </c>
      <c r="C1402" s="3" t="str">
        <f t="shared" si="24"/>
        <v>2022-07-06</v>
      </c>
      <c r="D1402" s="3" t="s">
        <v>9</v>
      </c>
      <c r="E1402" s="3" t="s">
        <v>5</v>
      </c>
      <c r="F1402" s="3" t="s">
        <v>10</v>
      </c>
      <c r="G1402" s="3" t="s">
        <v>3318</v>
      </c>
      <c r="H1402" s="3" t="s">
        <v>3319</v>
      </c>
      <c r="I1402" s="4">
        <v>2991.55</v>
      </c>
      <c r="J1402" s="3" t="s">
        <v>11</v>
      </c>
    </row>
    <row r="1403" spans="1:10" x14ac:dyDescent="0.35">
      <c r="A1403" s="3">
        <v>103405254</v>
      </c>
      <c r="B1403" s="3" t="s">
        <v>3320</v>
      </c>
      <c r="C1403" s="3" t="str">
        <f t="shared" si="24"/>
        <v>2022-07-06</v>
      </c>
      <c r="D1403" s="3" t="s">
        <v>9</v>
      </c>
      <c r="E1403" s="3" t="s">
        <v>5</v>
      </c>
      <c r="F1403" s="3" t="s">
        <v>10</v>
      </c>
      <c r="G1403" s="3" t="s">
        <v>3321</v>
      </c>
      <c r="H1403" s="3" t="s">
        <v>3322</v>
      </c>
      <c r="I1403" s="4">
        <v>1259.0999999999999</v>
      </c>
      <c r="J1403" s="3" t="s">
        <v>11</v>
      </c>
    </row>
    <row r="1404" spans="1:10" x14ac:dyDescent="0.35">
      <c r="A1404" s="3">
        <v>103405340</v>
      </c>
      <c r="B1404" s="3" t="s">
        <v>3323</v>
      </c>
      <c r="C1404" s="3" t="str">
        <f t="shared" si="24"/>
        <v>2022-07-06</v>
      </c>
      <c r="D1404" s="3" t="s">
        <v>9</v>
      </c>
      <c r="E1404" s="3" t="s">
        <v>5</v>
      </c>
      <c r="F1404" s="3" t="s">
        <v>10</v>
      </c>
      <c r="G1404" s="3" t="s">
        <v>3324</v>
      </c>
      <c r="H1404" s="3" t="s">
        <v>3325</v>
      </c>
      <c r="I1404" s="3">
        <v>464.55</v>
      </c>
      <c r="J1404" s="3" t="s">
        <v>11</v>
      </c>
    </row>
    <row r="1405" spans="1:10" x14ac:dyDescent="0.35">
      <c r="A1405" s="3">
        <v>103405337</v>
      </c>
      <c r="B1405" s="3" t="s">
        <v>3326</v>
      </c>
      <c r="C1405" s="3" t="str">
        <f t="shared" si="24"/>
        <v>2022-07-06</v>
      </c>
      <c r="D1405" s="3" t="s">
        <v>9</v>
      </c>
      <c r="E1405" s="3" t="s">
        <v>5</v>
      </c>
      <c r="F1405" s="3" t="s">
        <v>10</v>
      </c>
      <c r="G1405" s="3" t="s">
        <v>3327</v>
      </c>
      <c r="H1405" s="3" t="s">
        <v>3328</v>
      </c>
      <c r="I1405" s="3">
        <v>649</v>
      </c>
      <c r="J1405" s="3" t="s">
        <v>11</v>
      </c>
    </row>
    <row r="1406" spans="1:10" x14ac:dyDescent="0.35">
      <c r="A1406" s="3">
        <v>103405249</v>
      </c>
      <c r="B1406" s="3" t="s">
        <v>3329</v>
      </c>
      <c r="C1406" s="3" t="str">
        <f t="shared" si="24"/>
        <v>2022-07-06</v>
      </c>
      <c r="D1406" s="3" t="s">
        <v>9</v>
      </c>
      <c r="E1406" s="3" t="s">
        <v>5</v>
      </c>
      <c r="F1406" s="3" t="s">
        <v>12</v>
      </c>
      <c r="G1406" s="3" t="s">
        <v>3330</v>
      </c>
      <c r="H1406" s="3" t="s">
        <v>3331</v>
      </c>
      <c r="I1406" s="4">
        <v>3134.05</v>
      </c>
      <c r="J1406" s="3" t="s">
        <v>11</v>
      </c>
    </row>
    <row r="1407" spans="1:10" x14ac:dyDescent="0.35">
      <c r="A1407" s="3">
        <v>103405333</v>
      </c>
      <c r="B1407" s="3" t="s">
        <v>3332</v>
      </c>
      <c r="C1407" s="3" t="str">
        <f t="shared" si="24"/>
        <v>2022-07-06</v>
      </c>
      <c r="D1407" s="3" t="s">
        <v>9</v>
      </c>
      <c r="E1407" s="3" t="s">
        <v>5</v>
      </c>
      <c r="F1407" s="3" t="s">
        <v>10</v>
      </c>
      <c r="G1407" s="3" t="s">
        <v>3333</v>
      </c>
      <c r="H1407" s="3" t="s">
        <v>3334</v>
      </c>
      <c r="I1407" s="5">
        <v>1599</v>
      </c>
      <c r="J1407" s="3" t="s">
        <v>11</v>
      </c>
    </row>
    <row r="1408" spans="1:10" x14ac:dyDescent="0.35">
      <c r="A1408" s="3">
        <v>103405330</v>
      </c>
      <c r="B1408" s="3" t="s">
        <v>3335</v>
      </c>
      <c r="C1408" s="3" t="str">
        <f t="shared" si="24"/>
        <v>2022-07-06</v>
      </c>
      <c r="D1408" s="3" t="s">
        <v>9</v>
      </c>
      <c r="E1408" s="3" t="s">
        <v>5</v>
      </c>
      <c r="F1408" s="3" t="s">
        <v>10</v>
      </c>
      <c r="G1408" s="3" t="s">
        <v>3336</v>
      </c>
      <c r="H1408" s="3" t="s">
        <v>3337</v>
      </c>
      <c r="I1408" s="5">
        <v>1399</v>
      </c>
      <c r="J1408" s="3" t="s">
        <v>11</v>
      </c>
    </row>
    <row r="1409" spans="1:10" x14ac:dyDescent="0.35">
      <c r="A1409" s="3">
        <v>103405329</v>
      </c>
      <c r="B1409" s="3" t="s">
        <v>3338</v>
      </c>
      <c r="C1409" s="3" t="str">
        <f t="shared" si="24"/>
        <v>2022-07-06</v>
      </c>
      <c r="D1409" s="3" t="s">
        <v>9</v>
      </c>
      <c r="E1409" s="3" t="s">
        <v>5</v>
      </c>
      <c r="F1409" s="3" t="s">
        <v>10</v>
      </c>
      <c r="G1409" s="3" t="s">
        <v>3339</v>
      </c>
      <c r="H1409" s="3" t="s">
        <v>3340</v>
      </c>
      <c r="I1409" s="4">
        <v>1803.19</v>
      </c>
      <c r="J1409" s="3" t="s">
        <v>11</v>
      </c>
    </row>
    <row r="1410" spans="1:10" x14ac:dyDescent="0.35">
      <c r="A1410" s="3">
        <v>103405228</v>
      </c>
      <c r="B1410" s="3" t="s">
        <v>3341</v>
      </c>
      <c r="C1410" s="3" t="str">
        <f t="shared" si="24"/>
        <v>2022-07-06</v>
      </c>
      <c r="D1410" s="3" t="s">
        <v>9</v>
      </c>
      <c r="E1410" s="3" t="s">
        <v>5</v>
      </c>
      <c r="F1410" s="3" t="s">
        <v>10</v>
      </c>
      <c r="G1410" s="3" t="s">
        <v>3342</v>
      </c>
      <c r="H1410" s="3" t="s">
        <v>3343</v>
      </c>
      <c r="I1410" s="3">
        <v>956.74</v>
      </c>
      <c r="J1410" s="3" t="s">
        <v>11</v>
      </c>
    </row>
    <row r="1411" spans="1:10" x14ac:dyDescent="0.35">
      <c r="A1411" s="3">
        <v>103405225</v>
      </c>
      <c r="B1411" s="3" t="s">
        <v>3344</v>
      </c>
      <c r="C1411" s="3" t="str">
        <f t="shared" ref="C1411:C1474" si="25">LEFT(B1411,FIND("T",B1411)-1)</f>
        <v>2022-07-06</v>
      </c>
      <c r="D1411" s="3" t="s">
        <v>9</v>
      </c>
      <c r="E1411" s="3" t="s">
        <v>5</v>
      </c>
      <c r="F1411" s="3" t="s">
        <v>12</v>
      </c>
      <c r="G1411" s="3" t="s">
        <v>3345</v>
      </c>
      <c r="H1411" s="3" t="s">
        <v>3346</v>
      </c>
      <c r="I1411" s="3">
        <v>768.55</v>
      </c>
      <c r="J1411" s="3" t="s">
        <v>11</v>
      </c>
    </row>
    <row r="1412" spans="1:10" x14ac:dyDescent="0.35">
      <c r="A1412" s="3">
        <v>103405224</v>
      </c>
      <c r="B1412" s="3" t="s">
        <v>3347</v>
      </c>
      <c r="C1412" s="3" t="str">
        <f t="shared" si="25"/>
        <v>2022-07-06</v>
      </c>
      <c r="D1412" s="3" t="s">
        <v>9</v>
      </c>
      <c r="E1412" s="3" t="s">
        <v>5</v>
      </c>
      <c r="F1412" s="3" t="s">
        <v>12</v>
      </c>
      <c r="G1412" s="3" t="s">
        <v>3348</v>
      </c>
      <c r="H1412" s="3" t="s">
        <v>3349</v>
      </c>
      <c r="I1412" s="5">
        <v>1189</v>
      </c>
      <c r="J1412" s="3" t="s">
        <v>11</v>
      </c>
    </row>
    <row r="1413" spans="1:10" x14ac:dyDescent="0.35">
      <c r="A1413" s="3">
        <v>103405222</v>
      </c>
      <c r="B1413" s="3" t="s">
        <v>3350</v>
      </c>
      <c r="C1413" s="3" t="str">
        <f t="shared" si="25"/>
        <v>2022-07-06</v>
      </c>
      <c r="D1413" s="3" t="s">
        <v>9</v>
      </c>
      <c r="E1413" s="3" t="s">
        <v>5</v>
      </c>
      <c r="F1413" s="3" t="s">
        <v>10</v>
      </c>
      <c r="G1413" s="3" t="s">
        <v>3351</v>
      </c>
      <c r="H1413" s="3" t="s">
        <v>3352</v>
      </c>
      <c r="I1413" s="4">
        <v>1794.64</v>
      </c>
      <c r="J1413" s="3" t="s">
        <v>11</v>
      </c>
    </row>
    <row r="1414" spans="1:10" x14ac:dyDescent="0.35">
      <c r="A1414" s="3">
        <v>103405317</v>
      </c>
      <c r="B1414" s="3" t="s">
        <v>3353</v>
      </c>
      <c r="C1414" s="3" t="str">
        <f t="shared" si="25"/>
        <v>2022-07-06</v>
      </c>
      <c r="D1414" s="3" t="s">
        <v>9</v>
      </c>
      <c r="E1414" s="3" t="s">
        <v>5</v>
      </c>
      <c r="F1414" s="3" t="s">
        <v>10</v>
      </c>
      <c r="G1414" s="3" t="s">
        <v>3354</v>
      </c>
      <c r="H1414" s="3" t="s">
        <v>3355</v>
      </c>
      <c r="I1414" s="4">
        <v>2991.55</v>
      </c>
      <c r="J1414" s="3" t="s">
        <v>11</v>
      </c>
    </row>
    <row r="1415" spans="1:10" x14ac:dyDescent="0.35">
      <c r="A1415" s="3">
        <v>103405219</v>
      </c>
      <c r="B1415" s="3" t="s">
        <v>3356</v>
      </c>
      <c r="C1415" s="3" t="str">
        <f t="shared" si="25"/>
        <v>2022-07-06</v>
      </c>
      <c r="D1415" s="3" t="s">
        <v>9</v>
      </c>
      <c r="E1415" s="3" t="s">
        <v>5</v>
      </c>
      <c r="F1415" s="3" t="s">
        <v>12</v>
      </c>
      <c r="G1415" s="3" t="s">
        <v>3357</v>
      </c>
      <c r="H1415" s="3" t="s">
        <v>3358</v>
      </c>
      <c r="I1415" s="5">
        <v>2199</v>
      </c>
      <c r="J1415" s="3" t="s">
        <v>11</v>
      </c>
    </row>
    <row r="1416" spans="1:10" x14ac:dyDescent="0.35">
      <c r="A1416" s="3">
        <v>103405218</v>
      </c>
      <c r="B1416" s="3" t="s">
        <v>3359</v>
      </c>
      <c r="C1416" s="3" t="str">
        <f t="shared" si="25"/>
        <v>2022-07-06</v>
      </c>
      <c r="D1416" s="3" t="s">
        <v>9</v>
      </c>
      <c r="E1416" s="3" t="s">
        <v>5</v>
      </c>
      <c r="F1416" s="3" t="s">
        <v>10</v>
      </c>
      <c r="G1416" s="3" t="s">
        <v>3360</v>
      </c>
      <c r="H1416" s="3" t="s">
        <v>3361</v>
      </c>
      <c r="I1416" s="4">
        <v>4274.1400000000003</v>
      </c>
      <c r="J1416" s="3" t="s">
        <v>11</v>
      </c>
    </row>
    <row r="1417" spans="1:10" x14ac:dyDescent="0.35">
      <c r="A1417" s="3">
        <v>103405311</v>
      </c>
      <c r="B1417" s="3" t="s">
        <v>3362</v>
      </c>
      <c r="C1417" s="3" t="str">
        <f t="shared" si="25"/>
        <v>2022-07-06</v>
      </c>
      <c r="D1417" s="3" t="s">
        <v>9</v>
      </c>
      <c r="E1417" s="3" t="s">
        <v>5</v>
      </c>
      <c r="F1417" s="3" t="s">
        <v>10</v>
      </c>
      <c r="G1417" s="3" t="s">
        <v>3363</v>
      </c>
      <c r="H1417" s="3" t="s">
        <v>3364</v>
      </c>
      <c r="I1417" s="5">
        <v>2399</v>
      </c>
      <c r="J1417" s="3" t="s">
        <v>11</v>
      </c>
    </row>
    <row r="1418" spans="1:10" x14ac:dyDescent="0.35">
      <c r="A1418" s="3">
        <v>103405308</v>
      </c>
      <c r="B1418" s="3" t="s">
        <v>3365</v>
      </c>
      <c r="C1418" s="3" t="str">
        <f t="shared" si="25"/>
        <v>2022-07-06</v>
      </c>
      <c r="D1418" s="3" t="s">
        <v>9</v>
      </c>
      <c r="E1418" s="3" t="s">
        <v>5</v>
      </c>
      <c r="F1418" s="3" t="s">
        <v>10</v>
      </c>
      <c r="G1418" s="3" t="s">
        <v>3366</v>
      </c>
      <c r="H1418" s="3" t="s">
        <v>3367</v>
      </c>
      <c r="I1418" s="4">
        <v>2849.05</v>
      </c>
      <c r="J1418" s="3" t="s">
        <v>11</v>
      </c>
    </row>
    <row r="1419" spans="1:10" x14ac:dyDescent="0.35">
      <c r="A1419" s="3">
        <v>103405307</v>
      </c>
      <c r="B1419" s="3" t="s">
        <v>3368</v>
      </c>
      <c r="C1419" s="3" t="str">
        <f t="shared" si="25"/>
        <v>2022-07-06</v>
      </c>
      <c r="D1419" s="3" t="s">
        <v>9</v>
      </c>
      <c r="E1419" s="3" t="s">
        <v>5</v>
      </c>
      <c r="F1419" s="3" t="s">
        <v>12</v>
      </c>
      <c r="G1419" s="3" t="s">
        <v>3369</v>
      </c>
      <c r="H1419" s="3" t="s">
        <v>3370</v>
      </c>
      <c r="I1419" s="3">
        <v>599</v>
      </c>
      <c r="J1419" s="3" t="s">
        <v>11</v>
      </c>
    </row>
    <row r="1420" spans="1:10" x14ac:dyDescent="0.35">
      <c r="A1420" s="3">
        <v>103405306</v>
      </c>
      <c r="B1420" s="3" t="s">
        <v>3371</v>
      </c>
      <c r="C1420" s="3" t="str">
        <f t="shared" si="25"/>
        <v>2022-07-06</v>
      </c>
      <c r="D1420" s="3" t="s">
        <v>9</v>
      </c>
      <c r="E1420" s="3" t="s">
        <v>5</v>
      </c>
      <c r="F1420" s="3" t="s">
        <v>10</v>
      </c>
      <c r="G1420" s="3" t="s">
        <v>3372</v>
      </c>
      <c r="H1420" s="3" t="s">
        <v>3373</v>
      </c>
      <c r="I1420" s="5">
        <v>1119</v>
      </c>
      <c r="J1420" s="3" t="s">
        <v>11</v>
      </c>
    </row>
    <row r="1421" spans="1:10" x14ac:dyDescent="0.35">
      <c r="A1421" s="3">
        <v>103405214</v>
      </c>
      <c r="B1421" s="3" t="s">
        <v>3374</v>
      </c>
      <c r="C1421" s="3" t="str">
        <f t="shared" si="25"/>
        <v>2022-07-06</v>
      </c>
      <c r="D1421" s="3" t="s">
        <v>9</v>
      </c>
      <c r="E1421" s="3" t="s">
        <v>5</v>
      </c>
      <c r="F1421" s="3" t="s">
        <v>10</v>
      </c>
      <c r="G1421" s="3" t="s">
        <v>3375</v>
      </c>
      <c r="H1421" s="3" t="s">
        <v>3376</v>
      </c>
      <c r="I1421" s="4">
        <v>4179.05</v>
      </c>
      <c r="J1421" s="3" t="s">
        <v>11</v>
      </c>
    </row>
    <row r="1422" spans="1:10" x14ac:dyDescent="0.35">
      <c r="A1422" s="3">
        <v>103405213</v>
      </c>
      <c r="B1422" s="3" t="s">
        <v>3377</v>
      </c>
      <c r="C1422" s="3" t="str">
        <f t="shared" si="25"/>
        <v>2022-07-06</v>
      </c>
      <c r="D1422" s="3" t="s">
        <v>9</v>
      </c>
      <c r="E1422" s="3" t="s">
        <v>5</v>
      </c>
      <c r="F1422" s="3" t="s">
        <v>10</v>
      </c>
      <c r="G1422" s="3" t="s">
        <v>3378</v>
      </c>
      <c r="H1422" s="3" t="s">
        <v>3379</v>
      </c>
      <c r="I1422" s="3">
        <v>969</v>
      </c>
      <c r="J1422" s="3" t="s">
        <v>11</v>
      </c>
    </row>
    <row r="1423" spans="1:10" x14ac:dyDescent="0.35">
      <c r="A1423" s="3">
        <v>103405212</v>
      </c>
      <c r="B1423" s="3" t="s">
        <v>3380</v>
      </c>
      <c r="C1423" s="3" t="str">
        <f t="shared" si="25"/>
        <v>2022-07-06</v>
      </c>
      <c r="D1423" s="3" t="s">
        <v>9</v>
      </c>
      <c r="E1423" s="3" t="s">
        <v>5</v>
      </c>
      <c r="F1423" s="3" t="s">
        <v>10</v>
      </c>
      <c r="G1423" s="3" t="s">
        <v>3381</v>
      </c>
      <c r="H1423" s="3" t="s">
        <v>3382</v>
      </c>
      <c r="I1423" s="4">
        <v>3474.15</v>
      </c>
      <c r="J1423" s="3" t="s">
        <v>11</v>
      </c>
    </row>
    <row r="1424" spans="1:10" x14ac:dyDescent="0.35">
      <c r="A1424" s="3">
        <v>103405301</v>
      </c>
      <c r="B1424" s="3" t="s">
        <v>3383</v>
      </c>
      <c r="C1424" s="3" t="str">
        <f t="shared" si="25"/>
        <v>2022-07-06</v>
      </c>
      <c r="D1424" s="3" t="s">
        <v>9</v>
      </c>
      <c r="E1424" s="3" t="s">
        <v>5</v>
      </c>
      <c r="F1424" s="3" t="s">
        <v>10</v>
      </c>
      <c r="G1424" s="3" t="s">
        <v>3384</v>
      </c>
      <c r="H1424" s="3" t="s">
        <v>3385</v>
      </c>
      <c r="I1424" s="5">
        <v>2249</v>
      </c>
      <c r="J1424" s="3" t="s">
        <v>11</v>
      </c>
    </row>
    <row r="1425" spans="1:10" x14ac:dyDescent="0.35">
      <c r="A1425" s="3">
        <v>103405299</v>
      </c>
      <c r="B1425" s="3" t="s">
        <v>3386</v>
      </c>
      <c r="C1425" s="3" t="str">
        <f t="shared" si="25"/>
        <v>2022-07-06</v>
      </c>
      <c r="D1425" s="3" t="s">
        <v>9</v>
      </c>
      <c r="E1425" s="3" t="s">
        <v>5</v>
      </c>
      <c r="F1425" s="3" t="s">
        <v>10</v>
      </c>
      <c r="G1425" s="3" t="s">
        <v>3387</v>
      </c>
      <c r="H1425" s="3" t="s">
        <v>3388</v>
      </c>
      <c r="I1425" s="3">
        <v>999</v>
      </c>
      <c r="J1425" s="3" t="s">
        <v>11</v>
      </c>
    </row>
    <row r="1426" spans="1:10" x14ac:dyDescent="0.35">
      <c r="A1426" s="3">
        <v>103405294</v>
      </c>
      <c r="B1426" s="3" t="s">
        <v>3389</v>
      </c>
      <c r="C1426" s="3" t="str">
        <f t="shared" si="25"/>
        <v>2022-07-06</v>
      </c>
      <c r="D1426" s="3" t="s">
        <v>9</v>
      </c>
      <c r="E1426" s="3" t="s">
        <v>5</v>
      </c>
      <c r="F1426" s="3" t="s">
        <v>10</v>
      </c>
      <c r="G1426" s="3" t="s">
        <v>3390</v>
      </c>
      <c r="H1426" s="3" t="s">
        <v>3391</v>
      </c>
      <c r="I1426" s="3">
        <v>809</v>
      </c>
      <c r="J1426" s="3" t="s">
        <v>11</v>
      </c>
    </row>
    <row r="1427" spans="1:10" x14ac:dyDescent="0.35">
      <c r="A1427" s="3">
        <v>103405198</v>
      </c>
      <c r="B1427" s="3" t="s">
        <v>3392</v>
      </c>
      <c r="C1427" s="3" t="str">
        <f t="shared" si="25"/>
        <v>2022-07-06</v>
      </c>
      <c r="D1427" s="3" t="s">
        <v>9</v>
      </c>
      <c r="E1427" s="3" t="s">
        <v>5</v>
      </c>
      <c r="F1427" s="3" t="s">
        <v>10</v>
      </c>
      <c r="G1427" s="3" t="s">
        <v>3393</v>
      </c>
      <c r="H1427" s="3" t="s">
        <v>3394</v>
      </c>
      <c r="I1427" s="4">
        <v>2279.0500000000002</v>
      </c>
      <c r="J1427" s="3" t="s">
        <v>11</v>
      </c>
    </row>
    <row r="1428" spans="1:10" x14ac:dyDescent="0.35">
      <c r="A1428" s="3">
        <v>103405283</v>
      </c>
      <c r="B1428" s="3" t="s">
        <v>3395</v>
      </c>
      <c r="C1428" s="3" t="str">
        <f t="shared" si="25"/>
        <v>2022-07-06</v>
      </c>
      <c r="D1428" s="3" t="s">
        <v>9</v>
      </c>
      <c r="E1428" s="3" t="s">
        <v>5</v>
      </c>
      <c r="F1428" s="3" t="s">
        <v>10</v>
      </c>
      <c r="G1428" s="3" t="s">
        <v>3396</v>
      </c>
      <c r="H1428" s="3" t="s">
        <v>3397</v>
      </c>
      <c r="I1428" s="4">
        <v>1709.05</v>
      </c>
      <c r="J1428" s="3" t="s">
        <v>11</v>
      </c>
    </row>
    <row r="1429" spans="1:10" x14ac:dyDescent="0.35">
      <c r="A1429" s="3">
        <v>103405191</v>
      </c>
      <c r="B1429" s="3" t="s">
        <v>3398</v>
      </c>
      <c r="C1429" s="3" t="str">
        <f t="shared" si="25"/>
        <v>2022-07-06</v>
      </c>
      <c r="D1429" s="3" t="s">
        <v>9</v>
      </c>
      <c r="E1429" s="3" t="s">
        <v>5</v>
      </c>
      <c r="F1429" s="3" t="s">
        <v>10</v>
      </c>
      <c r="G1429" s="3" t="s">
        <v>3399</v>
      </c>
      <c r="H1429" s="3" t="s">
        <v>3400</v>
      </c>
      <c r="I1429" s="4">
        <v>1619.1</v>
      </c>
      <c r="J1429" s="3" t="s">
        <v>11</v>
      </c>
    </row>
    <row r="1430" spans="1:10" x14ac:dyDescent="0.35">
      <c r="A1430" s="3">
        <v>103405189</v>
      </c>
      <c r="B1430" s="3" t="s">
        <v>3401</v>
      </c>
      <c r="C1430" s="3" t="str">
        <f t="shared" si="25"/>
        <v>2022-07-06</v>
      </c>
      <c r="D1430" s="3" t="s">
        <v>9</v>
      </c>
      <c r="E1430" s="3" t="s">
        <v>5</v>
      </c>
      <c r="F1430" s="3" t="s">
        <v>12</v>
      </c>
      <c r="G1430" s="3" t="s">
        <v>3402</v>
      </c>
      <c r="H1430" s="3" t="s">
        <v>3403</v>
      </c>
      <c r="I1430" s="5">
        <v>1869</v>
      </c>
      <c r="J1430" s="3" t="s">
        <v>11</v>
      </c>
    </row>
    <row r="1431" spans="1:10" x14ac:dyDescent="0.35">
      <c r="A1431" s="3">
        <v>103405182</v>
      </c>
      <c r="B1431" s="3" t="s">
        <v>3404</v>
      </c>
      <c r="C1431" s="3" t="str">
        <f t="shared" si="25"/>
        <v>2022-07-06</v>
      </c>
      <c r="D1431" s="3" t="s">
        <v>9</v>
      </c>
      <c r="E1431" s="3" t="s">
        <v>5</v>
      </c>
      <c r="F1431" s="3" t="s">
        <v>10</v>
      </c>
      <c r="G1431" s="3" t="s">
        <v>3405</v>
      </c>
      <c r="H1431" s="3" t="s">
        <v>3406</v>
      </c>
      <c r="I1431" s="5">
        <v>1099</v>
      </c>
      <c r="J1431" s="3" t="s">
        <v>11</v>
      </c>
    </row>
    <row r="1432" spans="1:10" x14ac:dyDescent="0.35">
      <c r="A1432" s="3">
        <v>103405269</v>
      </c>
      <c r="B1432" s="3" t="s">
        <v>3407</v>
      </c>
      <c r="C1432" s="3" t="str">
        <f t="shared" si="25"/>
        <v>2022-07-06</v>
      </c>
      <c r="D1432" s="3" t="s">
        <v>9</v>
      </c>
      <c r="E1432" s="3" t="s">
        <v>5</v>
      </c>
      <c r="F1432" s="3" t="s">
        <v>10</v>
      </c>
      <c r="G1432" s="3" t="s">
        <v>3408</v>
      </c>
      <c r="H1432" s="3" t="s">
        <v>3409</v>
      </c>
      <c r="I1432" s="5">
        <v>2399</v>
      </c>
      <c r="J1432" s="3" t="s">
        <v>11</v>
      </c>
    </row>
    <row r="1433" spans="1:10" x14ac:dyDescent="0.35">
      <c r="A1433" s="3">
        <v>103405181</v>
      </c>
      <c r="B1433" s="3" t="s">
        <v>3410</v>
      </c>
      <c r="C1433" s="3" t="str">
        <f t="shared" si="25"/>
        <v>2022-07-06</v>
      </c>
      <c r="D1433" s="3" t="s">
        <v>9</v>
      </c>
      <c r="E1433" s="3" t="s">
        <v>5</v>
      </c>
      <c r="F1433" s="3" t="s">
        <v>10</v>
      </c>
      <c r="G1433" s="3" t="s">
        <v>3411</v>
      </c>
      <c r="H1433" s="3" t="s">
        <v>3412</v>
      </c>
      <c r="I1433" s="4">
        <v>1079.0999999999999</v>
      </c>
      <c r="J1433" s="3" t="s">
        <v>11</v>
      </c>
    </row>
    <row r="1434" spans="1:10" x14ac:dyDescent="0.35">
      <c r="A1434" s="3">
        <v>103405179</v>
      </c>
      <c r="B1434" s="3" t="s">
        <v>3413</v>
      </c>
      <c r="C1434" s="3" t="str">
        <f t="shared" si="25"/>
        <v>2022-07-06</v>
      </c>
      <c r="D1434" s="3" t="s">
        <v>9</v>
      </c>
      <c r="E1434" s="3" t="s">
        <v>5</v>
      </c>
      <c r="F1434" s="3" t="s">
        <v>10</v>
      </c>
      <c r="G1434" s="3" t="s">
        <v>3414</v>
      </c>
      <c r="H1434" s="3" t="s">
        <v>3415</v>
      </c>
      <c r="I1434" s="5">
        <v>1249</v>
      </c>
      <c r="J1434" s="3" t="s">
        <v>11</v>
      </c>
    </row>
    <row r="1435" spans="1:10" x14ac:dyDescent="0.35">
      <c r="A1435" s="3">
        <v>103405265</v>
      </c>
      <c r="B1435" s="3" t="s">
        <v>3416</v>
      </c>
      <c r="C1435" s="3" t="str">
        <f t="shared" si="25"/>
        <v>2022-07-06</v>
      </c>
      <c r="D1435" s="3" t="s">
        <v>9</v>
      </c>
      <c r="E1435" s="3" t="s">
        <v>5</v>
      </c>
      <c r="F1435" s="3" t="s">
        <v>10</v>
      </c>
      <c r="G1435" s="3" t="s">
        <v>3417</v>
      </c>
      <c r="H1435" s="3" t="s">
        <v>3418</v>
      </c>
      <c r="I1435" s="5">
        <v>5998</v>
      </c>
      <c r="J1435" s="3" t="s">
        <v>11</v>
      </c>
    </row>
    <row r="1436" spans="1:10" x14ac:dyDescent="0.35">
      <c r="A1436" s="3">
        <v>103405178</v>
      </c>
      <c r="B1436" s="3" t="s">
        <v>3419</v>
      </c>
      <c r="C1436" s="3" t="str">
        <f t="shared" si="25"/>
        <v>2022-07-06</v>
      </c>
      <c r="D1436" s="3" t="s">
        <v>9</v>
      </c>
      <c r="E1436" s="3" t="s">
        <v>5</v>
      </c>
      <c r="F1436" s="3" t="s">
        <v>10</v>
      </c>
      <c r="G1436" s="3" t="s">
        <v>3420</v>
      </c>
      <c r="H1436" s="3" t="s">
        <v>3421</v>
      </c>
      <c r="I1436" s="3">
        <v>580.54</v>
      </c>
      <c r="J1436" s="3" t="s">
        <v>11</v>
      </c>
    </row>
    <row r="1437" spans="1:10" x14ac:dyDescent="0.35">
      <c r="A1437" s="3">
        <v>103405171</v>
      </c>
      <c r="B1437" s="3" t="s">
        <v>3422</v>
      </c>
      <c r="C1437" s="3" t="str">
        <f t="shared" si="25"/>
        <v>2022-07-06</v>
      </c>
      <c r="D1437" s="3" t="s">
        <v>9</v>
      </c>
      <c r="E1437" s="3" t="s">
        <v>5</v>
      </c>
      <c r="F1437" s="3" t="s">
        <v>10</v>
      </c>
      <c r="G1437" s="3" t="s">
        <v>3423</v>
      </c>
      <c r="H1437" s="3" t="s">
        <v>3424</v>
      </c>
      <c r="I1437" s="5">
        <v>2249</v>
      </c>
      <c r="J1437" s="3" t="s">
        <v>11</v>
      </c>
    </row>
    <row r="1438" spans="1:10" x14ac:dyDescent="0.35">
      <c r="A1438" s="3">
        <v>103405169</v>
      </c>
      <c r="B1438" s="3" t="s">
        <v>3425</v>
      </c>
      <c r="C1438" s="3" t="str">
        <f t="shared" si="25"/>
        <v>2022-07-06</v>
      </c>
      <c r="D1438" s="3" t="s">
        <v>9</v>
      </c>
      <c r="E1438" s="3" t="s">
        <v>5</v>
      </c>
      <c r="F1438" s="3" t="s">
        <v>12</v>
      </c>
      <c r="G1438" s="3" t="s">
        <v>3426</v>
      </c>
      <c r="H1438" s="3" t="s">
        <v>3427</v>
      </c>
      <c r="I1438" s="5">
        <v>3149</v>
      </c>
      <c r="J1438" s="3" t="s">
        <v>11</v>
      </c>
    </row>
    <row r="1439" spans="1:10" x14ac:dyDescent="0.35">
      <c r="A1439" s="3">
        <v>103405147</v>
      </c>
      <c r="B1439" s="3" t="s">
        <v>3428</v>
      </c>
      <c r="C1439" s="3" t="str">
        <f t="shared" si="25"/>
        <v>2022-07-06</v>
      </c>
      <c r="D1439" s="3" t="s">
        <v>9</v>
      </c>
      <c r="E1439" s="3" t="s">
        <v>5</v>
      </c>
      <c r="F1439" s="3" t="s">
        <v>10</v>
      </c>
      <c r="G1439" s="3" t="s">
        <v>3429</v>
      </c>
      <c r="H1439" s="3" t="s">
        <v>3430</v>
      </c>
      <c r="I1439" s="4">
        <v>1110.55</v>
      </c>
      <c r="J1439" s="3" t="s">
        <v>11</v>
      </c>
    </row>
    <row r="1440" spans="1:10" x14ac:dyDescent="0.35">
      <c r="A1440" s="3">
        <v>103405146</v>
      </c>
      <c r="B1440" s="3" t="s">
        <v>3431</v>
      </c>
      <c r="C1440" s="3" t="str">
        <f t="shared" si="25"/>
        <v>2022-07-06</v>
      </c>
      <c r="D1440" s="3" t="s">
        <v>9</v>
      </c>
      <c r="E1440" s="3" t="s">
        <v>5</v>
      </c>
      <c r="F1440" s="3" t="s">
        <v>10</v>
      </c>
      <c r="G1440" s="3" t="s">
        <v>1386</v>
      </c>
      <c r="H1440" s="3" t="s">
        <v>1387</v>
      </c>
      <c r="I1440" s="4">
        <v>1649.45</v>
      </c>
      <c r="J1440" s="3" t="s">
        <v>11</v>
      </c>
    </row>
    <row r="1441" spans="1:10" x14ac:dyDescent="0.35">
      <c r="A1441" s="3">
        <v>103405141</v>
      </c>
      <c r="B1441" s="3" t="s">
        <v>3432</v>
      </c>
      <c r="C1441" s="3" t="str">
        <f t="shared" si="25"/>
        <v>2022-07-06</v>
      </c>
      <c r="D1441" s="3" t="s">
        <v>9</v>
      </c>
      <c r="E1441" s="3" t="s">
        <v>5</v>
      </c>
      <c r="F1441" s="3" t="s">
        <v>10</v>
      </c>
      <c r="G1441" s="3" t="s">
        <v>3433</v>
      </c>
      <c r="H1441" s="3" t="s">
        <v>3434</v>
      </c>
      <c r="I1441" s="3">
        <v>669</v>
      </c>
      <c r="J1441" s="3" t="s">
        <v>11</v>
      </c>
    </row>
    <row r="1442" spans="1:10" x14ac:dyDescent="0.35">
      <c r="A1442" s="3">
        <v>103405063</v>
      </c>
      <c r="B1442" s="3" t="s">
        <v>3435</v>
      </c>
      <c r="C1442" s="3" t="str">
        <f t="shared" si="25"/>
        <v>2022-07-06</v>
      </c>
      <c r="D1442" s="3" t="s">
        <v>9</v>
      </c>
      <c r="E1442" s="3" t="s">
        <v>5</v>
      </c>
      <c r="F1442" s="3" t="s">
        <v>10</v>
      </c>
      <c r="G1442" s="3" t="s">
        <v>3436</v>
      </c>
      <c r="H1442" s="3" t="s">
        <v>3437</v>
      </c>
      <c r="I1442" s="3">
        <v>489</v>
      </c>
      <c r="J1442" s="3" t="s">
        <v>11</v>
      </c>
    </row>
    <row r="1443" spans="1:10" x14ac:dyDescent="0.35">
      <c r="A1443" s="3">
        <v>103405139</v>
      </c>
      <c r="B1443" s="3" t="s">
        <v>3438</v>
      </c>
      <c r="C1443" s="3" t="str">
        <f t="shared" si="25"/>
        <v>2022-07-06</v>
      </c>
      <c r="D1443" s="3" t="s">
        <v>9</v>
      </c>
      <c r="E1443" s="3" t="s">
        <v>5</v>
      </c>
      <c r="F1443" s="3" t="s">
        <v>10</v>
      </c>
      <c r="G1443" s="3" t="s">
        <v>3439</v>
      </c>
      <c r="H1443" s="3" t="s">
        <v>3440</v>
      </c>
      <c r="I1443" s="4">
        <v>3517.94</v>
      </c>
      <c r="J1443" s="3" t="s">
        <v>11</v>
      </c>
    </row>
    <row r="1444" spans="1:10" x14ac:dyDescent="0.35">
      <c r="A1444" s="3">
        <v>103405061</v>
      </c>
      <c r="B1444" s="3" t="s">
        <v>3441</v>
      </c>
      <c r="C1444" s="3" t="str">
        <f t="shared" si="25"/>
        <v>2022-07-06</v>
      </c>
      <c r="D1444" s="3" t="s">
        <v>9</v>
      </c>
      <c r="E1444" s="3" t="s">
        <v>5</v>
      </c>
      <c r="F1444" s="3" t="s">
        <v>10</v>
      </c>
      <c r="G1444" s="3" t="s">
        <v>3442</v>
      </c>
      <c r="H1444" s="3" t="s">
        <v>3443</v>
      </c>
      <c r="I1444" s="4">
        <v>1899.05</v>
      </c>
      <c r="J1444" s="3" t="s">
        <v>11</v>
      </c>
    </row>
    <row r="1445" spans="1:10" x14ac:dyDescent="0.35">
      <c r="A1445" s="3">
        <v>103405130</v>
      </c>
      <c r="B1445" s="3" t="s">
        <v>4798</v>
      </c>
      <c r="C1445" s="3" t="str">
        <f t="shared" si="25"/>
        <v>2022-07-06</v>
      </c>
      <c r="D1445" s="3" t="s">
        <v>9</v>
      </c>
      <c r="E1445" s="3" t="s">
        <v>5</v>
      </c>
      <c r="F1445" s="3" t="s">
        <v>10</v>
      </c>
      <c r="G1445" s="3" t="s">
        <v>4799</v>
      </c>
      <c r="H1445" s="3" t="s">
        <v>4800</v>
      </c>
      <c r="I1445" s="3">
        <v>995.6</v>
      </c>
      <c r="J1445" s="3" t="s">
        <v>13</v>
      </c>
    </row>
    <row r="1446" spans="1:10" x14ac:dyDescent="0.35">
      <c r="A1446" s="3">
        <v>103405127</v>
      </c>
      <c r="B1446" s="3" t="s">
        <v>3444</v>
      </c>
      <c r="C1446" s="3" t="str">
        <f t="shared" si="25"/>
        <v>2022-07-06</v>
      </c>
      <c r="D1446" s="3" t="s">
        <v>9</v>
      </c>
      <c r="E1446" s="3" t="s">
        <v>5</v>
      </c>
      <c r="F1446" s="3" t="s">
        <v>10</v>
      </c>
      <c r="G1446" s="3" t="s">
        <v>3445</v>
      </c>
      <c r="H1446" s="3" t="s">
        <v>3446</v>
      </c>
      <c r="I1446" s="4">
        <v>5984.05</v>
      </c>
      <c r="J1446" s="3" t="s">
        <v>11</v>
      </c>
    </row>
    <row r="1447" spans="1:10" x14ac:dyDescent="0.35">
      <c r="A1447" s="3">
        <v>103405057</v>
      </c>
      <c r="B1447" s="3" t="s">
        <v>3447</v>
      </c>
      <c r="C1447" s="3" t="str">
        <f t="shared" si="25"/>
        <v>2022-07-06</v>
      </c>
      <c r="D1447" s="3" t="s">
        <v>9</v>
      </c>
      <c r="E1447" s="3" t="s">
        <v>5</v>
      </c>
      <c r="F1447" s="3" t="s">
        <v>10</v>
      </c>
      <c r="G1447" s="3" t="s">
        <v>3448</v>
      </c>
      <c r="H1447" s="3" t="s">
        <v>3449</v>
      </c>
      <c r="I1447" s="3">
        <v>998</v>
      </c>
      <c r="J1447" s="3" t="s">
        <v>11</v>
      </c>
    </row>
    <row r="1448" spans="1:10" x14ac:dyDescent="0.35">
      <c r="A1448" s="3">
        <v>103405056</v>
      </c>
      <c r="B1448" s="3" t="s">
        <v>3450</v>
      </c>
      <c r="C1448" s="3" t="str">
        <f t="shared" si="25"/>
        <v>2022-07-06</v>
      </c>
      <c r="D1448" s="3" t="s">
        <v>9</v>
      </c>
      <c r="E1448" s="3" t="s">
        <v>5</v>
      </c>
      <c r="F1448" s="3" t="s">
        <v>10</v>
      </c>
      <c r="G1448" s="3" t="s">
        <v>3451</v>
      </c>
      <c r="H1448" s="3" t="s">
        <v>3452</v>
      </c>
      <c r="I1448" s="4">
        <v>3370.6</v>
      </c>
      <c r="J1448" s="3" t="s">
        <v>11</v>
      </c>
    </row>
    <row r="1449" spans="1:10" x14ac:dyDescent="0.35">
      <c r="A1449" s="3">
        <v>103405116</v>
      </c>
      <c r="B1449" s="3" t="s">
        <v>3453</v>
      </c>
      <c r="C1449" s="3" t="str">
        <f t="shared" si="25"/>
        <v>2022-07-06</v>
      </c>
      <c r="D1449" s="3" t="s">
        <v>9</v>
      </c>
      <c r="E1449" s="3" t="s">
        <v>5</v>
      </c>
      <c r="F1449" s="3" t="s">
        <v>12</v>
      </c>
      <c r="G1449" s="3" t="s">
        <v>3454</v>
      </c>
      <c r="H1449" s="3" t="s">
        <v>3455</v>
      </c>
      <c r="I1449" s="3">
        <v>549</v>
      </c>
      <c r="J1449" s="3" t="s">
        <v>11</v>
      </c>
    </row>
    <row r="1450" spans="1:10" x14ac:dyDescent="0.35">
      <c r="A1450" s="3">
        <v>103405114</v>
      </c>
      <c r="B1450" s="3" t="s">
        <v>3456</v>
      </c>
      <c r="C1450" s="3" t="str">
        <f t="shared" si="25"/>
        <v>2022-07-06</v>
      </c>
      <c r="D1450" s="3" t="s">
        <v>9</v>
      </c>
      <c r="E1450" s="3" t="s">
        <v>5</v>
      </c>
      <c r="F1450" s="3" t="s">
        <v>10</v>
      </c>
      <c r="G1450" s="3" t="s">
        <v>3457</v>
      </c>
      <c r="H1450" s="3" t="s">
        <v>3458</v>
      </c>
      <c r="I1450" s="3">
        <v>819</v>
      </c>
      <c r="J1450" s="3" t="s">
        <v>11</v>
      </c>
    </row>
    <row r="1451" spans="1:10" x14ac:dyDescent="0.35">
      <c r="A1451" s="3">
        <v>103405051</v>
      </c>
      <c r="B1451" s="3" t="s">
        <v>3459</v>
      </c>
      <c r="C1451" s="3" t="str">
        <f t="shared" si="25"/>
        <v>2022-07-06</v>
      </c>
      <c r="D1451" s="3" t="s">
        <v>9</v>
      </c>
      <c r="E1451" s="3" t="s">
        <v>5</v>
      </c>
      <c r="F1451" s="3" t="s">
        <v>10</v>
      </c>
      <c r="G1451" s="3" t="s">
        <v>3460</v>
      </c>
      <c r="H1451" s="3" t="s">
        <v>3461</v>
      </c>
      <c r="I1451" s="4">
        <v>1262.5999999999999</v>
      </c>
      <c r="J1451" s="3" t="s">
        <v>11</v>
      </c>
    </row>
    <row r="1452" spans="1:10" x14ac:dyDescent="0.35">
      <c r="A1452" s="3">
        <v>103405047</v>
      </c>
      <c r="B1452" s="3" t="s">
        <v>3462</v>
      </c>
      <c r="C1452" s="3" t="str">
        <f t="shared" si="25"/>
        <v>2022-07-06</v>
      </c>
      <c r="D1452" s="3" t="s">
        <v>9</v>
      </c>
      <c r="E1452" s="3" t="s">
        <v>5</v>
      </c>
      <c r="F1452" s="3" t="s">
        <v>10</v>
      </c>
      <c r="G1452" s="3" t="s">
        <v>3463</v>
      </c>
      <c r="H1452" s="3" t="s">
        <v>3464</v>
      </c>
      <c r="I1452" s="4">
        <v>4414.6499999999996</v>
      </c>
      <c r="J1452" s="3" t="s">
        <v>11</v>
      </c>
    </row>
    <row r="1453" spans="1:10" x14ac:dyDescent="0.35">
      <c r="A1453" s="3">
        <v>103405046</v>
      </c>
      <c r="B1453" s="3" t="s">
        <v>3465</v>
      </c>
      <c r="C1453" s="3" t="str">
        <f t="shared" si="25"/>
        <v>2022-07-06</v>
      </c>
      <c r="D1453" s="3" t="s">
        <v>9</v>
      </c>
      <c r="E1453" s="3" t="s">
        <v>5</v>
      </c>
      <c r="F1453" s="3" t="s">
        <v>10</v>
      </c>
      <c r="G1453" s="3" t="s">
        <v>3466</v>
      </c>
      <c r="H1453" s="3" t="s">
        <v>3467</v>
      </c>
      <c r="I1453" s="4">
        <v>4179.05</v>
      </c>
      <c r="J1453" s="3" t="s">
        <v>11</v>
      </c>
    </row>
    <row r="1454" spans="1:10" x14ac:dyDescent="0.35">
      <c r="A1454" s="3">
        <v>103405109</v>
      </c>
      <c r="B1454" s="3" t="s">
        <v>3468</v>
      </c>
      <c r="C1454" s="3" t="str">
        <f t="shared" si="25"/>
        <v>2022-07-06</v>
      </c>
      <c r="D1454" s="3" t="s">
        <v>9</v>
      </c>
      <c r="E1454" s="3" t="s">
        <v>5</v>
      </c>
      <c r="F1454" s="3" t="s">
        <v>10</v>
      </c>
      <c r="G1454" s="3" t="s">
        <v>3469</v>
      </c>
      <c r="H1454" s="3" t="s">
        <v>3470</v>
      </c>
      <c r="I1454" s="4">
        <v>1310.05</v>
      </c>
      <c r="J1454" s="3" t="s">
        <v>11</v>
      </c>
    </row>
    <row r="1455" spans="1:10" x14ac:dyDescent="0.35">
      <c r="A1455" s="3">
        <v>103405104</v>
      </c>
      <c r="B1455" s="3" t="s">
        <v>4801</v>
      </c>
      <c r="C1455" s="3" t="str">
        <f t="shared" si="25"/>
        <v>2022-07-06</v>
      </c>
      <c r="D1455" s="3" t="s">
        <v>9</v>
      </c>
      <c r="E1455" s="3" t="s">
        <v>5</v>
      </c>
      <c r="F1455" s="3" t="s">
        <v>10</v>
      </c>
      <c r="G1455" s="3" t="s">
        <v>3442</v>
      </c>
      <c r="H1455" s="3" t="s">
        <v>3443</v>
      </c>
      <c r="I1455" s="4">
        <v>1804.1</v>
      </c>
      <c r="J1455" s="3" t="s">
        <v>13</v>
      </c>
    </row>
    <row r="1456" spans="1:10" x14ac:dyDescent="0.35">
      <c r="A1456" s="3">
        <v>103405039</v>
      </c>
      <c r="B1456" s="3" t="s">
        <v>3471</v>
      </c>
      <c r="C1456" s="3" t="str">
        <f t="shared" si="25"/>
        <v>2022-07-06</v>
      </c>
      <c r="D1456" s="3" t="s">
        <v>9</v>
      </c>
      <c r="E1456" s="3" t="s">
        <v>5</v>
      </c>
      <c r="F1456" s="3" t="s">
        <v>10</v>
      </c>
      <c r="G1456" s="3" t="s">
        <v>3472</v>
      </c>
      <c r="H1456" s="3" t="s">
        <v>3473</v>
      </c>
      <c r="I1456" s="3">
        <v>986.1</v>
      </c>
      <c r="J1456" s="3" t="s">
        <v>11</v>
      </c>
    </row>
    <row r="1457" spans="1:10" x14ac:dyDescent="0.35">
      <c r="A1457" s="3">
        <v>103405102</v>
      </c>
      <c r="B1457" s="3" t="s">
        <v>3474</v>
      </c>
      <c r="C1457" s="3" t="str">
        <f t="shared" si="25"/>
        <v>2022-07-06</v>
      </c>
      <c r="D1457" s="3" t="s">
        <v>9</v>
      </c>
      <c r="E1457" s="3" t="s">
        <v>5</v>
      </c>
      <c r="F1457" s="3" t="s">
        <v>10</v>
      </c>
      <c r="G1457" s="3" t="s">
        <v>3475</v>
      </c>
      <c r="H1457" s="3" t="s">
        <v>3476</v>
      </c>
      <c r="I1457" s="5">
        <v>1809</v>
      </c>
      <c r="J1457" s="3" t="s">
        <v>11</v>
      </c>
    </row>
    <row r="1458" spans="1:10" x14ac:dyDescent="0.35">
      <c r="A1458" s="3">
        <v>103405099</v>
      </c>
      <c r="B1458" s="3" t="s">
        <v>3477</v>
      </c>
      <c r="C1458" s="3" t="str">
        <f t="shared" si="25"/>
        <v>2022-07-06</v>
      </c>
      <c r="D1458" s="3" t="s">
        <v>9</v>
      </c>
      <c r="E1458" s="3" t="s">
        <v>5</v>
      </c>
      <c r="F1458" s="3" t="s">
        <v>10</v>
      </c>
      <c r="G1458" s="3" t="s">
        <v>3478</v>
      </c>
      <c r="H1458" s="3" t="s">
        <v>3479</v>
      </c>
      <c r="I1458" s="3">
        <v>359</v>
      </c>
      <c r="J1458" s="3" t="s">
        <v>11</v>
      </c>
    </row>
    <row r="1459" spans="1:10" x14ac:dyDescent="0.35">
      <c r="A1459" s="3">
        <v>103405098</v>
      </c>
      <c r="B1459" s="3" t="s">
        <v>3480</v>
      </c>
      <c r="C1459" s="3" t="str">
        <f t="shared" si="25"/>
        <v>2022-07-06</v>
      </c>
      <c r="D1459" s="3" t="s">
        <v>9</v>
      </c>
      <c r="E1459" s="3" t="s">
        <v>5</v>
      </c>
      <c r="F1459" s="3" t="s">
        <v>10</v>
      </c>
      <c r="G1459" s="3" t="s">
        <v>439</v>
      </c>
      <c r="H1459" s="3" t="s">
        <v>440</v>
      </c>
      <c r="I1459" s="5">
        <v>2309</v>
      </c>
      <c r="J1459" s="3" t="s">
        <v>11</v>
      </c>
    </row>
    <row r="1460" spans="1:10" x14ac:dyDescent="0.35">
      <c r="A1460" s="3">
        <v>103405037</v>
      </c>
      <c r="B1460" s="3" t="s">
        <v>3481</v>
      </c>
      <c r="C1460" s="3" t="str">
        <f t="shared" si="25"/>
        <v>2022-07-06</v>
      </c>
      <c r="D1460" s="3" t="s">
        <v>9</v>
      </c>
      <c r="E1460" s="3" t="s">
        <v>5</v>
      </c>
      <c r="F1460" s="3" t="s">
        <v>10</v>
      </c>
      <c r="G1460" s="3" t="s">
        <v>3482</v>
      </c>
      <c r="H1460" s="3" t="s">
        <v>3483</v>
      </c>
      <c r="I1460" s="4">
        <v>1964.6</v>
      </c>
      <c r="J1460" s="3" t="s">
        <v>11</v>
      </c>
    </row>
    <row r="1461" spans="1:10" x14ac:dyDescent="0.35">
      <c r="A1461" s="3">
        <v>103405034</v>
      </c>
      <c r="B1461" s="3" t="s">
        <v>3484</v>
      </c>
      <c r="C1461" s="3" t="str">
        <f t="shared" si="25"/>
        <v>2022-07-06</v>
      </c>
      <c r="D1461" s="3" t="s">
        <v>9</v>
      </c>
      <c r="E1461" s="3" t="s">
        <v>5</v>
      </c>
      <c r="F1461" s="3" t="s">
        <v>10</v>
      </c>
      <c r="G1461" s="3" t="s">
        <v>3485</v>
      </c>
      <c r="H1461" s="3" t="s">
        <v>3486</v>
      </c>
      <c r="I1461" s="5">
        <v>1649</v>
      </c>
      <c r="J1461" s="3" t="s">
        <v>11</v>
      </c>
    </row>
    <row r="1462" spans="1:10" x14ac:dyDescent="0.35">
      <c r="A1462" s="3">
        <v>103405089</v>
      </c>
      <c r="B1462" s="3" t="s">
        <v>3487</v>
      </c>
      <c r="C1462" s="3" t="str">
        <f t="shared" si="25"/>
        <v>2022-07-06</v>
      </c>
      <c r="D1462" s="3" t="s">
        <v>9</v>
      </c>
      <c r="E1462" s="3" t="s">
        <v>5</v>
      </c>
      <c r="F1462" s="3" t="s">
        <v>10</v>
      </c>
      <c r="G1462" s="3" t="s">
        <v>3488</v>
      </c>
      <c r="H1462" s="3" t="s">
        <v>3489</v>
      </c>
      <c r="I1462" s="4">
        <v>1405.05</v>
      </c>
      <c r="J1462" s="3" t="s">
        <v>11</v>
      </c>
    </row>
    <row r="1463" spans="1:10" x14ac:dyDescent="0.35">
      <c r="A1463" s="3">
        <v>103405085</v>
      </c>
      <c r="B1463" s="3" t="s">
        <v>3490</v>
      </c>
      <c r="C1463" s="3" t="str">
        <f t="shared" si="25"/>
        <v>2022-07-06</v>
      </c>
      <c r="D1463" s="3" t="s">
        <v>9</v>
      </c>
      <c r="E1463" s="3" t="s">
        <v>5</v>
      </c>
      <c r="F1463" s="3" t="s">
        <v>10</v>
      </c>
      <c r="G1463" s="3" t="s">
        <v>3491</v>
      </c>
      <c r="H1463" s="3" t="s">
        <v>3492</v>
      </c>
      <c r="I1463" s="4">
        <v>1897.15</v>
      </c>
      <c r="J1463" s="3" t="s">
        <v>11</v>
      </c>
    </row>
    <row r="1464" spans="1:10" x14ac:dyDescent="0.35">
      <c r="A1464" s="3">
        <v>103405030</v>
      </c>
      <c r="B1464" s="3" t="s">
        <v>3493</v>
      </c>
      <c r="C1464" s="3" t="str">
        <f t="shared" si="25"/>
        <v>2022-07-06</v>
      </c>
      <c r="D1464" s="3" t="s">
        <v>9</v>
      </c>
      <c r="E1464" s="3" t="s">
        <v>5</v>
      </c>
      <c r="F1464" s="3" t="s">
        <v>10</v>
      </c>
      <c r="G1464" s="3" t="s">
        <v>3494</v>
      </c>
      <c r="H1464" s="3" t="s">
        <v>3495</v>
      </c>
      <c r="I1464" s="4">
        <v>4701.55</v>
      </c>
      <c r="J1464" s="3" t="s">
        <v>11</v>
      </c>
    </row>
    <row r="1465" spans="1:10" x14ac:dyDescent="0.35">
      <c r="A1465" s="3">
        <v>103405080</v>
      </c>
      <c r="B1465" s="3" t="s">
        <v>3496</v>
      </c>
      <c r="C1465" s="3" t="str">
        <f t="shared" si="25"/>
        <v>2022-07-06</v>
      </c>
      <c r="D1465" s="3" t="s">
        <v>9</v>
      </c>
      <c r="E1465" s="3" t="s">
        <v>5</v>
      </c>
      <c r="F1465" s="3" t="s">
        <v>10</v>
      </c>
      <c r="G1465" s="3" t="s">
        <v>3390</v>
      </c>
      <c r="H1465" s="3" t="s">
        <v>3391</v>
      </c>
      <c r="I1465" s="5">
        <v>1139</v>
      </c>
      <c r="J1465" s="3" t="s">
        <v>11</v>
      </c>
    </row>
    <row r="1466" spans="1:10" x14ac:dyDescent="0.35">
      <c r="A1466" s="3">
        <v>103405025</v>
      </c>
      <c r="B1466" s="3" t="s">
        <v>3497</v>
      </c>
      <c r="C1466" s="3" t="str">
        <f t="shared" si="25"/>
        <v>2022-07-06</v>
      </c>
      <c r="D1466" s="3" t="s">
        <v>9</v>
      </c>
      <c r="E1466" s="3" t="s">
        <v>5</v>
      </c>
      <c r="F1466" s="3" t="s">
        <v>12</v>
      </c>
      <c r="G1466" s="3" t="s">
        <v>3498</v>
      </c>
      <c r="H1466" s="3" t="s">
        <v>3499</v>
      </c>
      <c r="I1466" s="3">
        <v>569.04999999999995</v>
      </c>
      <c r="J1466" s="3" t="s">
        <v>11</v>
      </c>
    </row>
    <row r="1467" spans="1:10" x14ac:dyDescent="0.35">
      <c r="A1467" s="3">
        <v>103405023</v>
      </c>
      <c r="B1467" s="3" t="s">
        <v>3500</v>
      </c>
      <c r="C1467" s="3" t="str">
        <f t="shared" si="25"/>
        <v>2022-07-06</v>
      </c>
      <c r="D1467" s="3" t="s">
        <v>9</v>
      </c>
      <c r="E1467" s="3" t="s">
        <v>5</v>
      </c>
      <c r="F1467" s="3" t="s">
        <v>10</v>
      </c>
      <c r="G1467" s="3" t="s">
        <v>3501</v>
      </c>
      <c r="H1467" s="3" t="s">
        <v>3502</v>
      </c>
      <c r="I1467" s="4">
        <v>2279.0500000000002</v>
      </c>
      <c r="J1467" s="3" t="s">
        <v>11</v>
      </c>
    </row>
    <row r="1468" spans="1:10" x14ac:dyDescent="0.35">
      <c r="A1468" s="3">
        <v>103405076</v>
      </c>
      <c r="B1468" s="3" t="s">
        <v>3503</v>
      </c>
      <c r="C1468" s="3" t="str">
        <f t="shared" si="25"/>
        <v>2022-07-06</v>
      </c>
      <c r="D1468" s="3" t="s">
        <v>9</v>
      </c>
      <c r="E1468" s="3" t="s">
        <v>5</v>
      </c>
      <c r="F1468" s="3" t="s">
        <v>12</v>
      </c>
      <c r="G1468" s="3" t="s">
        <v>3504</v>
      </c>
      <c r="H1468" s="3" t="s">
        <v>3505</v>
      </c>
      <c r="I1468" s="4">
        <v>1551.4</v>
      </c>
      <c r="J1468" s="3" t="s">
        <v>11</v>
      </c>
    </row>
    <row r="1469" spans="1:10" x14ac:dyDescent="0.35">
      <c r="A1469" s="3">
        <v>103405021</v>
      </c>
      <c r="B1469" s="3" t="s">
        <v>3506</v>
      </c>
      <c r="C1469" s="3" t="str">
        <f t="shared" si="25"/>
        <v>2022-07-06</v>
      </c>
      <c r="D1469" s="3" t="s">
        <v>9</v>
      </c>
      <c r="E1469" s="3" t="s">
        <v>5</v>
      </c>
      <c r="F1469" s="3" t="s">
        <v>10</v>
      </c>
      <c r="G1469" s="3" t="s">
        <v>3507</v>
      </c>
      <c r="H1469" s="3" t="s">
        <v>3508</v>
      </c>
      <c r="I1469" s="3">
        <v>719.1</v>
      </c>
      <c r="J1469" s="3" t="s">
        <v>11</v>
      </c>
    </row>
    <row r="1470" spans="1:10" x14ac:dyDescent="0.35">
      <c r="A1470" s="3">
        <v>103405020</v>
      </c>
      <c r="B1470" s="3" t="s">
        <v>3509</v>
      </c>
      <c r="C1470" s="3" t="str">
        <f t="shared" si="25"/>
        <v>2022-07-06</v>
      </c>
      <c r="D1470" s="3" t="s">
        <v>9</v>
      </c>
      <c r="E1470" s="3" t="s">
        <v>5</v>
      </c>
      <c r="F1470" s="3" t="s">
        <v>10</v>
      </c>
      <c r="G1470" s="3" t="s">
        <v>3510</v>
      </c>
      <c r="H1470" s="3" t="s">
        <v>3511</v>
      </c>
      <c r="I1470" s="4">
        <v>4724.25</v>
      </c>
      <c r="J1470" s="3" t="s">
        <v>11</v>
      </c>
    </row>
    <row r="1471" spans="1:10" x14ac:dyDescent="0.35">
      <c r="A1471" s="3">
        <v>103405013</v>
      </c>
      <c r="B1471" s="3" t="s">
        <v>3512</v>
      </c>
      <c r="C1471" s="3" t="str">
        <f t="shared" si="25"/>
        <v>2022-07-06</v>
      </c>
      <c r="D1471" s="3" t="s">
        <v>9</v>
      </c>
      <c r="E1471" s="3" t="s">
        <v>5</v>
      </c>
      <c r="F1471" s="3" t="s">
        <v>10</v>
      </c>
      <c r="G1471" s="3" t="s">
        <v>3510</v>
      </c>
      <c r="H1471" s="3" t="s">
        <v>3511</v>
      </c>
      <c r="I1471" s="4">
        <v>1049.25</v>
      </c>
      <c r="J1471" s="3" t="s">
        <v>11</v>
      </c>
    </row>
    <row r="1472" spans="1:10" x14ac:dyDescent="0.35">
      <c r="A1472" s="3">
        <v>103404963</v>
      </c>
      <c r="B1472" s="3" t="s">
        <v>3513</v>
      </c>
      <c r="C1472" s="3" t="str">
        <f t="shared" si="25"/>
        <v>2022-07-06</v>
      </c>
      <c r="D1472" s="3" t="s">
        <v>9</v>
      </c>
      <c r="E1472" s="3" t="s">
        <v>5</v>
      </c>
      <c r="F1472" s="3" t="s">
        <v>10</v>
      </c>
      <c r="G1472" s="3" t="s">
        <v>3514</v>
      </c>
      <c r="H1472" s="3" t="s">
        <v>3515</v>
      </c>
      <c r="I1472" s="5">
        <v>2099</v>
      </c>
      <c r="J1472" s="3" t="s">
        <v>11</v>
      </c>
    </row>
    <row r="1473" spans="1:10" x14ac:dyDescent="0.35">
      <c r="A1473" s="3">
        <v>103405004</v>
      </c>
      <c r="B1473" s="3" t="s">
        <v>3516</v>
      </c>
      <c r="C1473" s="3" t="str">
        <f t="shared" si="25"/>
        <v>2022-07-06</v>
      </c>
      <c r="D1473" s="3" t="s">
        <v>9</v>
      </c>
      <c r="E1473" s="3" t="s">
        <v>5</v>
      </c>
      <c r="F1473" s="3" t="s">
        <v>10</v>
      </c>
      <c r="G1473" s="3" t="s">
        <v>3517</v>
      </c>
      <c r="H1473" s="3" t="s">
        <v>3518</v>
      </c>
      <c r="I1473" s="5">
        <v>2599</v>
      </c>
      <c r="J1473" s="3" t="s">
        <v>11</v>
      </c>
    </row>
    <row r="1474" spans="1:10" x14ac:dyDescent="0.35">
      <c r="A1474" s="3">
        <v>103404951</v>
      </c>
      <c r="B1474" s="3" t="s">
        <v>3519</v>
      </c>
      <c r="C1474" s="3" t="str">
        <f t="shared" si="25"/>
        <v>2022-07-06</v>
      </c>
      <c r="D1474" s="3" t="s">
        <v>9</v>
      </c>
      <c r="E1474" s="3" t="s">
        <v>5</v>
      </c>
      <c r="F1474" s="3" t="s">
        <v>12</v>
      </c>
      <c r="G1474" s="3" t="s">
        <v>3520</v>
      </c>
      <c r="H1474" s="3" t="s">
        <v>3521</v>
      </c>
      <c r="I1474" s="5">
        <v>3899</v>
      </c>
      <c r="J1474" s="3" t="s">
        <v>11</v>
      </c>
    </row>
    <row r="1475" spans="1:10" x14ac:dyDescent="0.35">
      <c r="A1475" s="3">
        <v>103404994</v>
      </c>
      <c r="B1475" s="3" t="s">
        <v>3522</v>
      </c>
      <c r="C1475" s="3" t="str">
        <f t="shared" ref="C1475:C1538" si="26">LEFT(B1475,FIND("T",B1475)-1)</f>
        <v>2022-07-06</v>
      </c>
      <c r="D1475" s="3" t="s">
        <v>9</v>
      </c>
      <c r="E1475" s="3" t="s">
        <v>5</v>
      </c>
      <c r="F1475" s="3" t="s">
        <v>10</v>
      </c>
      <c r="G1475" s="3" t="s">
        <v>3523</v>
      </c>
      <c r="H1475" s="3" t="s">
        <v>3524</v>
      </c>
      <c r="I1475" s="4">
        <v>3607.15</v>
      </c>
      <c r="J1475" s="3" t="s">
        <v>13</v>
      </c>
    </row>
    <row r="1476" spans="1:10" x14ac:dyDescent="0.35">
      <c r="A1476" s="3">
        <v>103404993</v>
      </c>
      <c r="B1476" s="3" t="s">
        <v>4802</v>
      </c>
      <c r="C1476" s="3" t="str">
        <f t="shared" si="26"/>
        <v>2022-07-06</v>
      </c>
      <c r="D1476" s="3" t="s">
        <v>9</v>
      </c>
      <c r="E1476" s="3" t="s">
        <v>5</v>
      </c>
      <c r="F1476" s="3" t="s">
        <v>12</v>
      </c>
      <c r="G1476" s="3" t="s">
        <v>4803</v>
      </c>
      <c r="H1476" s="3" t="s">
        <v>4804</v>
      </c>
      <c r="I1476" s="4">
        <v>2279.0500000000002</v>
      </c>
      <c r="J1476" s="3" t="s">
        <v>13</v>
      </c>
    </row>
    <row r="1477" spans="1:10" x14ac:dyDescent="0.35">
      <c r="A1477" s="3">
        <v>103404992</v>
      </c>
      <c r="B1477" s="3" t="s">
        <v>3525</v>
      </c>
      <c r="C1477" s="3" t="str">
        <f t="shared" si="26"/>
        <v>2022-07-06</v>
      </c>
      <c r="D1477" s="3" t="s">
        <v>9</v>
      </c>
      <c r="E1477" s="3" t="s">
        <v>5</v>
      </c>
      <c r="F1477" s="3" t="s">
        <v>10</v>
      </c>
      <c r="G1477" s="3" t="s">
        <v>3526</v>
      </c>
      <c r="H1477" s="3" t="s">
        <v>3527</v>
      </c>
      <c r="I1477" s="5">
        <v>6038</v>
      </c>
      <c r="J1477" s="3" t="s">
        <v>11</v>
      </c>
    </row>
    <row r="1478" spans="1:10" x14ac:dyDescent="0.35">
      <c r="A1478" s="3">
        <v>103404991</v>
      </c>
      <c r="B1478" s="3" t="s">
        <v>3528</v>
      </c>
      <c r="C1478" s="3" t="str">
        <f t="shared" si="26"/>
        <v>2022-07-06</v>
      </c>
      <c r="D1478" s="3" t="s">
        <v>9</v>
      </c>
      <c r="E1478" s="3" t="s">
        <v>5</v>
      </c>
      <c r="F1478" s="3" t="s">
        <v>10</v>
      </c>
      <c r="G1478" s="3" t="s">
        <v>3529</v>
      </c>
      <c r="H1478" s="3" t="s">
        <v>3530</v>
      </c>
      <c r="I1478" s="4">
        <v>3324.05</v>
      </c>
      <c r="J1478" s="3" t="s">
        <v>11</v>
      </c>
    </row>
    <row r="1479" spans="1:10" x14ac:dyDescent="0.35">
      <c r="A1479" s="3">
        <v>103404948</v>
      </c>
      <c r="B1479" s="3" t="s">
        <v>3531</v>
      </c>
      <c r="C1479" s="3" t="str">
        <f t="shared" si="26"/>
        <v>2022-07-06</v>
      </c>
      <c r="D1479" s="3" t="s">
        <v>9</v>
      </c>
      <c r="E1479" s="3" t="s">
        <v>5</v>
      </c>
      <c r="F1479" s="3" t="s">
        <v>10</v>
      </c>
      <c r="G1479" s="3" t="s">
        <v>3532</v>
      </c>
      <c r="H1479" s="3" t="s">
        <v>3533</v>
      </c>
      <c r="I1479" s="5">
        <v>2309</v>
      </c>
      <c r="J1479" s="3" t="s">
        <v>11</v>
      </c>
    </row>
    <row r="1480" spans="1:10" x14ac:dyDescent="0.35">
      <c r="A1480" s="3">
        <v>103404986</v>
      </c>
      <c r="B1480" s="3" t="s">
        <v>3534</v>
      </c>
      <c r="C1480" s="3" t="str">
        <f t="shared" si="26"/>
        <v>2022-07-06</v>
      </c>
      <c r="D1480" s="3" t="s">
        <v>9</v>
      </c>
      <c r="E1480" s="3" t="s">
        <v>5</v>
      </c>
      <c r="F1480" s="3" t="s">
        <v>12</v>
      </c>
      <c r="G1480" s="3" t="s">
        <v>3535</v>
      </c>
      <c r="H1480" s="3" t="s">
        <v>3536</v>
      </c>
      <c r="I1480" s="3">
        <v>489</v>
      </c>
      <c r="J1480" s="3" t="s">
        <v>11</v>
      </c>
    </row>
    <row r="1481" spans="1:10" x14ac:dyDescent="0.35">
      <c r="A1481" s="3">
        <v>103404944</v>
      </c>
      <c r="B1481" s="3" t="s">
        <v>3537</v>
      </c>
      <c r="C1481" s="3" t="str">
        <f t="shared" si="26"/>
        <v>2022-07-06</v>
      </c>
      <c r="D1481" s="3" t="s">
        <v>9</v>
      </c>
      <c r="E1481" s="3" t="s">
        <v>5</v>
      </c>
      <c r="F1481" s="3" t="s">
        <v>10</v>
      </c>
      <c r="G1481" s="3" t="s">
        <v>3538</v>
      </c>
      <c r="H1481" s="3" t="s">
        <v>3539</v>
      </c>
      <c r="I1481" s="4">
        <v>1899.05</v>
      </c>
      <c r="J1481" s="3" t="s">
        <v>11</v>
      </c>
    </row>
    <row r="1482" spans="1:10" x14ac:dyDescent="0.35">
      <c r="A1482" s="3">
        <v>103404938</v>
      </c>
      <c r="B1482" s="3" t="s">
        <v>3540</v>
      </c>
      <c r="C1482" s="3" t="str">
        <f t="shared" si="26"/>
        <v>2022-07-06</v>
      </c>
      <c r="D1482" s="3" t="s">
        <v>9</v>
      </c>
      <c r="E1482" s="3" t="s">
        <v>5</v>
      </c>
      <c r="F1482" s="3" t="s">
        <v>10</v>
      </c>
      <c r="G1482" s="3" t="s">
        <v>3541</v>
      </c>
      <c r="H1482" s="3" t="s">
        <v>3542</v>
      </c>
      <c r="I1482" s="3">
        <v>379.05</v>
      </c>
      <c r="J1482" s="3" t="s">
        <v>11</v>
      </c>
    </row>
    <row r="1483" spans="1:10" x14ac:dyDescent="0.35">
      <c r="A1483" s="3">
        <v>103404936</v>
      </c>
      <c r="B1483" s="3" t="s">
        <v>3543</v>
      </c>
      <c r="C1483" s="3" t="str">
        <f t="shared" si="26"/>
        <v>2022-07-06</v>
      </c>
      <c r="D1483" s="3" t="s">
        <v>9</v>
      </c>
      <c r="E1483" s="3" t="s">
        <v>5</v>
      </c>
      <c r="F1483" s="3" t="s">
        <v>12</v>
      </c>
      <c r="G1483" s="3" t="s">
        <v>3544</v>
      </c>
      <c r="H1483" s="3" t="s">
        <v>3545</v>
      </c>
      <c r="I1483" s="3">
        <v>399</v>
      </c>
      <c r="J1483" s="3" t="s">
        <v>11</v>
      </c>
    </row>
    <row r="1484" spans="1:10" x14ac:dyDescent="0.35">
      <c r="A1484" s="3">
        <v>103404982</v>
      </c>
      <c r="B1484" s="3" t="s">
        <v>3546</v>
      </c>
      <c r="C1484" s="3" t="str">
        <f t="shared" si="26"/>
        <v>2022-07-06</v>
      </c>
      <c r="D1484" s="3" t="s">
        <v>9</v>
      </c>
      <c r="E1484" s="3" t="s">
        <v>5</v>
      </c>
      <c r="F1484" s="3" t="s">
        <v>10</v>
      </c>
      <c r="G1484" s="3" t="s">
        <v>3547</v>
      </c>
      <c r="H1484" s="3" t="s">
        <v>3548</v>
      </c>
      <c r="I1484" s="4">
        <v>6881.04</v>
      </c>
      <c r="J1484" s="3" t="s">
        <v>11</v>
      </c>
    </row>
    <row r="1485" spans="1:10" x14ac:dyDescent="0.35">
      <c r="A1485" s="3">
        <v>103404933</v>
      </c>
      <c r="B1485" s="3" t="s">
        <v>3549</v>
      </c>
      <c r="C1485" s="3" t="str">
        <f t="shared" si="26"/>
        <v>2022-07-06</v>
      </c>
      <c r="D1485" s="3" t="s">
        <v>9</v>
      </c>
      <c r="E1485" s="3" t="s">
        <v>5</v>
      </c>
      <c r="F1485" s="3" t="s">
        <v>12</v>
      </c>
      <c r="G1485" s="3" t="s">
        <v>3550</v>
      </c>
      <c r="H1485" s="3" t="s">
        <v>3551</v>
      </c>
      <c r="I1485" s="5">
        <v>2878</v>
      </c>
      <c r="J1485" s="3" t="s">
        <v>11</v>
      </c>
    </row>
    <row r="1486" spans="1:10" x14ac:dyDescent="0.35">
      <c r="A1486" s="3">
        <v>103404980</v>
      </c>
      <c r="B1486" s="3" t="s">
        <v>3552</v>
      </c>
      <c r="C1486" s="3" t="str">
        <f t="shared" si="26"/>
        <v>2022-07-06</v>
      </c>
      <c r="D1486" s="3" t="s">
        <v>9</v>
      </c>
      <c r="E1486" s="3" t="s">
        <v>5</v>
      </c>
      <c r="F1486" s="3" t="s">
        <v>10</v>
      </c>
      <c r="G1486" s="3" t="s">
        <v>3553</v>
      </c>
      <c r="H1486" s="3" t="s">
        <v>3554</v>
      </c>
      <c r="I1486" s="4">
        <v>4559.05</v>
      </c>
      <c r="J1486" s="3" t="s">
        <v>11</v>
      </c>
    </row>
    <row r="1487" spans="1:10" x14ac:dyDescent="0.35">
      <c r="A1487" s="3">
        <v>103404928</v>
      </c>
      <c r="B1487" s="3" t="s">
        <v>3555</v>
      </c>
      <c r="C1487" s="3" t="str">
        <f t="shared" si="26"/>
        <v>2022-07-06</v>
      </c>
      <c r="D1487" s="3" t="s">
        <v>9</v>
      </c>
      <c r="E1487" s="3" t="s">
        <v>5</v>
      </c>
      <c r="F1487" s="3" t="s">
        <v>12</v>
      </c>
      <c r="G1487" s="3" t="s">
        <v>3556</v>
      </c>
      <c r="H1487" s="3" t="s">
        <v>3557</v>
      </c>
      <c r="I1487" s="4">
        <v>4274.05</v>
      </c>
      <c r="J1487" s="3" t="s">
        <v>11</v>
      </c>
    </row>
    <row r="1488" spans="1:10" x14ac:dyDescent="0.35">
      <c r="A1488" s="3">
        <v>103404979</v>
      </c>
      <c r="B1488" s="3" t="s">
        <v>3558</v>
      </c>
      <c r="C1488" s="3" t="str">
        <f t="shared" si="26"/>
        <v>2022-07-06</v>
      </c>
      <c r="D1488" s="3" t="s">
        <v>9</v>
      </c>
      <c r="E1488" s="3" t="s">
        <v>5</v>
      </c>
      <c r="F1488" s="3" t="s">
        <v>10</v>
      </c>
      <c r="G1488" s="3" t="s">
        <v>3559</v>
      </c>
      <c r="H1488" s="3" t="s">
        <v>3560</v>
      </c>
      <c r="I1488" s="4">
        <v>3656.55</v>
      </c>
      <c r="J1488" s="3" t="s">
        <v>11</v>
      </c>
    </row>
    <row r="1489" spans="1:10" x14ac:dyDescent="0.35">
      <c r="A1489" s="3">
        <v>103404978</v>
      </c>
      <c r="B1489" s="3" t="s">
        <v>3561</v>
      </c>
      <c r="C1489" s="3" t="str">
        <f t="shared" si="26"/>
        <v>2022-07-06</v>
      </c>
      <c r="D1489" s="3" t="s">
        <v>9</v>
      </c>
      <c r="E1489" s="3" t="s">
        <v>5</v>
      </c>
      <c r="F1489" s="3" t="s">
        <v>10</v>
      </c>
      <c r="G1489" s="3" t="s">
        <v>3562</v>
      </c>
      <c r="H1489" s="3" t="s">
        <v>3563</v>
      </c>
      <c r="I1489" s="4">
        <v>4986.55</v>
      </c>
      <c r="J1489" s="3" t="s">
        <v>11</v>
      </c>
    </row>
    <row r="1490" spans="1:10" x14ac:dyDescent="0.35">
      <c r="A1490" s="3">
        <v>103404974</v>
      </c>
      <c r="B1490" s="3" t="s">
        <v>3564</v>
      </c>
      <c r="C1490" s="3" t="str">
        <f t="shared" si="26"/>
        <v>2022-07-06</v>
      </c>
      <c r="D1490" s="3" t="s">
        <v>9</v>
      </c>
      <c r="E1490" s="3" t="s">
        <v>5</v>
      </c>
      <c r="F1490" s="3" t="s">
        <v>10</v>
      </c>
      <c r="G1490" s="3" t="s">
        <v>3565</v>
      </c>
      <c r="H1490" s="3" t="s">
        <v>3566</v>
      </c>
      <c r="I1490" s="5">
        <v>1539</v>
      </c>
      <c r="J1490" s="3" t="s">
        <v>11</v>
      </c>
    </row>
    <row r="1491" spans="1:10" x14ac:dyDescent="0.35">
      <c r="A1491" s="3">
        <v>103404918</v>
      </c>
      <c r="B1491" s="3" t="s">
        <v>3567</v>
      </c>
      <c r="C1491" s="3" t="str">
        <f t="shared" si="26"/>
        <v>2022-07-06</v>
      </c>
      <c r="D1491" s="3" t="s">
        <v>9</v>
      </c>
      <c r="E1491" s="3" t="s">
        <v>5</v>
      </c>
      <c r="F1491" s="3" t="s">
        <v>10</v>
      </c>
      <c r="G1491" s="3" t="s">
        <v>3568</v>
      </c>
      <c r="H1491" s="3" t="s">
        <v>3569</v>
      </c>
      <c r="I1491" s="5">
        <v>4399</v>
      </c>
      <c r="J1491" s="3" t="s">
        <v>11</v>
      </c>
    </row>
    <row r="1492" spans="1:10" x14ac:dyDescent="0.35">
      <c r="A1492" s="3">
        <v>103404970</v>
      </c>
      <c r="B1492" s="3" t="s">
        <v>3570</v>
      </c>
      <c r="C1492" s="3" t="str">
        <f t="shared" si="26"/>
        <v>2022-07-06</v>
      </c>
      <c r="D1492" s="3" t="s">
        <v>9</v>
      </c>
      <c r="E1492" s="3" t="s">
        <v>5</v>
      </c>
      <c r="F1492" s="3" t="s">
        <v>10</v>
      </c>
      <c r="G1492" s="3" t="s">
        <v>3571</v>
      </c>
      <c r="H1492" s="3" t="s">
        <v>3572</v>
      </c>
      <c r="I1492" s="3">
        <v>989</v>
      </c>
      <c r="J1492" s="3" t="s">
        <v>11</v>
      </c>
    </row>
    <row r="1493" spans="1:10" x14ac:dyDescent="0.35">
      <c r="A1493" s="3">
        <v>103404910</v>
      </c>
      <c r="B1493" s="3" t="s">
        <v>3573</v>
      </c>
      <c r="C1493" s="3" t="str">
        <f t="shared" si="26"/>
        <v>2022-07-06</v>
      </c>
      <c r="D1493" s="3" t="s">
        <v>9</v>
      </c>
      <c r="E1493" s="3" t="s">
        <v>5</v>
      </c>
      <c r="F1493" s="3" t="s">
        <v>10</v>
      </c>
      <c r="G1493" s="3" t="s">
        <v>3574</v>
      </c>
      <c r="H1493" s="3" t="s">
        <v>3575</v>
      </c>
      <c r="I1493" s="4">
        <v>2699.1</v>
      </c>
      <c r="J1493" s="3" t="s">
        <v>11</v>
      </c>
    </row>
    <row r="1494" spans="1:10" x14ac:dyDescent="0.35">
      <c r="A1494" s="3">
        <v>103404898</v>
      </c>
      <c r="B1494" s="3" t="s">
        <v>3576</v>
      </c>
      <c r="C1494" s="3" t="str">
        <f t="shared" si="26"/>
        <v>2022-07-06</v>
      </c>
      <c r="D1494" s="3" t="s">
        <v>9</v>
      </c>
      <c r="E1494" s="3" t="s">
        <v>5</v>
      </c>
      <c r="F1494" s="3" t="s">
        <v>10</v>
      </c>
      <c r="G1494" s="3" t="s">
        <v>3577</v>
      </c>
      <c r="H1494" s="3" t="s">
        <v>3578</v>
      </c>
      <c r="I1494" s="3">
        <v>759.05</v>
      </c>
      <c r="J1494" s="3" t="s">
        <v>11</v>
      </c>
    </row>
    <row r="1495" spans="1:10" x14ac:dyDescent="0.35">
      <c r="A1495" s="3">
        <v>103404858</v>
      </c>
      <c r="B1495" s="3" t="s">
        <v>3579</v>
      </c>
      <c r="C1495" s="3" t="str">
        <f t="shared" si="26"/>
        <v>2022-07-06</v>
      </c>
      <c r="D1495" s="3" t="s">
        <v>9</v>
      </c>
      <c r="E1495" s="3" t="s">
        <v>5</v>
      </c>
      <c r="F1495" s="3" t="s">
        <v>10</v>
      </c>
      <c r="G1495" s="3" t="s">
        <v>1267</v>
      </c>
      <c r="H1495" s="3" t="s">
        <v>1268</v>
      </c>
      <c r="I1495" s="5">
        <v>3999</v>
      </c>
      <c r="J1495" s="3" t="s">
        <v>11</v>
      </c>
    </row>
    <row r="1496" spans="1:10" x14ac:dyDescent="0.35">
      <c r="A1496" s="3">
        <v>103404891</v>
      </c>
      <c r="B1496" s="3" t="s">
        <v>3580</v>
      </c>
      <c r="C1496" s="3" t="str">
        <f t="shared" si="26"/>
        <v>2022-07-06</v>
      </c>
      <c r="D1496" s="3" t="s">
        <v>9</v>
      </c>
      <c r="E1496" s="3" t="s">
        <v>5</v>
      </c>
      <c r="F1496" s="3" t="s">
        <v>10</v>
      </c>
      <c r="G1496" s="3" t="s">
        <v>3581</v>
      </c>
      <c r="H1496" s="3" t="s">
        <v>3582</v>
      </c>
      <c r="I1496" s="4">
        <v>2457.65</v>
      </c>
      <c r="J1496" s="3" t="s">
        <v>11</v>
      </c>
    </row>
    <row r="1497" spans="1:10" x14ac:dyDescent="0.35">
      <c r="A1497" s="3">
        <v>103404889</v>
      </c>
      <c r="B1497" s="3" t="s">
        <v>3583</v>
      </c>
      <c r="C1497" s="3" t="str">
        <f t="shared" si="26"/>
        <v>2022-07-06</v>
      </c>
      <c r="D1497" s="3" t="s">
        <v>9</v>
      </c>
      <c r="E1497" s="3" t="s">
        <v>5</v>
      </c>
      <c r="F1497" s="3" t="s">
        <v>10</v>
      </c>
      <c r="G1497" s="3" t="s">
        <v>3584</v>
      </c>
      <c r="H1497" s="3" t="s">
        <v>3585</v>
      </c>
      <c r="I1497" s="4">
        <v>2777.89</v>
      </c>
      <c r="J1497" s="3" t="s">
        <v>11</v>
      </c>
    </row>
    <row r="1498" spans="1:10" x14ac:dyDescent="0.35">
      <c r="A1498" s="3">
        <v>103404855</v>
      </c>
      <c r="B1498" s="3" t="s">
        <v>3586</v>
      </c>
      <c r="C1498" s="3" t="str">
        <f t="shared" si="26"/>
        <v>2022-07-06</v>
      </c>
      <c r="D1498" s="3" t="s">
        <v>9</v>
      </c>
      <c r="E1498" s="3" t="s">
        <v>5</v>
      </c>
      <c r="F1498" s="3" t="s">
        <v>10</v>
      </c>
      <c r="G1498" s="3" t="s">
        <v>3587</v>
      </c>
      <c r="H1498" s="3" t="s">
        <v>3588</v>
      </c>
      <c r="I1498" s="5">
        <v>1499</v>
      </c>
      <c r="J1498" s="3" t="s">
        <v>11</v>
      </c>
    </row>
    <row r="1499" spans="1:10" x14ac:dyDescent="0.35">
      <c r="A1499" s="3">
        <v>103404854</v>
      </c>
      <c r="B1499" s="3" t="s">
        <v>3589</v>
      </c>
      <c r="C1499" s="3" t="str">
        <f t="shared" si="26"/>
        <v>2022-07-06</v>
      </c>
      <c r="D1499" s="3" t="s">
        <v>9</v>
      </c>
      <c r="E1499" s="3" t="s">
        <v>5</v>
      </c>
      <c r="F1499" s="3" t="s">
        <v>10</v>
      </c>
      <c r="G1499" s="3" t="s">
        <v>3590</v>
      </c>
      <c r="H1499" s="3" t="s">
        <v>3591</v>
      </c>
      <c r="I1499" s="4">
        <v>2158.5</v>
      </c>
      <c r="J1499" s="3" t="s">
        <v>11</v>
      </c>
    </row>
    <row r="1500" spans="1:10" x14ac:dyDescent="0.35">
      <c r="A1500" s="3">
        <v>103404847</v>
      </c>
      <c r="B1500" s="3" t="s">
        <v>3592</v>
      </c>
      <c r="C1500" s="3" t="str">
        <f t="shared" si="26"/>
        <v>2022-07-06</v>
      </c>
      <c r="D1500" s="3" t="s">
        <v>9</v>
      </c>
      <c r="E1500" s="3" t="s">
        <v>5</v>
      </c>
      <c r="F1500" s="3" t="s">
        <v>10</v>
      </c>
      <c r="G1500" s="3" t="s">
        <v>3593</v>
      </c>
      <c r="H1500" s="3" t="s">
        <v>3594</v>
      </c>
      <c r="I1500" s="5">
        <v>1169</v>
      </c>
      <c r="J1500" s="3" t="s">
        <v>11</v>
      </c>
    </row>
    <row r="1501" spans="1:10" x14ac:dyDescent="0.35">
      <c r="A1501" s="3">
        <v>103404879</v>
      </c>
      <c r="B1501" s="3" t="s">
        <v>3595</v>
      </c>
      <c r="C1501" s="3" t="str">
        <f t="shared" si="26"/>
        <v>2022-07-06</v>
      </c>
      <c r="D1501" s="3" t="s">
        <v>9</v>
      </c>
      <c r="E1501" s="3" t="s">
        <v>5</v>
      </c>
      <c r="F1501" s="3" t="s">
        <v>10</v>
      </c>
      <c r="G1501" s="3" t="s">
        <v>3596</v>
      </c>
      <c r="H1501" s="3" t="s">
        <v>3597</v>
      </c>
      <c r="I1501" s="4">
        <v>2611.5500000000002</v>
      </c>
      <c r="J1501" s="3" t="s">
        <v>11</v>
      </c>
    </row>
    <row r="1502" spans="1:10" x14ac:dyDescent="0.35">
      <c r="A1502" s="3">
        <v>103404839</v>
      </c>
      <c r="B1502" s="3" t="s">
        <v>3598</v>
      </c>
      <c r="C1502" s="3" t="str">
        <f t="shared" si="26"/>
        <v>2022-07-06</v>
      </c>
      <c r="D1502" s="3" t="s">
        <v>9</v>
      </c>
      <c r="E1502" s="3" t="s">
        <v>5</v>
      </c>
      <c r="F1502" s="3" t="s">
        <v>12</v>
      </c>
      <c r="G1502" s="3" t="s">
        <v>3599</v>
      </c>
      <c r="H1502" s="3" t="s">
        <v>3600</v>
      </c>
      <c r="I1502" s="5">
        <v>2249</v>
      </c>
      <c r="J1502" s="3" t="s">
        <v>11</v>
      </c>
    </row>
    <row r="1503" spans="1:10" x14ac:dyDescent="0.35">
      <c r="A1503" s="3">
        <v>103404829</v>
      </c>
      <c r="B1503" s="3" t="s">
        <v>3601</v>
      </c>
      <c r="C1503" s="3" t="str">
        <f t="shared" si="26"/>
        <v>2022-07-06</v>
      </c>
      <c r="D1503" s="3" t="s">
        <v>9</v>
      </c>
      <c r="E1503" s="3" t="s">
        <v>5</v>
      </c>
      <c r="F1503" s="3" t="s">
        <v>10</v>
      </c>
      <c r="G1503" s="3" t="s">
        <v>3602</v>
      </c>
      <c r="H1503" s="3" t="s">
        <v>3603</v>
      </c>
      <c r="I1503" s="3">
        <v>969</v>
      </c>
      <c r="J1503" s="3" t="s">
        <v>11</v>
      </c>
    </row>
    <row r="1504" spans="1:10" x14ac:dyDescent="0.35">
      <c r="A1504" s="3">
        <v>103404823</v>
      </c>
      <c r="B1504" s="3" t="s">
        <v>3604</v>
      </c>
      <c r="C1504" s="3" t="str">
        <f t="shared" si="26"/>
        <v>2022-07-06</v>
      </c>
      <c r="D1504" s="3" t="s">
        <v>9</v>
      </c>
      <c r="E1504" s="3" t="s">
        <v>5</v>
      </c>
      <c r="F1504" s="3" t="s">
        <v>10</v>
      </c>
      <c r="G1504" s="3" t="s">
        <v>3605</v>
      </c>
      <c r="H1504" s="3" t="s">
        <v>3606</v>
      </c>
      <c r="I1504" s="4">
        <v>2724.65</v>
      </c>
      <c r="J1504" s="3" t="s">
        <v>11</v>
      </c>
    </row>
    <row r="1505" spans="1:10" x14ac:dyDescent="0.35">
      <c r="A1505" s="3">
        <v>103404754</v>
      </c>
      <c r="B1505" s="3" t="s">
        <v>3607</v>
      </c>
      <c r="C1505" s="3" t="str">
        <f t="shared" si="26"/>
        <v>2022-07-06</v>
      </c>
      <c r="D1505" s="3" t="s">
        <v>9</v>
      </c>
      <c r="E1505" s="3" t="s">
        <v>5</v>
      </c>
      <c r="F1505" s="3" t="s">
        <v>10</v>
      </c>
      <c r="G1505" s="3" t="s">
        <v>3608</v>
      </c>
      <c r="H1505" s="3" t="s">
        <v>3609</v>
      </c>
      <c r="I1505" s="3">
        <v>899</v>
      </c>
      <c r="J1505" s="3" t="s">
        <v>11</v>
      </c>
    </row>
    <row r="1506" spans="1:10" x14ac:dyDescent="0.35">
      <c r="A1506" s="3">
        <v>103404817</v>
      </c>
      <c r="B1506" s="3" t="s">
        <v>3610</v>
      </c>
      <c r="C1506" s="3" t="str">
        <f t="shared" si="26"/>
        <v>2022-07-06</v>
      </c>
      <c r="D1506" s="3" t="s">
        <v>9</v>
      </c>
      <c r="E1506" s="3" t="s">
        <v>5</v>
      </c>
      <c r="F1506" s="3" t="s">
        <v>10</v>
      </c>
      <c r="G1506" s="3" t="s">
        <v>3611</v>
      </c>
      <c r="H1506" s="3" t="s">
        <v>3612</v>
      </c>
      <c r="I1506" s="4">
        <v>2374.0500000000002</v>
      </c>
      <c r="J1506" s="3" t="s">
        <v>11</v>
      </c>
    </row>
    <row r="1507" spans="1:10" x14ac:dyDescent="0.35">
      <c r="A1507" s="3">
        <v>103404750</v>
      </c>
      <c r="B1507" s="3" t="s">
        <v>3613</v>
      </c>
      <c r="C1507" s="3" t="str">
        <f t="shared" si="26"/>
        <v>2022-07-06</v>
      </c>
      <c r="D1507" s="3" t="s">
        <v>9</v>
      </c>
      <c r="E1507" s="3" t="s">
        <v>5</v>
      </c>
      <c r="F1507" s="3" t="s">
        <v>12</v>
      </c>
      <c r="G1507" s="3" t="s">
        <v>3614</v>
      </c>
      <c r="H1507" s="3" t="s">
        <v>3615</v>
      </c>
      <c r="I1507" s="5">
        <v>1699</v>
      </c>
      <c r="J1507" s="3" t="s">
        <v>11</v>
      </c>
    </row>
    <row r="1508" spans="1:10" x14ac:dyDescent="0.35">
      <c r="A1508" s="3">
        <v>103404749</v>
      </c>
      <c r="B1508" s="3" t="s">
        <v>3616</v>
      </c>
      <c r="C1508" s="3" t="str">
        <f t="shared" si="26"/>
        <v>2022-07-06</v>
      </c>
      <c r="D1508" s="3" t="s">
        <v>9</v>
      </c>
      <c r="E1508" s="3" t="s">
        <v>5</v>
      </c>
      <c r="F1508" s="3" t="s">
        <v>10</v>
      </c>
      <c r="G1508" s="3" t="s">
        <v>3617</v>
      </c>
      <c r="H1508" s="3" t="s">
        <v>3618</v>
      </c>
      <c r="I1508" s="4">
        <v>2165.1</v>
      </c>
      <c r="J1508" s="3" t="s">
        <v>11</v>
      </c>
    </row>
    <row r="1509" spans="1:10" x14ac:dyDescent="0.35">
      <c r="A1509" s="3">
        <v>103404746</v>
      </c>
      <c r="B1509" s="3" t="s">
        <v>3619</v>
      </c>
      <c r="C1509" s="3" t="str">
        <f t="shared" si="26"/>
        <v>2022-07-06</v>
      </c>
      <c r="D1509" s="3" t="s">
        <v>9</v>
      </c>
      <c r="E1509" s="3" t="s">
        <v>5</v>
      </c>
      <c r="F1509" s="3" t="s">
        <v>10</v>
      </c>
      <c r="G1509" s="3" t="s">
        <v>3620</v>
      </c>
      <c r="H1509" s="3" t="s">
        <v>3621</v>
      </c>
      <c r="I1509" s="5">
        <v>1298</v>
      </c>
      <c r="J1509" s="3" t="s">
        <v>11</v>
      </c>
    </row>
    <row r="1510" spans="1:10" x14ac:dyDescent="0.35">
      <c r="A1510" s="3">
        <v>103404741</v>
      </c>
      <c r="B1510" s="3" t="s">
        <v>3622</v>
      </c>
      <c r="C1510" s="3" t="str">
        <f t="shared" si="26"/>
        <v>2022-07-06</v>
      </c>
      <c r="D1510" s="3" t="s">
        <v>9</v>
      </c>
      <c r="E1510" s="3" t="s">
        <v>5</v>
      </c>
      <c r="F1510" s="3" t="s">
        <v>12</v>
      </c>
      <c r="G1510" s="3" t="s">
        <v>1454</v>
      </c>
      <c r="H1510" s="3" t="s">
        <v>3623</v>
      </c>
      <c r="I1510" s="3">
        <v>949.05</v>
      </c>
      <c r="J1510" s="3" t="s">
        <v>11</v>
      </c>
    </row>
    <row r="1511" spans="1:10" x14ac:dyDescent="0.35">
      <c r="A1511" s="3">
        <v>103404810</v>
      </c>
      <c r="B1511" s="3" t="s">
        <v>3624</v>
      </c>
      <c r="C1511" s="3" t="str">
        <f t="shared" si="26"/>
        <v>2022-07-06</v>
      </c>
      <c r="D1511" s="3" t="s">
        <v>9</v>
      </c>
      <c r="E1511" s="3" t="s">
        <v>5</v>
      </c>
      <c r="F1511" s="3" t="s">
        <v>10</v>
      </c>
      <c r="G1511" s="3" t="s">
        <v>3625</v>
      </c>
      <c r="H1511" s="3" t="s">
        <v>3626</v>
      </c>
      <c r="I1511" s="4">
        <v>4188.6400000000003</v>
      </c>
      <c r="J1511" s="3" t="s">
        <v>11</v>
      </c>
    </row>
    <row r="1512" spans="1:10" x14ac:dyDescent="0.35">
      <c r="A1512" s="3">
        <v>103404808</v>
      </c>
      <c r="B1512" s="3" t="s">
        <v>3627</v>
      </c>
      <c r="C1512" s="3" t="str">
        <f t="shared" si="26"/>
        <v>2022-07-06</v>
      </c>
      <c r="D1512" s="3" t="s">
        <v>9</v>
      </c>
      <c r="E1512" s="3" t="s">
        <v>5</v>
      </c>
      <c r="F1512" s="3" t="s">
        <v>10</v>
      </c>
      <c r="G1512" s="3" t="s">
        <v>1604</v>
      </c>
      <c r="H1512" s="3" t="s">
        <v>1605</v>
      </c>
      <c r="I1512" s="3">
        <v>554.89</v>
      </c>
      <c r="J1512" s="3" t="s">
        <v>11</v>
      </c>
    </row>
    <row r="1513" spans="1:10" x14ac:dyDescent="0.35">
      <c r="A1513" s="3">
        <v>103404734</v>
      </c>
      <c r="B1513" s="3" t="s">
        <v>3628</v>
      </c>
      <c r="C1513" s="3" t="str">
        <f t="shared" si="26"/>
        <v>2022-07-06</v>
      </c>
      <c r="D1513" s="3" t="s">
        <v>9</v>
      </c>
      <c r="E1513" s="3" t="s">
        <v>5</v>
      </c>
      <c r="F1513" s="3" t="s">
        <v>12</v>
      </c>
      <c r="G1513" s="3" t="s">
        <v>3629</v>
      </c>
      <c r="H1513" s="3" t="s">
        <v>3630</v>
      </c>
      <c r="I1513" s="3">
        <v>996.55</v>
      </c>
      <c r="J1513" s="3" t="s">
        <v>11</v>
      </c>
    </row>
    <row r="1514" spans="1:10" x14ac:dyDescent="0.35">
      <c r="A1514" s="3">
        <v>103404733</v>
      </c>
      <c r="B1514" s="3" t="s">
        <v>3631</v>
      </c>
      <c r="C1514" s="3" t="str">
        <f t="shared" si="26"/>
        <v>2022-07-06</v>
      </c>
      <c r="D1514" s="3" t="s">
        <v>9</v>
      </c>
      <c r="E1514" s="3" t="s">
        <v>5</v>
      </c>
      <c r="F1514" s="3" t="s">
        <v>10</v>
      </c>
      <c r="G1514" s="3" t="s">
        <v>3632</v>
      </c>
      <c r="H1514" s="3" t="s">
        <v>3633</v>
      </c>
      <c r="I1514" s="3">
        <v>989</v>
      </c>
      <c r="J1514" s="3" t="s">
        <v>11</v>
      </c>
    </row>
    <row r="1515" spans="1:10" x14ac:dyDescent="0.35">
      <c r="A1515" s="3">
        <v>103404732</v>
      </c>
      <c r="B1515" s="3" t="s">
        <v>3634</v>
      </c>
      <c r="C1515" s="3" t="str">
        <f t="shared" si="26"/>
        <v>2022-07-06</v>
      </c>
      <c r="D1515" s="3" t="s">
        <v>9</v>
      </c>
      <c r="E1515" s="3" t="s">
        <v>5</v>
      </c>
      <c r="F1515" s="3" t="s">
        <v>12</v>
      </c>
      <c r="G1515" s="3" t="s">
        <v>3635</v>
      </c>
      <c r="H1515" s="3" t="s">
        <v>3636</v>
      </c>
      <c r="I1515" s="4">
        <v>2136.5500000000002</v>
      </c>
      <c r="J1515" s="3" t="s">
        <v>11</v>
      </c>
    </row>
    <row r="1516" spans="1:10" x14ac:dyDescent="0.35">
      <c r="A1516" s="3">
        <v>103404730</v>
      </c>
      <c r="B1516" s="3" t="s">
        <v>3637</v>
      </c>
      <c r="C1516" s="3" t="str">
        <f t="shared" si="26"/>
        <v>2022-07-06</v>
      </c>
      <c r="D1516" s="3" t="s">
        <v>9</v>
      </c>
      <c r="E1516" s="3" t="s">
        <v>5</v>
      </c>
      <c r="F1516" s="3" t="s">
        <v>10</v>
      </c>
      <c r="G1516" s="3" t="s">
        <v>3638</v>
      </c>
      <c r="H1516" s="3" t="s">
        <v>3639</v>
      </c>
      <c r="I1516" s="4">
        <v>4559.05</v>
      </c>
      <c r="J1516" s="3" t="s">
        <v>11</v>
      </c>
    </row>
    <row r="1517" spans="1:10" x14ac:dyDescent="0.35">
      <c r="A1517" s="3">
        <v>103404726</v>
      </c>
      <c r="B1517" s="3" t="s">
        <v>3640</v>
      </c>
      <c r="C1517" s="3" t="str">
        <f t="shared" si="26"/>
        <v>2022-07-06</v>
      </c>
      <c r="D1517" s="3" t="s">
        <v>9</v>
      </c>
      <c r="E1517" s="3" t="s">
        <v>5</v>
      </c>
      <c r="F1517" s="3" t="s">
        <v>10</v>
      </c>
      <c r="G1517" s="3" t="s">
        <v>3641</v>
      </c>
      <c r="H1517" s="3" t="s">
        <v>3642</v>
      </c>
      <c r="I1517" s="4">
        <v>3075.15</v>
      </c>
      <c r="J1517" s="3" t="s">
        <v>11</v>
      </c>
    </row>
    <row r="1518" spans="1:10" x14ac:dyDescent="0.35">
      <c r="A1518" s="3">
        <v>103404802</v>
      </c>
      <c r="B1518" s="3" t="s">
        <v>3643</v>
      </c>
      <c r="C1518" s="3" t="str">
        <f t="shared" si="26"/>
        <v>2022-07-06</v>
      </c>
      <c r="D1518" s="3" t="s">
        <v>9</v>
      </c>
      <c r="E1518" s="3" t="s">
        <v>5</v>
      </c>
      <c r="F1518" s="3" t="s">
        <v>12</v>
      </c>
      <c r="G1518" s="3" t="s">
        <v>3644</v>
      </c>
      <c r="H1518" s="3" t="s">
        <v>3645</v>
      </c>
      <c r="I1518" s="5">
        <v>2999</v>
      </c>
      <c r="J1518" s="3" t="s">
        <v>11</v>
      </c>
    </row>
    <row r="1519" spans="1:10" x14ac:dyDescent="0.35">
      <c r="A1519" s="3">
        <v>103404801</v>
      </c>
      <c r="B1519" s="3" t="s">
        <v>3646</v>
      </c>
      <c r="C1519" s="3" t="str">
        <f t="shared" si="26"/>
        <v>2022-07-06</v>
      </c>
      <c r="D1519" s="3" t="s">
        <v>9</v>
      </c>
      <c r="E1519" s="3" t="s">
        <v>5</v>
      </c>
      <c r="F1519" s="3" t="s">
        <v>12</v>
      </c>
      <c r="G1519" s="3" t="s">
        <v>3647</v>
      </c>
      <c r="H1519" s="3" t="s">
        <v>3648</v>
      </c>
      <c r="I1519" s="5">
        <v>1259</v>
      </c>
      <c r="J1519" s="3" t="s">
        <v>11</v>
      </c>
    </row>
    <row r="1520" spans="1:10" x14ac:dyDescent="0.35">
      <c r="A1520" s="3">
        <v>103404718</v>
      </c>
      <c r="B1520" s="3" t="s">
        <v>3649</v>
      </c>
      <c r="C1520" s="3" t="str">
        <f t="shared" si="26"/>
        <v>2022-07-06</v>
      </c>
      <c r="D1520" s="3" t="s">
        <v>9</v>
      </c>
      <c r="E1520" s="3" t="s">
        <v>5</v>
      </c>
      <c r="F1520" s="3" t="s">
        <v>10</v>
      </c>
      <c r="G1520" s="3" t="s">
        <v>3650</v>
      </c>
      <c r="H1520" s="3" t="s">
        <v>3651</v>
      </c>
      <c r="I1520" s="4">
        <v>1851.55</v>
      </c>
      <c r="J1520" s="3" t="s">
        <v>11</v>
      </c>
    </row>
    <row r="1521" spans="1:10" x14ac:dyDescent="0.35">
      <c r="A1521" s="3">
        <v>103404715</v>
      </c>
      <c r="B1521" s="3" t="s">
        <v>3652</v>
      </c>
      <c r="C1521" s="3" t="str">
        <f t="shared" si="26"/>
        <v>2022-07-05</v>
      </c>
      <c r="D1521" s="3" t="s">
        <v>9</v>
      </c>
      <c r="E1521" s="3" t="s">
        <v>5</v>
      </c>
      <c r="F1521" s="3" t="s">
        <v>10</v>
      </c>
      <c r="G1521" s="3" t="s">
        <v>3653</v>
      </c>
      <c r="H1521" s="3" t="s">
        <v>3654</v>
      </c>
      <c r="I1521" s="5">
        <v>2568</v>
      </c>
      <c r="J1521" s="3" t="s">
        <v>11</v>
      </c>
    </row>
    <row r="1522" spans="1:10" x14ac:dyDescent="0.35">
      <c r="A1522" s="3">
        <v>103404784</v>
      </c>
      <c r="B1522" s="3" t="s">
        <v>3655</v>
      </c>
      <c r="C1522" s="3" t="str">
        <f t="shared" si="26"/>
        <v>2022-07-05</v>
      </c>
      <c r="D1522" s="3" t="s">
        <v>9</v>
      </c>
      <c r="E1522" s="3" t="s">
        <v>5</v>
      </c>
      <c r="F1522" s="3" t="s">
        <v>10</v>
      </c>
      <c r="G1522" s="3" t="s">
        <v>2618</v>
      </c>
      <c r="H1522" s="3" t="s">
        <v>2619</v>
      </c>
      <c r="I1522" s="4">
        <v>7599.05</v>
      </c>
      <c r="J1522" s="3" t="s">
        <v>11</v>
      </c>
    </row>
    <row r="1523" spans="1:10" x14ac:dyDescent="0.35">
      <c r="A1523" s="3">
        <v>103404712</v>
      </c>
      <c r="B1523" s="3" t="s">
        <v>3656</v>
      </c>
      <c r="C1523" s="3" t="str">
        <f t="shared" si="26"/>
        <v>2022-07-05</v>
      </c>
      <c r="D1523" s="3" t="s">
        <v>9</v>
      </c>
      <c r="E1523" s="3" t="s">
        <v>5</v>
      </c>
      <c r="F1523" s="3" t="s">
        <v>10</v>
      </c>
      <c r="G1523" s="3" t="s">
        <v>3657</v>
      </c>
      <c r="H1523" s="3" t="s">
        <v>3658</v>
      </c>
      <c r="I1523" s="5">
        <v>1169</v>
      </c>
      <c r="J1523" s="3" t="s">
        <v>11</v>
      </c>
    </row>
    <row r="1524" spans="1:10" x14ac:dyDescent="0.35">
      <c r="A1524" s="3">
        <v>103404711</v>
      </c>
      <c r="B1524" s="3" t="s">
        <v>3659</v>
      </c>
      <c r="C1524" s="3" t="str">
        <f t="shared" si="26"/>
        <v>2022-07-05</v>
      </c>
      <c r="D1524" s="3" t="s">
        <v>9</v>
      </c>
      <c r="E1524" s="3" t="s">
        <v>5</v>
      </c>
      <c r="F1524" s="3" t="s">
        <v>10</v>
      </c>
      <c r="G1524" s="3" t="s">
        <v>3660</v>
      </c>
      <c r="H1524" s="3" t="s">
        <v>3661</v>
      </c>
      <c r="I1524" s="4">
        <v>2469.0500000000002</v>
      </c>
      <c r="J1524" s="3" t="s">
        <v>11</v>
      </c>
    </row>
    <row r="1525" spans="1:10" x14ac:dyDescent="0.35">
      <c r="A1525" s="3">
        <v>103404779</v>
      </c>
      <c r="B1525" s="3" t="s">
        <v>3662</v>
      </c>
      <c r="C1525" s="3" t="str">
        <f t="shared" si="26"/>
        <v>2022-07-05</v>
      </c>
      <c r="D1525" s="3" t="s">
        <v>9</v>
      </c>
      <c r="E1525" s="3" t="s">
        <v>5</v>
      </c>
      <c r="F1525" s="3" t="s">
        <v>10</v>
      </c>
      <c r="G1525" s="3" t="s">
        <v>3472</v>
      </c>
      <c r="H1525" s="3" t="s">
        <v>3663</v>
      </c>
      <c r="I1525" s="5">
        <v>1749</v>
      </c>
      <c r="J1525" s="3" t="s">
        <v>11</v>
      </c>
    </row>
    <row r="1526" spans="1:10" x14ac:dyDescent="0.35">
      <c r="A1526" s="3">
        <v>103404708</v>
      </c>
      <c r="B1526" s="3" t="s">
        <v>3664</v>
      </c>
      <c r="C1526" s="3" t="str">
        <f t="shared" si="26"/>
        <v>2022-07-05</v>
      </c>
      <c r="D1526" s="3" t="s">
        <v>9</v>
      </c>
      <c r="E1526" s="3" t="s">
        <v>5</v>
      </c>
      <c r="F1526" s="3" t="s">
        <v>10</v>
      </c>
      <c r="G1526" s="3" t="s">
        <v>2894</v>
      </c>
      <c r="H1526" s="3" t="s">
        <v>2895</v>
      </c>
      <c r="I1526" s="5">
        <v>3518</v>
      </c>
      <c r="J1526" s="3" t="s">
        <v>11</v>
      </c>
    </row>
    <row r="1527" spans="1:10" x14ac:dyDescent="0.35">
      <c r="A1527" s="3">
        <v>103404775</v>
      </c>
      <c r="B1527" s="3" t="s">
        <v>3665</v>
      </c>
      <c r="C1527" s="3" t="str">
        <f t="shared" si="26"/>
        <v>2022-07-05</v>
      </c>
      <c r="D1527" s="3" t="s">
        <v>9</v>
      </c>
      <c r="E1527" s="3" t="s">
        <v>5</v>
      </c>
      <c r="F1527" s="3" t="s">
        <v>10</v>
      </c>
      <c r="G1527" s="3" t="s">
        <v>3666</v>
      </c>
      <c r="H1527" s="3" t="s">
        <v>3667</v>
      </c>
      <c r="I1527" s="5">
        <v>3019</v>
      </c>
      <c r="J1527" s="3" t="s">
        <v>11</v>
      </c>
    </row>
    <row r="1528" spans="1:10" x14ac:dyDescent="0.35">
      <c r="A1528" s="3">
        <v>103404706</v>
      </c>
      <c r="B1528" s="3" t="s">
        <v>3668</v>
      </c>
      <c r="C1528" s="3" t="str">
        <f t="shared" si="26"/>
        <v>2022-07-05</v>
      </c>
      <c r="D1528" s="3" t="s">
        <v>9</v>
      </c>
      <c r="E1528" s="3" t="s">
        <v>5</v>
      </c>
      <c r="F1528" s="3" t="s">
        <v>10</v>
      </c>
      <c r="G1528" s="3" t="s">
        <v>3669</v>
      </c>
      <c r="H1528" s="3" t="s">
        <v>3670</v>
      </c>
      <c r="I1528" s="5">
        <v>3498</v>
      </c>
      <c r="J1528" s="3" t="s">
        <v>11</v>
      </c>
    </row>
    <row r="1529" spans="1:10" x14ac:dyDescent="0.35">
      <c r="A1529" s="3">
        <v>103404772</v>
      </c>
      <c r="B1529" s="3" t="s">
        <v>3671</v>
      </c>
      <c r="C1529" s="3" t="str">
        <f t="shared" si="26"/>
        <v>2022-07-05</v>
      </c>
      <c r="D1529" s="3" t="s">
        <v>9</v>
      </c>
      <c r="E1529" s="3" t="s">
        <v>5</v>
      </c>
      <c r="F1529" s="3" t="s">
        <v>10</v>
      </c>
      <c r="G1529" s="3" t="s">
        <v>3672</v>
      </c>
      <c r="H1529" s="3" t="s">
        <v>3673</v>
      </c>
      <c r="I1529" s="4">
        <v>1661.55</v>
      </c>
      <c r="J1529" s="3" t="s">
        <v>11</v>
      </c>
    </row>
    <row r="1530" spans="1:10" x14ac:dyDescent="0.35">
      <c r="A1530" s="3">
        <v>103404704</v>
      </c>
      <c r="B1530" s="3" t="s">
        <v>3674</v>
      </c>
      <c r="C1530" s="3" t="str">
        <f t="shared" si="26"/>
        <v>2022-07-05</v>
      </c>
      <c r="D1530" s="3" t="s">
        <v>9</v>
      </c>
      <c r="E1530" s="3" t="s">
        <v>5</v>
      </c>
      <c r="F1530" s="3" t="s">
        <v>10</v>
      </c>
      <c r="G1530" s="3" t="s">
        <v>3675</v>
      </c>
      <c r="H1530" s="3" t="s">
        <v>3676</v>
      </c>
      <c r="I1530" s="5">
        <v>3599</v>
      </c>
      <c r="J1530" s="3" t="s">
        <v>11</v>
      </c>
    </row>
    <row r="1531" spans="1:10" x14ac:dyDescent="0.35">
      <c r="A1531" s="3">
        <v>103404662</v>
      </c>
      <c r="B1531" s="3" t="s">
        <v>3677</v>
      </c>
      <c r="C1531" s="3" t="str">
        <f t="shared" si="26"/>
        <v>2022-07-05</v>
      </c>
      <c r="D1531" s="3" t="s">
        <v>9</v>
      </c>
      <c r="E1531" s="3" t="s">
        <v>5</v>
      </c>
      <c r="F1531" s="3" t="s">
        <v>12</v>
      </c>
      <c r="G1531" s="3" t="s">
        <v>3678</v>
      </c>
      <c r="H1531" s="3" t="s">
        <v>3679</v>
      </c>
      <c r="I1531" s="4">
        <v>1462.05</v>
      </c>
      <c r="J1531" s="3" t="s">
        <v>11</v>
      </c>
    </row>
    <row r="1532" spans="1:10" x14ac:dyDescent="0.35">
      <c r="A1532" s="3">
        <v>103404701</v>
      </c>
      <c r="B1532" s="3" t="s">
        <v>3680</v>
      </c>
      <c r="C1532" s="3" t="str">
        <f t="shared" si="26"/>
        <v>2022-07-05</v>
      </c>
      <c r="D1532" s="3" t="s">
        <v>9</v>
      </c>
      <c r="E1532" s="3" t="s">
        <v>5</v>
      </c>
      <c r="F1532" s="3" t="s">
        <v>10</v>
      </c>
      <c r="G1532" s="3" t="s">
        <v>3681</v>
      </c>
      <c r="H1532" s="3" t="s">
        <v>3682</v>
      </c>
      <c r="I1532" s="4">
        <v>1758.97</v>
      </c>
      <c r="J1532" s="3" t="s">
        <v>11</v>
      </c>
    </row>
    <row r="1533" spans="1:10" x14ac:dyDescent="0.35">
      <c r="A1533" s="3">
        <v>103404700</v>
      </c>
      <c r="B1533" s="3" t="s">
        <v>3683</v>
      </c>
      <c r="C1533" s="3" t="str">
        <f t="shared" si="26"/>
        <v>2022-07-05</v>
      </c>
      <c r="D1533" s="3" t="s">
        <v>9</v>
      </c>
      <c r="E1533" s="3" t="s">
        <v>5</v>
      </c>
      <c r="F1533" s="3" t="s">
        <v>10</v>
      </c>
      <c r="G1533" s="3" t="s">
        <v>3684</v>
      </c>
      <c r="H1533" s="3" t="s">
        <v>3685</v>
      </c>
      <c r="I1533" s="3">
        <v>569.04999999999995</v>
      </c>
      <c r="J1533" s="3" t="s">
        <v>11</v>
      </c>
    </row>
    <row r="1534" spans="1:10" x14ac:dyDescent="0.35">
      <c r="A1534" s="3">
        <v>103404659</v>
      </c>
      <c r="B1534" s="3" t="s">
        <v>3686</v>
      </c>
      <c r="C1534" s="3" t="str">
        <f t="shared" si="26"/>
        <v>2022-07-05</v>
      </c>
      <c r="D1534" s="3" t="s">
        <v>9</v>
      </c>
      <c r="E1534" s="3" t="s">
        <v>5</v>
      </c>
      <c r="F1534" s="3" t="s">
        <v>10</v>
      </c>
      <c r="G1534" s="3" t="s">
        <v>3687</v>
      </c>
      <c r="H1534" s="3" t="s">
        <v>3688</v>
      </c>
      <c r="I1534" s="4">
        <v>1889.1</v>
      </c>
      <c r="J1534" s="3" t="s">
        <v>11</v>
      </c>
    </row>
    <row r="1535" spans="1:10" x14ac:dyDescent="0.35">
      <c r="A1535" s="3">
        <v>103404696</v>
      </c>
      <c r="B1535" s="3" t="s">
        <v>3689</v>
      </c>
      <c r="C1535" s="3" t="str">
        <f t="shared" si="26"/>
        <v>2022-07-05</v>
      </c>
      <c r="D1535" s="3" t="s">
        <v>9</v>
      </c>
      <c r="E1535" s="3" t="s">
        <v>5</v>
      </c>
      <c r="F1535" s="3" t="s">
        <v>12</v>
      </c>
      <c r="G1535" s="3" t="s">
        <v>3690</v>
      </c>
      <c r="H1535" s="3" t="s">
        <v>3691</v>
      </c>
      <c r="I1535" s="5">
        <v>1388</v>
      </c>
      <c r="J1535" s="3" t="s">
        <v>11</v>
      </c>
    </row>
    <row r="1536" spans="1:10" x14ac:dyDescent="0.35">
      <c r="A1536" s="3">
        <v>103404695</v>
      </c>
      <c r="B1536" s="3" t="s">
        <v>3692</v>
      </c>
      <c r="C1536" s="3" t="str">
        <f t="shared" si="26"/>
        <v>2022-07-05</v>
      </c>
      <c r="D1536" s="3" t="s">
        <v>9</v>
      </c>
      <c r="E1536" s="3" t="s">
        <v>5</v>
      </c>
      <c r="F1536" s="3" t="s">
        <v>10</v>
      </c>
      <c r="G1536" s="3" t="s">
        <v>3693</v>
      </c>
      <c r="H1536" s="3" t="s">
        <v>3694</v>
      </c>
      <c r="I1536" s="3">
        <v>369.55</v>
      </c>
      <c r="J1536" s="3" t="s">
        <v>11</v>
      </c>
    </row>
    <row r="1537" spans="1:10" x14ac:dyDescent="0.35">
      <c r="A1537" s="3">
        <v>103404655</v>
      </c>
      <c r="B1537" s="3" t="s">
        <v>3695</v>
      </c>
      <c r="C1537" s="3" t="str">
        <f t="shared" si="26"/>
        <v>2022-07-05</v>
      </c>
      <c r="D1537" s="3" t="s">
        <v>9</v>
      </c>
      <c r="E1537" s="3" t="s">
        <v>5</v>
      </c>
      <c r="F1537" s="3" t="s">
        <v>10</v>
      </c>
      <c r="G1537" s="3" t="s">
        <v>3696</v>
      </c>
      <c r="H1537" s="3" t="s">
        <v>3697</v>
      </c>
      <c r="I1537" s="5">
        <v>4549</v>
      </c>
      <c r="J1537" s="3" t="s">
        <v>11</v>
      </c>
    </row>
    <row r="1538" spans="1:10" x14ac:dyDescent="0.35">
      <c r="A1538" s="3">
        <v>103404652</v>
      </c>
      <c r="B1538" s="3" t="s">
        <v>3698</v>
      </c>
      <c r="C1538" s="3" t="str">
        <f t="shared" si="26"/>
        <v>2022-07-05</v>
      </c>
      <c r="D1538" s="3" t="s">
        <v>9</v>
      </c>
      <c r="E1538" s="3" t="s">
        <v>5</v>
      </c>
      <c r="F1538" s="3" t="s">
        <v>10</v>
      </c>
      <c r="G1538" s="3" t="s">
        <v>2269</v>
      </c>
      <c r="H1538" s="3" t="s">
        <v>2270</v>
      </c>
      <c r="I1538" s="5">
        <v>3899</v>
      </c>
      <c r="J1538" s="3" t="s">
        <v>11</v>
      </c>
    </row>
    <row r="1539" spans="1:10" x14ac:dyDescent="0.35">
      <c r="A1539" s="3">
        <v>103404651</v>
      </c>
      <c r="B1539" s="3" t="s">
        <v>3699</v>
      </c>
      <c r="C1539" s="3" t="str">
        <f t="shared" ref="C1539:C1602" si="27">LEFT(B1539,FIND("T",B1539)-1)</f>
        <v>2022-07-05</v>
      </c>
      <c r="D1539" s="3" t="s">
        <v>9</v>
      </c>
      <c r="E1539" s="3" t="s">
        <v>5</v>
      </c>
      <c r="F1539" s="3" t="s">
        <v>10</v>
      </c>
      <c r="G1539" s="3" t="s">
        <v>3700</v>
      </c>
      <c r="H1539" s="3" t="s">
        <v>3701</v>
      </c>
      <c r="I1539" s="5">
        <v>2469</v>
      </c>
      <c r="J1539" s="3" t="s">
        <v>11</v>
      </c>
    </row>
    <row r="1540" spans="1:10" x14ac:dyDescent="0.35">
      <c r="A1540" s="3">
        <v>103404684</v>
      </c>
      <c r="B1540" s="3" t="s">
        <v>3702</v>
      </c>
      <c r="C1540" s="3" t="str">
        <f t="shared" si="27"/>
        <v>2022-07-05</v>
      </c>
      <c r="D1540" s="3" t="s">
        <v>9</v>
      </c>
      <c r="E1540" s="3" t="s">
        <v>5</v>
      </c>
      <c r="F1540" s="3" t="s">
        <v>10</v>
      </c>
      <c r="G1540" s="3" t="s">
        <v>3703</v>
      </c>
      <c r="H1540" s="3" t="s">
        <v>3704</v>
      </c>
      <c r="I1540" s="3">
        <v>389</v>
      </c>
      <c r="J1540" s="3" t="s">
        <v>11</v>
      </c>
    </row>
    <row r="1541" spans="1:10" x14ac:dyDescent="0.35">
      <c r="A1541" s="3">
        <v>103404679</v>
      </c>
      <c r="B1541" s="3" t="s">
        <v>3705</v>
      </c>
      <c r="C1541" s="3" t="str">
        <f t="shared" si="27"/>
        <v>2022-07-05</v>
      </c>
      <c r="D1541" s="3" t="s">
        <v>9</v>
      </c>
      <c r="E1541" s="3" t="s">
        <v>5</v>
      </c>
      <c r="F1541" s="3" t="s">
        <v>10</v>
      </c>
      <c r="G1541" s="3" t="s">
        <v>3706</v>
      </c>
      <c r="H1541" s="3" t="s">
        <v>3707</v>
      </c>
      <c r="I1541" s="5">
        <v>2599</v>
      </c>
      <c r="J1541" s="3" t="s">
        <v>11</v>
      </c>
    </row>
    <row r="1542" spans="1:10" x14ac:dyDescent="0.35">
      <c r="A1542" s="3">
        <v>103404678</v>
      </c>
      <c r="B1542" s="3" t="s">
        <v>3708</v>
      </c>
      <c r="C1542" s="3" t="str">
        <f t="shared" si="27"/>
        <v>2022-07-05</v>
      </c>
      <c r="D1542" s="3" t="s">
        <v>9</v>
      </c>
      <c r="E1542" s="3" t="s">
        <v>5</v>
      </c>
      <c r="F1542" s="3" t="s">
        <v>10</v>
      </c>
      <c r="G1542" s="3" t="s">
        <v>3709</v>
      </c>
      <c r="H1542" s="3" t="s">
        <v>3710</v>
      </c>
      <c r="I1542" s="5">
        <v>3668</v>
      </c>
      <c r="J1542" s="3" t="s">
        <v>11</v>
      </c>
    </row>
    <row r="1543" spans="1:10" x14ac:dyDescent="0.35">
      <c r="A1543" s="3">
        <v>103404676</v>
      </c>
      <c r="B1543" s="3" t="s">
        <v>3711</v>
      </c>
      <c r="C1543" s="3" t="str">
        <f t="shared" si="27"/>
        <v>2022-07-05</v>
      </c>
      <c r="D1543" s="3" t="s">
        <v>9</v>
      </c>
      <c r="E1543" s="3" t="s">
        <v>5</v>
      </c>
      <c r="F1543" s="3" t="s">
        <v>10</v>
      </c>
      <c r="G1543" s="3" t="s">
        <v>3712</v>
      </c>
      <c r="H1543" s="3" t="s">
        <v>3713</v>
      </c>
      <c r="I1543" s="3">
        <v>439</v>
      </c>
      <c r="J1543" s="3" t="s">
        <v>11</v>
      </c>
    </row>
    <row r="1544" spans="1:10" x14ac:dyDescent="0.35">
      <c r="A1544" s="3">
        <v>103404674</v>
      </c>
      <c r="B1544" s="3" t="s">
        <v>3714</v>
      </c>
      <c r="C1544" s="3" t="str">
        <f t="shared" si="27"/>
        <v>2022-07-05</v>
      </c>
      <c r="D1544" s="3" t="s">
        <v>9</v>
      </c>
      <c r="E1544" s="3" t="s">
        <v>5</v>
      </c>
      <c r="F1544" s="3" t="s">
        <v>10</v>
      </c>
      <c r="G1544" s="3" t="s">
        <v>3715</v>
      </c>
      <c r="H1544" s="3" t="s">
        <v>3716</v>
      </c>
      <c r="I1544" s="4">
        <v>6553.1</v>
      </c>
      <c r="J1544" s="3" t="s">
        <v>11</v>
      </c>
    </row>
    <row r="1545" spans="1:10" x14ac:dyDescent="0.35">
      <c r="A1545" s="3">
        <v>103404633</v>
      </c>
      <c r="B1545" s="3" t="s">
        <v>3717</v>
      </c>
      <c r="C1545" s="3" t="str">
        <f t="shared" si="27"/>
        <v>2022-07-05</v>
      </c>
      <c r="D1545" s="3" t="s">
        <v>9</v>
      </c>
      <c r="E1545" s="3" t="s">
        <v>5</v>
      </c>
      <c r="F1545" s="3" t="s">
        <v>10</v>
      </c>
      <c r="G1545" s="3" t="s">
        <v>3718</v>
      </c>
      <c r="H1545" s="3" t="s">
        <v>3719</v>
      </c>
      <c r="I1545" s="4">
        <v>3365.25</v>
      </c>
      <c r="J1545" s="3" t="s">
        <v>11</v>
      </c>
    </row>
    <row r="1546" spans="1:10" x14ac:dyDescent="0.35">
      <c r="A1546" s="3">
        <v>103404670</v>
      </c>
      <c r="B1546" s="3" t="s">
        <v>3720</v>
      </c>
      <c r="C1546" s="3" t="str">
        <f t="shared" si="27"/>
        <v>2022-07-05</v>
      </c>
      <c r="D1546" s="3" t="s">
        <v>9</v>
      </c>
      <c r="E1546" s="3" t="s">
        <v>5</v>
      </c>
      <c r="F1546" s="3" t="s">
        <v>10</v>
      </c>
      <c r="G1546" s="3" t="s">
        <v>3721</v>
      </c>
      <c r="H1546" s="3" t="s">
        <v>3722</v>
      </c>
      <c r="I1546" s="3">
        <v>440.1</v>
      </c>
      <c r="J1546" s="3" t="s">
        <v>11</v>
      </c>
    </row>
    <row r="1547" spans="1:10" x14ac:dyDescent="0.35">
      <c r="A1547" s="3">
        <v>103404669</v>
      </c>
      <c r="B1547" s="3" t="s">
        <v>3723</v>
      </c>
      <c r="C1547" s="3" t="str">
        <f t="shared" si="27"/>
        <v>2022-07-05</v>
      </c>
      <c r="D1547" s="3" t="s">
        <v>9</v>
      </c>
      <c r="E1547" s="3" t="s">
        <v>5</v>
      </c>
      <c r="F1547" s="3" t="s">
        <v>10</v>
      </c>
      <c r="G1547" s="3" t="s">
        <v>3724</v>
      </c>
      <c r="H1547" s="3" t="s">
        <v>3725</v>
      </c>
      <c r="I1547" s="4">
        <v>1082.0999999999999</v>
      </c>
      <c r="J1547" s="3" t="s">
        <v>11</v>
      </c>
    </row>
    <row r="1548" spans="1:10" x14ac:dyDescent="0.35">
      <c r="A1548" s="3">
        <v>103404668</v>
      </c>
      <c r="B1548" s="3" t="s">
        <v>3726</v>
      </c>
      <c r="C1548" s="3" t="str">
        <f t="shared" si="27"/>
        <v>2022-07-05</v>
      </c>
      <c r="D1548" s="3" t="s">
        <v>9</v>
      </c>
      <c r="E1548" s="3" t="s">
        <v>5</v>
      </c>
      <c r="F1548" s="3" t="s">
        <v>10</v>
      </c>
      <c r="G1548" s="3" t="s">
        <v>3727</v>
      </c>
      <c r="H1548" s="3" t="s">
        <v>3728</v>
      </c>
      <c r="I1548" s="4">
        <v>5031.2</v>
      </c>
      <c r="J1548" s="3" t="s">
        <v>11</v>
      </c>
    </row>
    <row r="1549" spans="1:10" x14ac:dyDescent="0.35">
      <c r="A1549" s="3">
        <v>103404632</v>
      </c>
      <c r="B1549" s="3" t="s">
        <v>3729</v>
      </c>
      <c r="C1549" s="3" t="str">
        <f t="shared" si="27"/>
        <v>2022-07-05</v>
      </c>
      <c r="D1549" s="3" t="s">
        <v>9</v>
      </c>
      <c r="E1549" s="3" t="s">
        <v>5</v>
      </c>
      <c r="F1549" s="3" t="s">
        <v>12</v>
      </c>
      <c r="G1549" s="3" t="s">
        <v>3730</v>
      </c>
      <c r="H1549" s="3" t="s">
        <v>3731</v>
      </c>
      <c r="I1549" s="5">
        <v>2698</v>
      </c>
      <c r="J1549" s="3" t="s">
        <v>11</v>
      </c>
    </row>
    <row r="1550" spans="1:10" x14ac:dyDescent="0.35">
      <c r="A1550" s="3">
        <v>103404564</v>
      </c>
      <c r="B1550" s="3" t="s">
        <v>3732</v>
      </c>
      <c r="C1550" s="3" t="str">
        <f t="shared" si="27"/>
        <v>2022-07-05</v>
      </c>
      <c r="D1550" s="3" t="s">
        <v>9</v>
      </c>
      <c r="E1550" s="3" t="s">
        <v>5</v>
      </c>
      <c r="F1550" s="3" t="s">
        <v>10</v>
      </c>
      <c r="G1550" s="3" t="s">
        <v>3721</v>
      </c>
      <c r="H1550" s="3" t="s">
        <v>3722</v>
      </c>
      <c r="I1550" s="3">
        <v>440.1</v>
      </c>
      <c r="J1550" s="3" t="s">
        <v>11</v>
      </c>
    </row>
    <row r="1551" spans="1:10" x14ac:dyDescent="0.35">
      <c r="A1551" s="3">
        <v>103404630</v>
      </c>
      <c r="B1551" s="3" t="s">
        <v>3733</v>
      </c>
      <c r="C1551" s="3" t="str">
        <f t="shared" si="27"/>
        <v>2022-07-05</v>
      </c>
      <c r="D1551" s="3" t="s">
        <v>9</v>
      </c>
      <c r="E1551" s="3" t="s">
        <v>5</v>
      </c>
      <c r="F1551" s="3" t="s">
        <v>10</v>
      </c>
      <c r="G1551" s="3" t="s">
        <v>3734</v>
      </c>
      <c r="H1551" s="3" t="s">
        <v>3735</v>
      </c>
      <c r="I1551" s="5">
        <v>2988</v>
      </c>
      <c r="J1551" s="3" t="s">
        <v>11</v>
      </c>
    </row>
    <row r="1552" spans="1:10" x14ac:dyDescent="0.35">
      <c r="A1552" s="3">
        <v>103404625</v>
      </c>
      <c r="B1552" s="3" t="s">
        <v>3736</v>
      </c>
      <c r="C1552" s="3" t="str">
        <f t="shared" si="27"/>
        <v>2022-07-05</v>
      </c>
      <c r="D1552" s="3" t="s">
        <v>9</v>
      </c>
      <c r="E1552" s="3" t="s">
        <v>5</v>
      </c>
      <c r="F1552" s="3" t="s">
        <v>10</v>
      </c>
      <c r="G1552" s="3" t="s">
        <v>3737</v>
      </c>
      <c r="H1552" s="3" t="s">
        <v>3738</v>
      </c>
      <c r="I1552" s="4">
        <v>1775.55</v>
      </c>
      <c r="J1552" s="3" t="s">
        <v>11</v>
      </c>
    </row>
    <row r="1553" spans="1:10" x14ac:dyDescent="0.35">
      <c r="A1553" s="3">
        <v>103404623</v>
      </c>
      <c r="B1553" s="3" t="s">
        <v>3739</v>
      </c>
      <c r="C1553" s="3" t="str">
        <f t="shared" si="27"/>
        <v>2022-07-05</v>
      </c>
      <c r="D1553" s="3" t="s">
        <v>9</v>
      </c>
      <c r="E1553" s="3" t="s">
        <v>5</v>
      </c>
      <c r="F1553" s="3" t="s">
        <v>10</v>
      </c>
      <c r="G1553" s="3" t="s">
        <v>3740</v>
      </c>
      <c r="H1553" s="3" t="s">
        <v>3741</v>
      </c>
      <c r="I1553" s="4">
        <v>1234.05</v>
      </c>
      <c r="J1553" s="3" t="s">
        <v>11</v>
      </c>
    </row>
    <row r="1554" spans="1:10" x14ac:dyDescent="0.35">
      <c r="A1554" s="3">
        <v>103404552</v>
      </c>
      <c r="B1554" s="3" t="s">
        <v>4805</v>
      </c>
      <c r="C1554" s="3" t="str">
        <f t="shared" si="27"/>
        <v>2022-07-05</v>
      </c>
      <c r="D1554" s="3" t="s">
        <v>9</v>
      </c>
      <c r="E1554" s="3" t="s">
        <v>5</v>
      </c>
      <c r="F1554" s="3" t="s">
        <v>10</v>
      </c>
      <c r="G1554" s="3" t="s">
        <v>4806</v>
      </c>
      <c r="H1554" s="3" t="s">
        <v>4807</v>
      </c>
      <c r="I1554" s="3">
        <v>865.5</v>
      </c>
      <c r="J1554" s="3" t="s">
        <v>13</v>
      </c>
    </row>
    <row r="1555" spans="1:10" x14ac:dyDescent="0.35">
      <c r="A1555" s="3">
        <v>103404618</v>
      </c>
      <c r="B1555" s="3" t="s">
        <v>3742</v>
      </c>
      <c r="C1555" s="3" t="str">
        <f t="shared" si="27"/>
        <v>2022-07-05</v>
      </c>
      <c r="D1555" s="3" t="s">
        <v>9</v>
      </c>
      <c r="E1555" s="3" t="s">
        <v>5</v>
      </c>
      <c r="F1555" s="3" t="s">
        <v>10</v>
      </c>
      <c r="G1555" s="3" t="s">
        <v>3743</v>
      </c>
      <c r="H1555" s="3" t="s">
        <v>3744</v>
      </c>
      <c r="I1555" s="4">
        <v>5642.14</v>
      </c>
      <c r="J1555" s="3" t="s">
        <v>11</v>
      </c>
    </row>
    <row r="1556" spans="1:10" x14ac:dyDescent="0.35">
      <c r="A1556" s="3">
        <v>103404547</v>
      </c>
      <c r="B1556" s="3" t="s">
        <v>3745</v>
      </c>
      <c r="C1556" s="3" t="str">
        <f t="shared" si="27"/>
        <v>2022-07-05</v>
      </c>
      <c r="D1556" s="3" t="s">
        <v>9</v>
      </c>
      <c r="E1556" s="3" t="s">
        <v>5</v>
      </c>
      <c r="F1556" s="3" t="s">
        <v>10</v>
      </c>
      <c r="G1556" s="3" t="s">
        <v>3746</v>
      </c>
      <c r="H1556" s="3" t="s">
        <v>3747</v>
      </c>
      <c r="I1556" s="4">
        <v>2932.22</v>
      </c>
      <c r="J1556" s="3" t="s">
        <v>11</v>
      </c>
    </row>
    <row r="1557" spans="1:10" x14ac:dyDescent="0.35">
      <c r="A1557" s="3">
        <v>103404545</v>
      </c>
      <c r="B1557" s="3" t="s">
        <v>3748</v>
      </c>
      <c r="C1557" s="3" t="str">
        <f t="shared" si="27"/>
        <v>2022-07-05</v>
      </c>
      <c r="D1557" s="3" t="s">
        <v>9</v>
      </c>
      <c r="E1557" s="3" t="s">
        <v>5</v>
      </c>
      <c r="F1557" s="3" t="s">
        <v>10</v>
      </c>
      <c r="G1557" s="3" t="s">
        <v>3749</v>
      </c>
      <c r="H1557" s="3" t="s">
        <v>3750</v>
      </c>
      <c r="I1557" s="4">
        <v>2777.89</v>
      </c>
      <c r="J1557" s="3" t="s">
        <v>11</v>
      </c>
    </row>
    <row r="1558" spans="1:10" x14ac:dyDescent="0.35">
      <c r="A1558" s="3">
        <v>103404615</v>
      </c>
      <c r="B1558" s="3" t="s">
        <v>3751</v>
      </c>
      <c r="C1558" s="3" t="str">
        <f t="shared" si="27"/>
        <v>2022-07-05</v>
      </c>
      <c r="D1558" s="3" t="s">
        <v>9</v>
      </c>
      <c r="E1558" s="3" t="s">
        <v>5</v>
      </c>
      <c r="F1558" s="3" t="s">
        <v>12</v>
      </c>
      <c r="G1558" s="3" t="s">
        <v>3752</v>
      </c>
      <c r="H1558" s="3" t="s">
        <v>3753</v>
      </c>
      <c r="I1558" s="5">
        <v>2269</v>
      </c>
      <c r="J1558" s="3" t="s">
        <v>11</v>
      </c>
    </row>
    <row r="1559" spans="1:10" x14ac:dyDescent="0.35">
      <c r="A1559" s="3">
        <v>103404540</v>
      </c>
      <c r="B1559" s="3" t="s">
        <v>3754</v>
      </c>
      <c r="C1559" s="3" t="str">
        <f t="shared" si="27"/>
        <v>2022-07-05</v>
      </c>
      <c r="D1559" s="3" t="s">
        <v>9</v>
      </c>
      <c r="E1559" s="3" t="s">
        <v>5</v>
      </c>
      <c r="F1559" s="3" t="s">
        <v>10</v>
      </c>
      <c r="G1559" s="3" t="s">
        <v>3755</v>
      </c>
      <c r="H1559" s="3" t="s">
        <v>3756</v>
      </c>
      <c r="I1559" s="3">
        <v>888</v>
      </c>
      <c r="J1559" s="3" t="s">
        <v>11</v>
      </c>
    </row>
    <row r="1560" spans="1:10" x14ac:dyDescent="0.35">
      <c r="A1560" s="3">
        <v>103404613</v>
      </c>
      <c r="B1560" s="3" t="s">
        <v>3757</v>
      </c>
      <c r="C1560" s="3" t="str">
        <f t="shared" si="27"/>
        <v>2022-07-05</v>
      </c>
      <c r="D1560" s="3" t="s">
        <v>9</v>
      </c>
      <c r="E1560" s="3" t="s">
        <v>5</v>
      </c>
      <c r="F1560" s="3" t="s">
        <v>10</v>
      </c>
      <c r="G1560" s="3" t="s">
        <v>3758</v>
      </c>
      <c r="H1560" s="3" t="s">
        <v>3759</v>
      </c>
      <c r="I1560" s="4">
        <v>1329.05</v>
      </c>
      <c r="J1560" s="3" t="s">
        <v>11</v>
      </c>
    </row>
    <row r="1561" spans="1:10" x14ac:dyDescent="0.35">
      <c r="A1561" s="3">
        <v>103404611</v>
      </c>
      <c r="B1561" s="3" t="s">
        <v>3760</v>
      </c>
      <c r="C1561" s="3" t="str">
        <f t="shared" si="27"/>
        <v>2022-07-05</v>
      </c>
      <c r="D1561" s="3" t="s">
        <v>9</v>
      </c>
      <c r="E1561" s="3" t="s">
        <v>5</v>
      </c>
      <c r="F1561" s="3" t="s">
        <v>10</v>
      </c>
      <c r="G1561" s="3" t="s">
        <v>3761</v>
      </c>
      <c r="H1561" s="3" t="s">
        <v>3762</v>
      </c>
      <c r="I1561" s="4">
        <v>1110.55</v>
      </c>
      <c r="J1561" s="3" t="s">
        <v>11</v>
      </c>
    </row>
    <row r="1562" spans="1:10" x14ac:dyDescent="0.35">
      <c r="A1562" s="3">
        <v>103404535</v>
      </c>
      <c r="B1562" s="3" t="s">
        <v>3763</v>
      </c>
      <c r="C1562" s="3" t="str">
        <f t="shared" si="27"/>
        <v>2022-07-05</v>
      </c>
      <c r="D1562" s="3" t="s">
        <v>9</v>
      </c>
      <c r="E1562" s="3" t="s">
        <v>5</v>
      </c>
      <c r="F1562" s="3" t="s">
        <v>10</v>
      </c>
      <c r="G1562" s="3" t="s">
        <v>3764</v>
      </c>
      <c r="H1562" s="3" t="s">
        <v>3765</v>
      </c>
      <c r="I1562" s="3">
        <v>489</v>
      </c>
      <c r="J1562" s="3" t="s">
        <v>11</v>
      </c>
    </row>
    <row r="1563" spans="1:10" x14ac:dyDescent="0.35">
      <c r="A1563" s="3">
        <v>103404609</v>
      </c>
      <c r="B1563" s="3" t="s">
        <v>3766</v>
      </c>
      <c r="C1563" s="3" t="str">
        <f t="shared" si="27"/>
        <v>2022-07-05</v>
      </c>
      <c r="D1563" s="3" t="s">
        <v>9</v>
      </c>
      <c r="E1563" s="3" t="s">
        <v>5</v>
      </c>
      <c r="F1563" s="3" t="s">
        <v>10</v>
      </c>
      <c r="G1563" s="3" t="s">
        <v>3767</v>
      </c>
      <c r="H1563" s="3" t="s">
        <v>3768</v>
      </c>
      <c r="I1563" s="3">
        <v>719</v>
      </c>
      <c r="J1563" s="3" t="s">
        <v>11</v>
      </c>
    </row>
    <row r="1564" spans="1:10" x14ac:dyDescent="0.35">
      <c r="A1564" s="3">
        <v>103404605</v>
      </c>
      <c r="B1564" s="3" t="s">
        <v>3769</v>
      </c>
      <c r="C1564" s="3" t="str">
        <f t="shared" si="27"/>
        <v>2022-07-05</v>
      </c>
      <c r="D1564" s="3" t="s">
        <v>9</v>
      </c>
      <c r="E1564" s="3" t="s">
        <v>5</v>
      </c>
      <c r="F1564" s="3" t="s">
        <v>10</v>
      </c>
      <c r="G1564" s="3" t="s">
        <v>3770</v>
      </c>
      <c r="H1564" s="3" t="s">
        <v>3771</v>
      </c>
      <c r="I1564" s="5">
        <v>4899</v>
      </c>
      <c r="J1564" s="3" t="s">
        <v>11</v>
      </c>
    </row>
    <row r="1565" spans="1:10" x14ac:dyDescent="0.35">
      <c r="A1565" s="3">
        <v>103404530</v>
      </c>
      <c r="B1565" s="3" t="s">
        <v>3772</v>
      </c>
      <c r="C1565" s="3" t="str">
        <f t="shared" si="27"/>
        <v>2022-07-05</v>
      </c>
      <c r="D1565" s="3" t="s">
        <v>9</v>
      </c>
      <c r="E1565" s="3" t="s">
        <v>5</v>
      </c>
      <c r="F1565" s="3" t="s">
        <v>10</v>
      </c>
      <c r="G1565" s="3" t="s">
        <v>3773</v>
      </c>
      <c r="H1565" s="3" t="s">
        <v>3774</v>
      </c>
      <c r="I1565" s="4">
        <v>2040.6</v>
      </c>
      <c r="J1565" s="3" t="s">
        <v>11</v>
      </c>
    </row>
    <row r="1566" spans="1:10" x14ac:dyDescent="0.35">
      <c r="A1566" s="3">
        <v>103404527</v>
      </c>
      <c r="B1566" s="3" t="s">
        <v>3775</v>
      </c>
      <c r="C1566" s="3" t="str">
        <f t="shared" si="27"/>
        <v>2022-07-05</v>
      </c>
      <c r="D1566" s="3" t="s">
        <v>9</v>
      </c>
      <c r="E1566" s="3" t="s">
        <v>5</v>
      </c>
      <c r="F1566" s="3" t="s">
        <v>12</v>
      </c>
      <c r="G1566" s="3" t="s">
        <v>3776</v>
      </c>
      <c r="H1566" s="3" t="s">
        <v>3777</v>
      </c>
      <c r="I1566" s="4">
        <v>1424.05</v>
      </c>
      <c r="J1566" s="3" t="s">
        <v>11</v>
      </c>
    </row>
    <row r="1567" spans="1:10" x14ac:dyDescent="0.35">
      <c r="A1567" s="3">
        <v>103404600</v>
      </c>
      <c r="B1567" s="3" t="s">
        <v>3778</v>
      </c>
      <c r="C1567" s="3" t="str">
        <f t="shared" si="27"/>
        <v>2022-07-05</v>
      </c>
      <c r="D1567" s="3" t="s">
        <v>9</v>
      </c>
      <c r="E1567" s="3" t="s">
        <v>5</v>
      </c>
      <c r="F1567" s="3" t="s">
        <v>10</v>
      </c>
      <c r="G1567" s="3" t="s">
        <v>3779</v>
      </c>
      <c r="H1567" s="3" t="s">
        <v>3780</v>
      </c>
      <c r="I1567" s="4">
        <v>1551.4</v>
      </c>
      <c r="J1567" s="3" t="s">
        <v>11</v>
      </c>
    </row>
    <row r="1568" spans="1:10" x14ac:dyDescent="0.35">
      <c r="A1568" s="3">
        <v>103404523</v>
      </c>
      <c r="B1568" s="3" t="s">
        <v>3781</v>
      </c>
      <c r="C1568" s="3" t="str">
        <f t="shared" si="27"/>
        <v>2022-07-05</v>
      </c>
      <c r="D1568" s="3" t="s">
        <v>9</v>
      </c>
      <c r="E1568" s="3" t="s">
        <v>5</v>
      </c>
      <c r="F1568" s="3" t="s">
        <v>10</v>
      </c>
      <c r="G1568" s="3" t="s">
        <v>3782</v>
      </c>
      <c r="H1568" s="3" t="s">
        <v>3783</v>
      </c>
      <c r="I1568" s="3">
        <v>999</v>
      </c>
      <c r="J1568" s="3" t="s">
        <v>11</v>
      </c>
    </row>
    <row r="1569" spans="1:10" x14ac:dyDescent="0.35">
      <c r="A1569" s="3">
        <v>103404596</v>
      </c>
      <c r="B1569" s="3" t="s">
        <v>3784</v>
      </c>
      <c r="C1569" s="3" t="str">
        <f t="shared" si="27"/>
        <v>2022-07-05</v>
      </c>
      <c r="D1569" s="3" t="s">
        <v>9</v>
      </c>
      <c r="E1569" s="3" t="s">
        <v>5</v>
      </c>
      <c r="F1569" s="3" t="s">
        <v>10</v>
      </c>
      <c r="G1569" s="3" t="s">
        <v>1309</v>
      </c>
      <c r="H1569" s="3" t="s">
        <v>3785</v>
      </c>
      <c r="I1569" s="5">
        <v>1619</v>
      </c>
      <c r="J1569" s="3" t="s">
        <v>11</v>
      </c>
    </row>
    <row r="1570" spans="1:10" x14ac:dyDescent="0.35">
      <c r="A1570" s="3">
        <v>103404521</v>
      </c>
      <c r="B1570" s="3" t="s">
        <v>3786</v>
      </c>
      <c r="C1570" s="3" t="str">
        <f t="shared" si="27"/>
        <v>2022-07-05</v>
      </c>
      <c r="D1570" s="3" t="s">
        <v>9</v>
      </c>
      <c r="E1570" s="3" t="s">
        <v>5</v>
      </c>
      <c r="F1570" s="3" t="s">
        <v>10</v>
      </c>
      <c r="G1570" s="3" t="s">
        <v>3787</v>
      </c>
      <c r="H1570" s="3" t="s">
        <v>3788</v>
      </c>
      <c r="I1570" s="4">
        <v>5270.6</v>
      </c>
      <c r="J1570" s="3" t="s">
        <v>11</v>
      </c>
    </row>
    <row r="1571" spans="1:10" x14ac:dyDescent="0.35">
      <c r="A1571" s="3">
        <v>103404519</v>
      </c>
      <c r="B1571" s="3" t="s">
        <v>3789</v>
      </c>
      <c r="C1571" s="3" t="str">
        <f t="shared" si="27"/>
        <v>2022-07-05</v>
      </c>
      <c r="D1571" s="3" t="s">
        <v>9</v>
      </c>
      <c r="E1571" s="3" t="s">
        <v>5</v>
      </c>
      <c r="F1571" s="3" t="s">
        <v>10</v>
      </c>
      <c r="G1571" s="3" t="s">
        <v>3790</v>
      </c>
      <c r="H1571" s="3" t="s">
        <v>3791</v>
      </c>
      <c r="I1571" s="3">
        <v>255.55</v>
      </c>
      <c r="J1571" s="3" t="s">
        <v>11</v>
      </c>
    </row>
    <row r="1572" spans="1:10" x14ac:dyDescent="0.35">
      <c r="A1572" s="3">
        <v>103404518</v>
      </c>
      <c r="B1572" s="3" t="s">
        <v>3792</v>
      </c>
      <c r="C1572" s="3" t="str">
        <f t="shared" si="27"/>
        <v>2022-07-05</v>
      </c>
      <c r="D1572" s="3" t="s">
        <v>9</v>
      </c>
      <c r="E1572" s="3" t="s">
        <v>5</v>
      </c>
      <c r="F1572" s="3" t="s">
        <v>10</v>
      </c>
      <c r="G1572" s="3" t="s">
        <v>3793</v>
      </c>
      <c r="H1572" s="3" t="s">
        <v>3794</v>
      </c>
      <c r="I1572" s="3">
        <v>920.55</v>
      </c>
      <c r="J1572" s="3" t="s">
        <v>11</v>
      </c>
    </row>
    <row r="1573" spans="1:10" x14ac:dyDescent="0.35">
      <c r="A1573" s="3">
        <v>103404591</v>
      </c>
      <c r="B1573" s="3" t="s">
        <v>3795</v>
      </c>
      <c r="C1573" s="3" t="str">
        <f t="shared" si="27"/>
        <v>2022-07-05</v>
      </c>
      <c r="D1573" s="3" t="s">
        <v>9</v>
      </c>
      <c r="E1573" s="3" t="s">
        <v>5</v>
      </c>
      <c r="F1573" s="3" t="s">
        <v>10</v>
      </c>
      <c r="G1573" s="3" t="s">
        <v>3796</v>
      </c>
      <c r="H1573" s="3" t="s">
        <v>3797</v>
      </c>
      <c r="I1573" s="4">
        <v>2480.9699999999998</v>
      </c>
      <c r="J1573" s="3" t="s">
        <v>11</v>
      </c>
    </row>
    <row r="1574" spans="1:10" x14ac:dyDescent="0.35">
      <c r="A1574" s="3">
        <v>103404588</v>
      </c>
      <c r="B1574" s="3" t="s">
        <v>3798</v>
      </c>
      <c r="C1574" s="3" t="str">
        <f t="shared" si="27"/>
        <v>2022-07-05</v>
      </c>
      <c r="D1574" s="3" t="s">
        <v>9</v>
      </c>
      <c r="E1574" s="3" t="s">
        <v>5</v>
      </c>
      <c r="F1574" s="3" t="s">
        <v>10</v>
      </c>
      <c r="G1574" s="3" t="s">
        <v>3799</v>
      </c>
      <c r="H1574" s="3" t="s">
        <v>3800</v>
      </c>
      <c r="I1574" s="3">
        <v>675.97</v>
      </c>
      <c r="J1574" s="3" t="s">
        <v>11</v>
      </c>
    </row>
    <row r="1575" spans="1:10" x14ac:dyDescent="0.35">
      <c r="A1575" s="3">
        <v>103404509</v>
      </c>
      <c r="B1575" s="3" t="s">
        <v>3801</v>
      </c>
      <c r="C1575" s="3" t="str">
        <f t="shared" si="27"/>
        <v>2022-07-05</v>
      </c>
      <c r="D1575" s="3" t="s">
        <v>9</v>
      </c>
      <c r="E1575" s="3" t="s">
        <v>5</v>
      </c>
      <c r="F1575" s="3" t="s">
        <v>10</v>
      </c>
      <c r="G1575" s="3" t="s">
        <v>3802</v>
      </c>
      <c r="H1575" s="3" t="s">
        <v>3803</v>
      </c>
      <c r="I1575" s="5">
        <v>1949</v>
      </c>
      <c r="J1575" s="3" t="s">
        <v>11</v>
      </c>
    </row>
    <row r="1576" spans="1:10" x14ac:dyDescent="0.35">
      <c r="A1576" s="3">
        <v>103404587</v>
      </c>
      <c r="B1576" s="3" t="s">
        <v>3804</v>
      </c>
      <c r="C1576" s="3" t="str">
        <f t="shared" si="27"/>
        <v>2022-07-05</v>
      </c>
      <c r="D1576" s="3" t="s">
        <v>9</v>
      </c>
      <c r="E1576" s="3" t="s">
        <v>5</v>
      </c>
      <c r="F1576" s="3" t="s">
        <v>12</v>
      </c>
      <c r="G1576" s="3" t="s">
        <v>3805</v>
      </c>
      <c r="H1576" s="3" t="s">
        <v>3806</v>
      </c>
      <c r="I1576" s="5">
        <v>2699</v>
      </c>
      <c r="J1576" s="3" t="s">
        <v>11</v>
      </c>
    </row>
    <row r="1577" spans="1:10" x14ac:dyDescent="0.35">
      <c r="A1577" s="3">
        <v>103404586</v>
      </c>
      <c r="B1577" s="3" t="s">
        <v>3807</v>
      </c>
      <c r="C1577" s="3" t="str">
        <f t="shared" si="27"/>
        <v>2022-07-05</v>
      </c>
      <c r="D1577" s="3" t="s">
        <v>9</v>
      </c>
      <c r="E1577" s="3" t="s">
        <v>5</v>
      </c>
      <c r="F1577" s="3" t="s">
        <v>10</v>
      </c>
      <c r="G1577" s="3" t="s">
        <v>3808</v>
      </c>
      <c r="H1577" s="3" t="s">
        <v>3809</v>
      </c>
      <c r="I1577" s="4">
        <v>3590.14</v>
      </c>
      <c r="J1577" s="3" t="s">
        <v>11</v>
      </c>
    </row>
    <row r="1578" spans="1:10" x14ac:dyDescent="0.35">
      <c r="A1578" s="3">
        <v>103404585</v>
      </c>
      <c r="B1578" s="3" t="s">
        <v>3810</v>
      </c>
      <c r="C1578" s="3" t="str">
        <f t="shared" si="27"/>
        <v>2022-07-05</v>
      </c>
      <c r="D1578" s="3" t="s">
        <v>9</v>
      </c>
      <c r="E1578" s="3" t="s">
        <v>5</v>
      </c>
      <c r="F1578" s="3" t="s">
        <v>12</v>
      </c>
      <c r="G1578" s="3" t="s">
        <v>3811</v>
      </c>
      <c r="H1578" s="3" t="s">
        <v>3812</v>
      </c>
      <c r="I1578" s="5">
        <v>4549</v>
      </c>
      <c r="J1578" s="3" t="s">
        <v>11</v>
      </c>
    </row>
    <row r="1579" spans="1:10" x14ac:dyDescent="0.35">
      <c r="A1579" s="3">
        <v>103404583</v>
      </c>
      <c r="B1579" s="3" t="s">
        <v>3813</v>
      </c>
      <c r="C1579" s="3" t="str">
        <f t="shared" si="27"/>
        <v>2022-07-05</v>
      </c>
      <c r="D1579" s="3" t="s">
        <v>9</v>
      </c>
      <c r="E1579" s="3" t="s">
        <v>5</v>
      </c>
      <c r="F1579" s="3" t="s">
        <v>10</v>
      </c>
      <c r="G1579" s="3" t="s">
        <v>3814</v>
      </c>
      <c r="H1579" s="3" t="s">
        <v>3815</v>
      </c>
      <c r="I1579" s="5">
        <v>1489</v>
      </c>
      <c r="J1579" s="3" t="s">
        <v>11</v>
      </c>
    </row>
    <row r="1580" spans="1:10" x14ac:dyDescent="0.35">
      <c r="A1580" s="3">
        <v>103404582</v>
      </c>
      <c r="B1580" s="3" t="s">
        <v>3816</v>
      </c>
      <c r="C1580" s="3" t="str">
        <f t="shared" si="27"/>
        <v>2022-07-05</v>
      </c>
      <c r="D1580" s="3" t="s">
        <v>9</v>
      </c>
      <c r="E1580" s="3" t="s">
        <v>5</v>
      </c>
      <c r="F1580" s="3" t="s">
        <v>12</v>
      </c>
      <c r="G1580" s="3" t="s">
        <v>3817</v>
      </c>
      <c r="H1580" s="3" t="s">
        <v>3818</v>
      </c>
      <c r="I1580" s="5">
        <v>5648</v>
      </c>
      <c r="J1580" s="3" t="s">
        <v>11</v>
      </c>
    </row>
    <row r="1581" spans="1:10" x14ac:dyDescent="0.35">
      <c r="A1581" s="3">
        <v>103404499</v>
      </c>
      <c r="B1581" s="3" t="s">
        <v>3819</v>
      </c>
      <c r="C1581" s="3" t="str">
        <f t="shared" si="27"/>
        <v>2022-07-05</v>
      </c>
      <c r="D1581" s="3" t="s">
        <v>9</v>
      </c>
      <c r="E1581" s="3" t="s">
        <v>5</v>
      </c>
      <c r="F1581" s="3" t="s">
        <v>10</v>
      </c>
      <c r="G1581" s="3" t="s">
        <v>3820</v>
      </c>
      <c r="H1581" s="3" t="s">
        <v>3821</v>
      </c>
      <c r="I1581" s="4">
        <v>5556.55</v>
      </c>
      <c r="J1581" s="3" t="s">
        <v>11</v>
      </c>
    </row>
    <row r="1582" spans="1:10" x14ac:dyDescent="0.35">
      <c r="A1582" s="3">
        <v>103404578</v>
      </c>
      <c r="B1582" s="3" t="s">
        <v>3822</v>
      </c>
      <c r="C1582" s="3" t="str">
        <f t="shared" si="27"/>
        <v>2022-07-05</v>
      </c>
      <c r="D1582" s="3" t="s">
        <v>9</v>
      </c>
      <c r="E1582" s="3" t="s">
        <v>5</v>
      </c>
      <c r="F1582" s="3" t="s">
        <v>10</v>
      </c>
      <c r="G1582" s="3" t="s">
        <v>3823</v>
      </c>
      <c r="H1582" s="3" t="s">
        <v>3824</v>
      </c>
      <c r="I1582" s="3">
        <v>999</v>
      </c>
      <c r="J1582" s="3" t="s">
        <v>11</v>
      </c>
    </row>
    <row r="1583" spans="1:10" x14ac:dyDescent="0.35">
      <c r="A1583" s="3">
        <v>103404496</v>
      </c>
      <c r="B1583" s="3" t="s">
        <v>3825</v>
      </c>
      <c r="C1583" s="3" t="str">
        <f t="shared" si="27"/>
        <v>2022-07-05</v>
      </c>
      <c r="D1583" s="3" t="s">
        <v>9</v>
      </c>
      <c r="E1583" s="3" t="s">
        <v>5</v>
      </c>
      <c r="F1583" s="3" t="s">
        <v>10</v>
      </c>
      <c r="G1583" s="3" t="s">
        <v>3826</v>
      </c>
      <c r="H1583" s="3" t="s">
        <v>3827</v>
      </c>
      <c r="I1583" s="5">
        <v>3299</v>
      </c>
      <c r="J1583" s="3" t="s">
        <v>11</v>
      </c>
    </row>
    <row r="1584" spans="1:10" x14ac:dyDescent="0.35">
      <c r="A1584" s="3">
        <v>103404576</v>
      </c>
      <c r="B1584" s="3" t="s">
        <v>3828</v>
      </c>
      <c r="C1584" s="3" t="str">
        <f t="shared" si="27"/>
        <v>2022-07-05</v>
      </c>
      <c r="D1584" s="3" t="s">
        <v>9</v>
      </c>
      <c r="E1584" s="3" t="s">
        <v>5</v>
      </c>
      <c r="F1584" s="3" t="s">
        <v>12</v>
      </c>
      <c r="G1584" s="3" t="s">
        <v>3829</v>
      </c>
      <c r="H1584" s="3" t="s">
        <v>1775</v>
      </c>
      <c r="I1584" s="5">
        <v>1169</v>
      </c>
      <c r="J1584" s="3" t="s">
        <v>11</v>
      </c>
    </row>
    <row r="1585" spans="1:10" x14ac:dyDescent="0.35">
      <c r="A1585" s="3">
        <v>103404487</v>
      </c>
      <c r="B1585" s="3" t="s">
        <v>3830</v>
      </c>
      <c r="C1585" s="3" t="str">
        <f t="shared" si="27"/>
        <v>2022-07-05</v>
      </c>
      <c r="D1585" s="3" t="s">
        <v>9</v>
      </c>
      <c r="E1585" s="3" t="s">
        <v>5</v>
      </c>
      <c r="F1585" s="3" t="s">
        <v>10</v>
      </c>
      <c r="G1585" s="3" t="s">
        <v>3831</v>
      </c>
      <c r="H1585" s="3" t="s">
        <v>3832</v>
      </c>
      <c r="I1585" s="4">
        <v>6195.66</v>
      </c>
      <c r="J1585" s="3" t="s">
        <v>11</v>
      </c>
    </row>
    <row r="1586" spans="1:10" x14ac:dyDescent="0.35">
      <c r="A1586" s="3">
        <v>103404482</v>
      </c>
      <c r="B1586" s="3" t="s">
        <v>3833</v>
      </c>
      <c r="C1586" s="3" t="str">
        <f t="shared" si="27"/>
        <v>2022-07-05</v>
      </c>
      <c r="D1586" s="3" t="s">
        <v>9</v>
      </c>
      <c r="E1586" s="3" t="s">
        <v>5</v>
      </c>
      <c r="F1586" s="3" t="s">
        <v>10</v>
      </c>
      <c r="G1586" s="3" t="s">
        <v>3834</v>
      </c>
      <c r="H1586" s="3" t="s">
        <v>3835</v>
      </c>
      <c r="I1586" s="3">
        <v>369</v>
      </c>
      <c r="J1586" s="3" t="s">
        <v>11</v>
      </c>
    </row>
    <row r="1587" spans="1:10" x14ac:dyDescent="0.35">
      <c r="A1587" s="3">
        <v>103404480</v>
      </c>
      <c r="B1587" s="3" t="s">
        <v>3836</v>
      </c>
      <c r="C1587" s="3" t="str">
        <f t="shared" si="27"/>
        <v>2022-07-05</v>
      </c>
      <c r="D1587" s="3" t="s">
        <v>9</v>
      </c>
      <c r="E1587" s="3" t="s">
        <v>5</v>
      </c>
      <c r="F1587" s="3" t="s">
        <v>12</v>
      </c>
      <c r="G1587" s="3" t="s">
        <v>3837</v>
      </c>
      <c r="H1587" s="3" t="s">
        <v>3838</v>
      </c>
      <c r="I1587" s="5">
        <v>6299</v>
      </c>
      <c r="J1587" s="3" t="s">
        <v>11</v>
      </c>
    </row>
    <row r="1588" spans="1:10" x14ac:dyDescent="0.35">
      <c r="A1588" s="3">
        <v>103404565</v>
      </c>
      <c r="B1588" s="3" t="s">
        <v>3839</v>
      </c>
      <c r="C1588" s="3" t="str">
        <f t="shared" si="27"/>
        <v>2022-07-05</v>
      </c>
      <c r="D1588" s="3" t="s">
        <v>9</v>
      </c>
      <c r="E1588" s="3" t="s">
        <v>5</v>
      </c>
      <c r="F1588" s="3" t="s">
        <v>10</v>
      </c>
      <c r="G1588" s="3" t="s">
        <v>3840</v>
      </c>
      <c r="H1588" s="3" t="s">
        <v>3841</v>
      </c>
      <c r="I1588" s="4">
        <v>2494.89</v>
      </c>
      <c r="J1588" s="3" t="s">
        <v>11</v>
      </c>
    </row>
    <row r="1589" spans="1:10" x14ac:dyDescent="0.35">
      <c r="A1589" s="3">
        <v>103404476</v>
      </c>
      <c r="B1589" s="3" t="s">
        <v>3842</v>
      </c>
      <c r="C1589" s="3" t="str">
        <f t="shared" si="27"/>
        <v>2022-07-05</v>
      </c>
      <c r="D1589" s="3" t="s">
        <v>9</v>
      </c>
      <c r="E1589" s="3" t="s">
        <v>5</v>
      </c>
      <c r="F1589" s="3" t="s">
        <v>10</v>
      </c>
      <c r="G1589" s="3" t="s">
        <v>3843</v>
      </c>
      <c r="H1589" s="3" t="s">
        <v>3844</v>
      </c>
      <c r="I1589" s="5">
        <v>2359</v>
      </c>
      <c r="J1589" s="3" t="s">
        <v>11</v>
      </c>
    </row>
    <row r="1590" spans="1:10" x14ac:dyDescent="0.35">
      <c r="A1590" s="3">
        <v>103404462</v>
      </c>
      <c r="B1590" s="3" t="s">
        <v>3845</v>
      </c>
      <c r="C1590" s="3" t="str">
        <f t="shared" si="27"/>
        <v>2022-07-05</v>
      </c>
      <c r="D1590" s="3" t="s">
        <v>9</v>
      </c>
      <c r="E1590" s="3" t="s">
        <v>5</v>
      </c>
      <c r="F1590" s="3" t="s">
        <v>10</v>
      </c>
      <c r="G1590" s="3" t="s">
        <v>3846</v>
      </c>
      <c r="H1590" s="3" t="s">
        <v>3847</v>
      </c>
      <c r="I1590" s="3">
        <v>419</v>
      </c>
      <c r="J1590" s="3" t="s">
        <v>11</v>
      </c>
    </row>
    <row r="1591" spans="1:10" x14ac:dyDescent="0.35">
      <c r="A1591" s="3">
        <v>103404472</v>
      </c>
      <c r="B1591" s="3" t="s">
        <v>3848</v>
      </c>
      <c r="C1591" s="3" t="str">
        <f t="shared" si="27"/>
        <v>2022-07-05</v>
      </c>
      <c r="D1591" s="3" t="s">
        <v>9</v>
      </c>
      <c r="E1591" s="3" t="s">
        <v>5</v>
      </c>
      <c r="F1591" s="3" t="s">
        <v>10</v>
      </c>
      <c r="G1591" s="3" t="s">
        <v>1625</v>
      </c>
      <c r="H1591" s="3" t="s">
        <v>3849</v>
      </c>
      <c r="I1591" s="4">
        <v>4321.55</v>
      </c>
      <c r="J1591" s="3" t="s">
        <v>11</v>
      </c>
    </row>
    <row r="1592" spans="1:10" x14ac:dyDescent="0.35">
      <c r="A1592" s="3">
        <v>103404467</v>
      </c>
      <c r="B1592" s="3" t="s">
        <v>3850</v>
      </c>
      <c r="C1592" s="3" t="str">
        <f t="shared" si="27"/>
        <v>2022-07-05</v>
      </c>
      <c r="D1592" s="3" t="s">
        <v>9</v>
      </c>
      <c r="E1592" s="3" t="s">
        <v>5</v>
      </c>
      <c r="F1592" s="3" t="s">
        <v>10</v>
      </c>
      <c r="G1592" s="3" t="s">
        <v>3851</v>
      </c>
      <c r="H1592" s="3" t="s">
        <v>3852</v>
      </c>
      <c r="I1592" s="3">
        <v>838.42</v>
      </c>
      <c r="J1592" s="3" t="s">
        <v>11</v>
      </c>
    </row>
    <row r="1593" spans="1:10" x14ac:dyDescent="0.35">
      <c r="A1593" s="3">
        <v>103404362</v>
      </c>
      <c r="B1593" s="3" t="s">
        <v>3853</v>
      </c>
      <c r="C1593" s="3" t="str">
        <f t="shared" si="27"/>
        <v>2022-07-05</v>
      </c>
      <c r="D1593" s="3" t="s">
        <v>9</v>
      </c>
      <c r="E1593" s="3" t="s">
        <v>5</v>
      </c>
      <c r="F1593" s="3" t="s">
        <v>10</v>
      </c>
      <c r="G1593" s="3" t="s">
        <v>3854</v>
      </c>
      <c r="H1593" s="3" t="s">
        <v>3855</v>
      </c>
      <c r="I1593" s="5">
        <v>1988</v>
      </c>
      <c r="J1593" s="3" t="s">
        <v>11</v>
      </c>
    </row>
    <row r="1594" spans="1:10" x14ac:dyDescent="0.35">
      <c r="A1594" s="3">
        <v>103404361</v>
      </c>
      <c r="B1594" s="3" t="s">
        <v>3856</v>
      </c>
      <c r="C1594" s="3" t="str">
        <f t="shared" si="27"/>
        <v>2022-07-05</v>
      </c>
      <c r="D1594" s="3" t="s">
        <v>9</v>
      </c>
      <c r="E1594" s="3" t="s">
        <v>5</v>
      </c>
      <c r="F1594" s="3" t="s">
        <v>10</v>
      </c>
      <c r="G1594" s="3" t="s">
        <v>3857</v>
      </c>
      <c r="H1594" s="3" t="s">
        <v>3858</v>
      </c>
      <c r="I1594" s="5">
        <v>2469</v>
      </c>
      <c r="J1594" s="3" t="s">
        <v>11</v>
      </c>
    </row>
    <row r="1595" spans="1:10" x14ac:dyDescent="0.35">
      <c r="A1595" s="3">
        <v>103404459</v>
      </c>
      <c r="B1595" s="3" t="s">
        <v>3859</v>
      </c>
      <c r="C1595" s="3" t="str">
        <f t="shared" si="27"/>
        <v>2022-07-05</v>
      </c>
      <c r="D1595" s="3" t="s">
        <v>9</v>
      </c>
      <c r="E1595" s="3" t="s">
        <v>5</v>
      </c>
      <c r="F1595" s="3" t="s">
        <v>10</v>
      </c>
      <c r="G1595" s="3" t="s">
        <v>3860</v>
      </c>
      <c r="H1595" s="3" t="s">
        <v>3861</v>
      </c>
      <c r="I1595" s="5">
        <v>1099</v>
      </c>
      <c r="J1595" s="3" t="s">
        <v>11</v>
      </c>
    </row>
    <row r="1596" spans="1:10" x14ac:dyDescent="0.35">
      <c r="A1596" s="3">
        <v>103404343</v>
      </c>
      <c r="B1596" s="3" t="s">
        <v>3862</v>
      </c>
      <c r="C1596" s="3" t="str">
        <f t="shared" si="27"/>
        <v>2022-07-05</v>
      </c>
      <c r="D1596" s="3" t="s">
        <v>9</v>
      </c>
      <c r="E1596" s="3" t="s">
        <v>5</v>
      </c>
      <c r="F1596" s="3" t="s">
        <v>10</v>
      </c>
      <c r="G1596" s="3" t="s">
        <v>3863</v>
      </c>
      <c r="H1596" s="3" t="s">
        <v>3864</v>
      </c>
      <c r="I1596" s="4">
        <v>3419.05</v>
      </c>
      <c r="J1596" s="3" t="s">
        <v>11</v>
      </c>
    </row>
    <row r="1597" spans="1:10" x14ac:dyDescent="0.35">
      <c r="A1597" s="3">
        <v>103404340</v>
      </c>
      <c r="B1597" s="3" t="s">
        <v>3865</v>
      </c>
      <c r="C1597" s="3" t="str">
        <f t="shared" si="27"/>
        <v>2022-07-05</v>
      </c>
      <c r="D1597" s="3" t="s">
        <v>9</v>
      </c>
      <c r="E1597" s="3" t="s">
        <v>5</v>
      </c>
      <c r="F1597" s="3" t="s">
        <v>10</v>
      </c>
      <c r="G1597" s="3" t="s">
        <v>3866</v>
      </c>
      <c r="H1597" s="3" t="s">
        <v>3867</v>
      </c>
      <c r="I1597" s="4">
        <v>1129.55</v>
      </c>
      <c r="J1597" s="3" t="s">
        <v>11</v>
      </c>
    </row>
    <row r="1598" spans="1:10" x14ac:dyDescent="0.35">
      <c r="A1598" s="3">
        <v>103404341</v>
      </c>
      <c r="B1598" s="3" t="s">
        <v>3865</v>
      </c>
      <c r="C1598" s="3" t="str">
        <f t="shared" si="27"/>
        <v>2022-07-05</v>
      </c>
      <c r="D1598" s="3" t="s">
        <v>9</v>
      </c>
      <c r="E1598" s="3" t="s">
        <v>5</v>
      </c>
      <c r="F1598" s="3" t="s">
        <v>10</v>
      </c>
      <c r="G1598" s="3" t="s">
        <v>3868</v>
      </c>
      <c r="H1598" s="3" t="s">
        <v>3869</v>
      </c>
      <c r="I1598" s="5">
        <v>4499</v>
      </c>
      <c r="J1598" s="3" t="s">
        <v>11</v>
      </c>
    </row>
    <row r="1599" spans="1:10" x14ac:dyDescent="0.35">
      <c r="A1599" s="3">
        <v>103404334</v>
      </c>
      <c r="B1599" s="3" t="s">
        <v>3870</v>
      </c>
      <c r="C1599" s="3" t="str">
        <f t="shared" si="27"/>
        <v>2022-07-05</v>
      </c>
      <c r="D1599" s="3" t="s">
        <v>9</v>
      </c>
      <c r="E1599" s="3" t="s">
        <v>5</v>
      </c>
      <c r="F1599" s="3" t="s">
        <v>10</v>
      </c>
      <c r="G1599" s="3" t="s">
        <v>3871</v>
      </c>
      <c r="H1599" s="3" t="s">
        <v>3872</v>
      </c>
      <c r="I1599" s="4">
        <v>3333.64</v>
      </c>
      <c r="J1599" s="3" t="s">
        <v>11</v>
      </c>
    </row>
    <row r="1600" spans="1:10" x14ac:dyDescent="0.35">
      <c r="A1600" s="3">
        <v>103404333</v>
      </c>
      <c r="B1600" s="3" t="s">
        <v>3873</v>
      </c>
      <c r="C1600" s="3" t="str">
        <f t="shared" si="27"/>
        <v>2022-07-05</v>
      </c>
      <c r="D1600" s="3" t="s">
        <v>9</v>
      </c>
      <c r="E1600" s="3" t="s">
        <v>5</v>
      </c>
      <c r="F1600" s="3" t="s">
        <v>10</v>
      </c>
      <c r="G1600" s="3" t="s">
        <v>3874</v>
      </c>
      <c r="H1600" s="3" t="s">
        <v>3875</v>
      </c>
      <c r="I1600" s="5">
        <v>2999</v>
      </c>
      <c r="J1600" s="3" t="s">
        <v>13</v>
      </c>
    </row>
    <row r="1601" spans="1:10" x14ac:dyDescent="0.35">
      <c r="A1601" s="3">
        <v>103404449</v>
      </c>
      <c r="B1601" s="3" t="s">
        <v>3876</v>
      </c>
      <c r="C1601" s="3" t="str">
        <f t="shared" si="27"/>
        <v>2022-07-05</v>
      </c>
      <c r="D1601" s="3" t="s">
        <v>9</v>
      </c>
      <c r="E1601" s="3" t="s">
        <v>5</v>
      </c>
      <c r="F1601" s="3" t="s">
        <v>12</v>
      </c>
      <c r="G1601" s="3" t="s">
        <v>3877</v>
      </c>
      <c r="H1601" s="3" t="s">
        <v>3878</v>
      </c>
      <c r="I1601" s="5">
        <v>4799</v>
      </c>
      <c r="J1601" s="3" t="s">
        <v>11</v>
      </c>
    </row>
    <row r="1602" spans="1:10" x14ac:dyDescent="0.35">
      <c r="A1602" s="3">
        <v>103404330</v>
      </c>
      <c r="B1602" s="3" t="s">
        <v>3879</v>
      </c>
      <c r="C1602" s="3" t="str">
        <f t="shared" si="27"/>
        <v>2022-07-05</v>
      </c>
      <c r="D1602" s="3" t="s">
        <v>9</v>
      </c>
      <c r="E1602" s="3" t="s">
        <v>5</v>
      </c>
      <c r="F1602" s="3" t="s">
        <v>12</v>
      </c>
      <c r="G1602" s="3" t="s">
        <v>3880</v>
      </c>
      <c r="H1602" s="3" t="s">
        <v>3881</v>
      </c>
      <c r="I1602" s="3">
        <v>899</v>
      </c>
      <c r="J1602" s="3" t="s">
        <v>11</v>
      </c>
    </row>
    <row r="1603" spans="1:10" x14ac:dyDescent="0.35">
      <c r="A1603" s="3">
        <v>103404444</v>
      </c>
      <c r="B1603" s="3" t="s">
        <v>3882</v>
      </c>
      <c r="C1603" s="3" t="str">
        <f t="shared" ref="C1603:C1665" si="28">LEFT(B1603,FIND("T",B1603)-1)</f>
        <v>2022-07-05</v>
      </c>
      <c r="D1603" s="3" t="s">
        <v>9</v>
      </c>
      <c r="E1603" s="3" t="s">
        <v>5</v>
      </c>
      <c r="F1603" s="3" t="s">
        <v>10</v>
      </c>
      <c r="G1603" s="3" t="s">
        <v>3883</v>
      </c>
      <c r="H1603" s="3" t="s">
        <v>3884</v>
      </c>
      <c r="I1603" s="4">
        <v>2326.5500000000002</v>
      </c>
      <c r="J1603" s="3" t="s">
        <v>11</v>
      </c>
    </row>
    <row r="1604" spans="1:10" x14ac:dyDescent="0.35">
      <c r="A1604" s="3">
        <v>103404327</v>
      </c>
      <c r="B1604" s="3" t="s">
        <v>3885</v>
      </c>
      <c r="C1604" s="3" t="str">
        <f t="shared" si="28"/>
        <v>2022-07-05</v>
      </c>
      <c r="D1604" s="3" t="s">
        <v>9</v>
      </c>
      <c r="E1604" s="3" t="s">
        <v>5</v>
      </c>
      <c r="F1604" s="3" t="s">
        <v>10</v>
      </c>
      <c r="G1604" s="3" t="s">
        <v>3886</v>
      </c>
      <c r="H1604" s="3" t="s">
        <v>3887</v>
      </c>
      <c r="I1604" s="3">
        <v>389</v>
      </c>
      <c r="J1604" s="3" t="s">
        <v>11</v>
      </c>
    </row>
    <row r="1605" spans="1:10" x14ac:dyDescent="0.35">
      <c r="A1605" s="3">
        <v>103404440</v>
      </c>
      <c r="B1605" s="3" t="s">
        <v>3888</v>
      </c>
      <c r="C1605" s="3" t="str">
        <f t="shared" si="28"/>
        <v>2022-07-05</v>
      </c>
      <c r="D1605" s="3" t="s">
        <v>9</v>
      </c>
      <c r="E1605" s="3" t="s">
        <v>5</v>
      </c>
      <c r="F1605" s="3" t="s">
        <v>10</v>
      </c>
      <c r="G1605" s="3" t="s">
        <v>3889</v>
      </c>
      <c r="H1605" s="3" t="s">
        <v>3890</v>
      </c>
      <c r="I1605" s="5">
        <v>1489</v>
      </c>
      <c r="J1605" s="3" t="s">
        <v>11</v>
      </c>
    </row>
    <row r="1606" spans="1:10" x14ac:dyDescent="0.35">
      <c r="A1606" s="3">
        <v>103404438</v>
      </c>
      <c r="B1606" s="3" t="s">
        <v>3891</v>
      </c>
      <c r="C1606" s="3" t="str">
        <f t="shared" si="28"/>
        <v>2022-07-05</v>
      </c>
      <c r="D1606" s="3" t="s">
        <v>9</v>
      </c>
      <c r="E1606" s="3" t="s">
        <v>5</v>
      </c>
      <c r="F1606" s="3" t="s">
        <v>10</v>
      </c>
      <c r="G1606" s="3" t="s">
        <v>3892</v>
      </c>
      <c r="H1606" s="3" t="s">
        <v>3893</v>
      </c>
      <c r="I1606" s="4">
        <v>1424.05</v>
      </c>
      <c r="J1606" s="3" t="s">
        <v>11</v>
      </c>
    </row>
    <row r="1607" spans="1:10" x14ac:dyDescent="0.35">
      <c r="A1607" s="3">
        <v>103404439</v>
      </c>
      <c r="B1607" s="3" t="s">
        <v>3891</v>
      </c>
      <c r="C1607" s="3" t="str">
        <f t="shared" si="28"/>
        <v>2022-07-05</v>
      </c>
      <c r="D1607" s="3" t="s">
        <v>9</v>
      </c>
      <c r="E1607" s="3" t="s">
        <v>5</v>
      </c>
      <c r="F1607" s="3" t="s">
        <v>10</v>
      </c>
      <c r="G1607" s="3" t="s">
        <v>3894</v>
      </c>
      <c r="H1607" s="3" t="s">
        <v>3895</v>
      </c>
      <c r="I1607" s="5">
        <v>2359</v>
      </c>
      <c r="J1607" s="3" t="s">
        <v>11</v>
      </c>
    </row>
    <row r="1608" spans="1:10" x14ac:dyDescent="0.35">
      <c r="A1608" s="3">
        <v>103404322</v>
      </c>
      <c r="B1608" s="3" t="s">
        <v>3896</v>
      </c>
      <c r="C1608" s="3" t="str">
        <f t="shared" si="28"/>
        <v>2022-07-05</v>
      </c>
      <c r="D1608" s="3" t="s">
        <v>9</v>
      </c>
      <c r="E1608" s="3" t="s">
        <v>5</v>
      </c>
      <c r="F1608" s="3" t="s">
        <v>10</v>
      </c>
      <c r="G1608" s="3" t="s">
        <v>3897</v>
      </c>
      <c r="H1608" s="3" t="s">
        <v>3898</v>
      </c>
      <c r="I1608" s="3">
        <v>585.72</v>
      </c>
      <c r="J1608" s="3" t="s">
        <v>11</v>
      </c>
    </row>
    <row r="1609" spans="1:10" x14ac:dyDescent="0.35">
      <c r="A1609" s="3">
        <v>103404432</v>
      </c>
      <c r="B1609" s="3" t="s">
        <v>3899</v>
      </c>
      <c r="C1609" s="3" t="str">
        <f t="shared" si="28"/>
        <v>2022-07-05</v>
      </c>
      <c r="D1609" s="3" t="s">
        <v>9</v>
      </c>
      <c r="E1609" s="3" t="s">
        <v>5</v>
      </c>
      <c r="F1609" s="3" t="s">
        <v>10</v>
      </c>
      <c r="G1609" s="3" t="s">
        <v>3900</v>
      </c>
      <c r="H1609" s="3" t="s">
        <v>3901</v>
      </c>
      <c r="I1609" s="4">
        <v>3656.55</v>
      </c>
      <c r="J1609" s="3" t="s">
        <v>11</v>
      </c>
    </row>
    <row r="1610" spans="1:10" x14ac:dyDescent="0.35">
      <c r="A1610" s="3">
        <v>103404430</v>
      </c>
      <c r="B1610" s="3" t="s">
        <v>3902</v>
      </c>
      <c r="C1610" s="3" t="str">
        <f t="shared" si="28"/>
        <v>2022-07-05</v>
      </c>
      <c r="D1610" s="3" t="s">
        <v>9</v>
      </c>
      <c r="E1610" s="3" t="s">
        <v>5</v>
      </c>
      <c r="F1610" s="3" t="s">
        <v>12</v>
      </c>
      <c r="G1610" s="3" t="s">
        <v>3903</v>
      </c>
      <c r="H1610" s="3" t="s">
        <v>3904</v>
      </c>
      <c r="I1610" s="5">
        <v>1259</v>
      </c>
      <c r="J1610" s="3" t="s">
        <v>11</v>
      </c>
    </row>
    <row r="1611" spans="1:10" x14ac:dyDescent="0.35">
      <c r="A1611" s="3">
        <v>103404429</v>
      </c>
      <c r="B1611" s="3" t="s">
        <v>3905</v>
      </c>
      <c r="C1611" s="3" t="str">
        <f t="shared" si="28"/>
        <v>2022-07-05</v>
      </c>
      <c r="D1611" s="3" t="s">
        <v>9</v>
      </c>
      <c r="E1611" s="3" t="s">
        <v>5</v>
      </c>
      <c r="F1611" s="3" t="s">
        <v>12</v>
      </c>
      <c r="G1611" s="3" t="s">
        <v>3906</v>
      </c>
      <c r="H1611" s="3" t="s">
        <v>3907</v>
      </c>
      <c r="I1611" s="5">
        <v>1299</v>
      </c>
      <c r="J1611" s="3" t="s">
        <v>11</v>
      </c>
    </row>
    <row r="1612" spans="1:10" x14ac:dyDescent="0.35">
      <c r="A1612" s="3">
        <v>103404319</v>
      </c>
      <c r="B1612" s="3" t="s">
        <v>3908</v>
      </c>
      <c r="C1612" s="3" t="str">
        <f t="shared" si="28"/>
        <v>2022-07-05</v>
      </c>
      <c r="D1612" s="3" t="s">
        <v>9</v>
      </c>
      <c r="E1612" s="3" t="s">
        <v>5</v>
      </c>
      <c r="F1612" s="3" t="s">
        <v>10</v>
      </c>
      <c r="G1612" s="3" t="s">
        <v>3909</v>
      </c>
      <c r="H1612" s="3" t="s">
        <v>3910</v>
      </c>
      <c r="I1612" s="5">
        <v>2449</v>
      </c>
      <c r="J1612" s="3" t="s">
        <v>11</v>
      </c>
    </row>
    <row r="1613" spans="1:10" x14ac:dyDescent="0.35">
      <c r="A1613" s="3">
        <v>103404318</v>
      </c>
      <c r="B1613" s="3" t="s">
        <v>3911</v>
      </c>
      <c r="C1613" s="3" t="str">
        <f t="shared" si="28"/>
        <v>2022-07-05</v>
      </c>
      <c r="D1613" s="3" t="s">
        <v>9</v>
      </c>
      <c r="E1613" s="3" t="s">
        <v>5</v>
      </c>
      <c r="F1613" s="3" t="s">
        <v>10</v>
      </c>
      <c r="G1613" s="3" t="s">
        <v>3912</v>
      </c>
      <c r="H1613" s="3" t="s">
        <v>3913</v>
      </c>
      <c r="I1613" s="5">
        <v>2129</v>
      </c>
      <c r="J1613" s="3" t="s">
        <v>11</v>
      </c>
    </row>
    <row r="1614" spans="1:10" x14ac:dyDescent="0.35">
      <c r="A1614" s="3">
        <v>103404312</v>
      </c>
      <c r="B1614" s="3" t="s">
        <v>3914</v>
      </c>
      <c r="C1614" s="3" t="str">
        <f t="shared" si="28"/>
        <v>2022-07-05</v>
      </c>
      <c r="D1614" s="3" t="s">
        <v>9</v>
      </c>
      <c r="E1614" s="3" t="s">
        <v>5</v>
      </c>
      <c r="F1614" s="3" t="s">
        <v>10</v>
      </c>
      <c r="G1614" s="3" t="s">
        <v>3915</v>
      </c>
      <c r="H1614" s="3" t="s">
        <v>3916</v>
      </c>
      <c r="I1614" s="5">
        <v>1269</v>
      </c>
      <c r="J1614" s="3" t="s">
        <v>11</v>
      </c>
    </row>
    <row r="1615" spans="1:10" x14ac:dyDescent="0.35">
      <c r="A1615" s="3">
        <v>103404426</v>
      </c>
      <c r="B1615" s="3" t="s">
        <v>3917</v>
      </c>
      <c r="C1615" s="3" t="str">
        <f t="shared" si="28"/>
        <v>2022-07-05</v>
      </c>
      <c r="D1615" s="3" t="s">
        <v>9</v>
      </c>
      <c r="E1615" s="3" t="s">
        <v>5</v>
      </c>
      <c r="F1615" s="3" t="s">
        <v>12</v>
      </c>
      <c r="G1615" s="3" t="s">
        <v>3918</v>
      </c>
      <c r="H1615" s="3" t="s">
        <v>3919</v>
      </c>
      <c r="I1615" s="5">
        <v>1819</v>
      </c>
      <c r="J1615" s="3" t="s">
        <v>11</v>
      </c>
    </row>
    <row r="1616" spans="1:10" x14ac:dyDescent="0.35">
      <c r="A1616" s="3">
        <v>103404311</v>
      </c>
      <c r="B1616" s="3" t="s">
        <v>3920</v>
      </c>
      <c r="C1616" s="3" t="str">
        <f t="shared" si="28"/>
        <v>2022-07-05</v>
      </c>
      <c r="D1616" s="3" t="s">
        <v>9</v>
      </c>
      <c r="E1616" s="3" t="s">
        <v>5</v>
      </c>
      <c r="F1616" s="3" t="s">
        <v>10</v>
      </c>
      <c r="G1616" s="3" t="s">
        <v>3921</v>
      </c>
      <c r="H1616" s="3" t="s">
        <v>3922</v>
      </c>
      <c r="I1616" s="3">
        <v>779</v>
      </c>
      <c r="J1616" s="3" t="s">
        <v>11</v>
      </c>
    </row>
    <row r="1617" spans="1:10" x14ac:dyDescent="0.35">
      <c r="A1617" s="3">
        <v>103404424</v>
      </c>
      <c r="B1617" s="3" t="s">
        <v>3923</v>
      </c>
      <c r="C1617" s="3" t="str">
        <f t="shared" si="28"/>
        <v>2022-07-05</v>
      </c>
      <c r="D1617" s="3" t="s">
        <v>9</v>
      </c>
      <c r="E1617" s="3" t="s">
        <v>5</v>
      </c>
      <c r="F1617" s="3" t="s">
        <v>10</v>
      </c>
      <c r="G1617" s="3" t="s">
        <v>3924</v>
      </c>
      <c r="H1617" s="3" t="s">
        <v>3925</v>
      </c>
      <c r="I1617" s="5">
        <v>1649</v>
      </c>
      <c r="J1617" s="3" t="s">
        <v>11</v>
      </c>
    </row>
    <row r="1618" spans="1:10" x14ac:dyDescent="0.35">
      <c r="A1618" s="3">
        <v>103404423</v>
      </c>
      <c r="B1618" s="3" t="s">
        <v>3926</v>
      </c>
      <c r="C1618" s="3" t="str">
        <f t="shared" si="28"/>
        <v>2022-07-05</v>
      </c>
      <c r="D1618" s="3" t="s">
        <v>9</v>
      </c>
      <c r="E1618" s="3" t="s">
        <v>5</v>
      </c>
      <c r="F1618" s="3" t="s">
        <v>10</v>
      </c>
      <c r="G1618" s="3" t="s">
        <v>3927</v>
      </c>
      <c r="H1618" s="3" t="s">
        <v>3928</v>
      </c>
      <c r="I1618" s="4">
        <v>2222.14</v>
      </c>
      <c r="J1618" s="3" t="s">
        <v>11</v>
      </c>
    </row>
    <row r="1619" spans="1:10" x14ac:dyDescent="0.35">
      <c r="A1619" s="3">
        <v>103404421</v>
      </c>
      <c r="B1619" s="3" t="s">
        <v>3929</v>
      </c>
      <c r="C1619" s="3" t="str">
        <f t="shared" si="28"/>
        <v>2022-07-05</v>
      </c>
      <c r="D1619" s="3" t="s">
        <v>9</v>
      </c>
      <c r="E1619" s="3" t="s">
        <v>5</v>
      </c>
      <c r="F1619" s="3" t="s">
        <v>10</v>
      </c>
      <c r="G1619" s="3" t="s">
        <v>3930</v>
      </c>
      <c r="H1619" s="3" t="s">
        <v>3931</v>
      </c>
      <c r="I1619" s="4">
        <v>4559.05</v>
      </c>
      <c r="J1619" s="3" t="s">
        <v>11</v>
      </c>
    </row>
    <row r="1620" spans="1:10" x14ac:dyDescent="0.35">
      <c r="A1620" s="3">
        <v>103404308</v>
      </c>
      <c r="B1620" s="3" t="s">
        <v>3932</v>
      </c>
      <c r="C1620" s="3" t="str">
        <f t="shared" si="28"/>
        <v>2022-07-05</v>
      </c>
      <c r="D1620" s="3" t="s">
        <v>9</v>
      </c>
      <c r="E1620" s="3" t="s">
        <v>5</v>
      </c>
      <c r="F1620" s="3" t="s">
        <v>10</v>
      </c>
      <c r="G1620" s="3" t="s">
        <v>3933</v>
      </c>
      <c r="H1620" s="3" t="s">
        <v>3934</v>
      </c>
      <c r="I1620" s="3">
        <v>768.55</v>
      </c>
      <c r="J1620" s="3" t="s">
        <v>11</v>
      </c>
    </row>
    <row r="1621" spans="1:10" x14ac:dyDescent="0.35">
      <c r="A1621" s="3">
        <v>103404307</v>
      </c>
      <c r="B1621" s="3" t="s">
        <v>3935</v>
      </c>
      <c r="C1621" s="3" t="str">
        <f t="shared" si="28"/>
        <v>2022-07-05</v>
      </c>
      <c r="D1621" s="3" t="s">
        <v>9</v>
      </c>
      <c r="E1621" s="3" t="s">
        <v>5</v>
      </c>
      <c r="F1621" s="3" t="s">
        <v>12</v>
      </c>
      <c r="G1621" s="3" t="s">
        <v>3936</v>
      </c>
      <c r="H1621" s="3" t="s">
        <v>3937</v>
      </c>
      <c r="I1621" s="5">
        <v>1169</v>
      </c>
      <c r="J1621" s="3" t="s">
        <v>11</v>
      </c>
    </row>
    <row r="1622" spans="1:10" x14ac:dyDescent="0.35">
      <c r="A1622" s="3">
        <v>103404417</v>
      </c>
      <c r="B1622" s="3" t="s">
        <v>3938</v>
      </c>
      <c r="C1622" s="3" t="str">
        <f t="shared" si="28"/>
        <v>2022-07-05</v>
      </c>
      <c r="D1622" s="3" t="s">
        <v>9</v>
      </c>
      <c r="E1622" s="3" t="s">
        <v>5</v>
      </c>
      <c r="F1622" s="3" t="s">
        <v>10</v>
      </c>
      <c r="G1622" s="3" t="s">
        <v>3939</v>
      </c>
      <c r="H1622" s="3" t="s">
        <v>3940</v>
      </c>
      <c r="I1622" s="5">
        <v>1979</v>
      </c>
      <c r="J1622" s="3" t="s">
        <v>11</v>
      </c>
    </row>
    <row r="1623" spans="1:10" x14ac:dyDescent="0.35">
      <c r="A1623" s="3">
        <v>103404305</v>
      </c>
      <c r="B1623" s="3" t="s">
        <v>3941</v>
      </c>
      <c r="C1623" s="3" t="str">
        <f t="shared" si="28"/>
        <v>2022-07-05</v>
      </c>
      <c r="D1623" s="3" t="s">
        <v>9</v>
      </c>
      <c r="E1623" s="3" t="s">
        <v>5</v>
      </c>
      <c r="F1623" s="3" t="s">
        <v>12</v>
      </c>
      <c r="G1623" s="3" t="s">
        <v>3942</v>
      </c>
      <c r="H1623" s="3" t="s">
        <v>3904</v>
      </c>
      <c r="I1623" s="5">
        <v>1259</v>
      </c>
      <c r="J1623" s="3" t="s">
        <v>11</v>
      </c>
    </row>
    <row r="1624" spans="1:10" x14ac:dyDescent="0.35">
      <c r="A1624" s="3">
        <v>103404413</v>
      </c>
      <c r="B1624" s="3" t="s">
        <v>3943</v>
      </c>
      <c r="C1624" s="3" t="str">
        <f t="shared" si="28"/>
        <v>2022-07-05</v>
      </c>
      <c r="D1624" s="3" t="s">
        <v>9</v>
      </c>
      <c r="E1624" s="3" t="s">
        <v>5</v>
      </c>
      <c r="F1624" s="3" t="s">
        <v>12</v>
      </c>
      <c r="G1624" s="3" t="s">
        <v>3944</v>
      </c>
      <c r="H1624" s="3" t="s">
        <v>3945</v>
      </c>
      <c r="I1624" s="4">
        <v>2136.64</v>
      </c>
      <c r="J1624" s="3" t="s">
        <v>11</v>
      </c>
    </row>
    <row r="1625" spans="1:10" x14ac:dyDescent="0.35">
      <c r="A1625" s="3">
        <v>103404411</v>
      </c>
      <c r="B1625" s="3" t="s">
        <v>3946</v>
      </c>
      <c r="C1625" s="3" t="str">
        <f t="shared" si="28"/>
        <v>2022-07-05</v>
      </c>
      <c r="D1625" s="3" t="s">
        <v>9</v>
      </c>
      <c r="E1625" s="3" t="s">
        <v>5</v>
      </c>
      <c r="F1625" s="3" t="s">
        <v>10</v>
      </c>
      <c r="G1625" s="3" t="s">
        <v>3947</v>
      </c>
      <c r="H1625" s="3" t="s">
        <v>3948</v>
      </c>
      <c r="I1625" s="3">
        <v>255.55</v>
      </c>
      <c r="J1625" s="3" t="s">
        <v>11</v>
      </c>
    </row>
    <row r="1626" spans="1:10" x14ac:dyDescent="0.35">
      <c r="A1626" s="3">
        <v>103404409</v>
      </c>
      <c r="B1626" s="3" t="s">
        <v>3949</v>
      </c>
      <c r="C1626" s="3" t="str">
        <f t="shared" si="28"/>
        <v>2022-07-05</v>
      </c>
      <c r="D1626" s="3" t="s">
        <v>9</v>
      </c>
      <c r="E1626" s="3" t="s">
        <v>5</v>
      </c>
      <c r="F1626" s="3" t="s">
        <v>10</v>
      </c>
      <c r="G1626" s="3" t="s">
        <v>3950</v>
      </c>
      <c r="H1626" s="3" t="s">
        <v>3951</v>
      </c>
      <c r="I1626" s="5">
        <v>2749</v>
      </c>
      <c r="J1626" s="3" t="s">
        <v>11</v>
      </c>
    </row>
    <row r="1627" spans="1:10" x14ac:dyDescent="0.35">
      <c r="A1627" s="3">
        <v>103404407</v>
      </c>
      <c r="B1627" s="3" t="s">
        <v>3952</v>
      </c>
      <c r="C1627" s="3" t="str">
        <f t="shared" si="28"/>
        <v>2022-07-05</v>
      </c>
      <c r="D1627" s="3" t="s">
        <v>9</v>
      </c>
      <c r="E1627" s="3" t="s">
        <v>5</v>
      </c>
      <c r="F1627" s="3" t="s">
        <v>12</v>
      </c>
      <c r="G1627" s="3" t="s">
        <v>3953</v>
      </c>
      <c r="H1627" s="3" t="s">
        <v>3954</v>
      </c>
      <c r="I1627" s="4">
        <v>3419.05</v>
      </c>
      <c r="J1627" s="3" t="s">
        <v>11</v>
      </c>
    </row>
    <row r="1628" spans="1:10" x14ac:dyDescent="0.35">
      <c r="A1628" s="3">
        <v>103404298</v>
      </c>
      <c r="B1628" s="3" t="s">
        <v>3955</v>
      </c>
      <c r="C1628" s="3" t="str">
        <f t="shared" si="28"/>
        <v>2022-07-05</v>
      </c>
      <c r="D1628" s="3" t="s">
        <v>9</v>
      </c>
      <c r="E1628" s="3" t="s">
        <v>5</v>
      </c>
      <c r="F1628" s="3" t="s">
        <v>10</v>
      </c>
      <c r="G1628" s="3" t="s">
        <v>3956</v>
      </c>
      <c r="H1628" s="3" t="s">
        <v>3957</v>
      </c>
      <c r="I1628" s="3">
        <v>236.55</v>
      </c>
      <c r="J1628" s="3" t="s">
        <v>11</v>
      </c>
    </row>
    <row r="1629" spans="1:10" x14ac:dyDescent="0.35">
      <c r="A1629" s="3">
        <v>103404297</v>
      </c>
      <c r="B1629" s="3" t="s">
        <v>3958</v>
      </c>
      <c r="C1629" s="3" t="str">
        <f t="shared" si="28"/>
        <v>2022-07-05</v>
      </c>
      <c r="D1629" s="3" t="s">
        <v>9</v>
      </c>
      <c r="E1629" s="3" t="s">
        <v>5</v>
      </c>
      <c r="F1629" s="3" t="s">
        <v>12</v>
      </c>
      <c r="G1629" s="3" t="s">
        <v>3959</v>
      </c>
      <c r="H1629" s="3" t="s">
        <v>3960</v>
      </c>
      <c r="I1629" s="3">
        <v>819</v>
      </c>
      <c r="J1629" s="3" t="s">
        <v>11</v>
      </c>
    </row>
    <row r="1630" spans="1:10" x14ac:dyDescent="0.35">
      <c r="A1630" s="3">
        <v>103404403</v>
      </c>
      <c r="B1630" s="3" t="s">
        <v>3961</v>
      </c>
      <c r="C1630" s="3" t="str">
        <f t="shared" si="28"/>
        <v>2022-07-05</v>
      </c>
      <c r="D1630" s="3" t="s">
        <v>9</v>
      </c>
      <c r="E1630" s="3" t="s">
        <v>5</v>
      </c>
      <c r="F1630" s="3" t="s">
        <v>10</v>
      </c>
      <c r="G1630" s="3" t="s">
        <v>3962</v>
      </c>
      <c r="H1630" s="3" t="s">
        <v>3963</v>
      </c>
      <c r="I1630" s="4">
        <v>1281.55</v>
      </c>
      <c r="J1630" s="3" t="s">
        <v>11</v>
      </c>
    </row>
    <row r="1631" spans="1:10" x14ac:dyDescent="0.35">
      <c r="A1631" s="3">
        <v>103404293</v>
      </c>
      <c r="B1631" s="3" t="s">
        <v>3964</v>
      </c>
      <c r="C1631" s="3" t="str">
        <f t="shared" si="28"/>
        <v>2022-07-05</v>
      </c>
      <c r="D1631" s="3" t="s">
        <v>9</v>
      </c>
      <c r="E1631" s="3" t="s">
        <v>5</v>
      </c>
      <c r="F1631" s="3" t="s">
        <v>10</v>
      </c>
      <c r="G1631" s="3" t="s">
        <v>3965</v>
      </c>
      <c r="H1631" s="3" t="s">
        <v>3966</v>
      </c>
      <c r="I1631" s="5">
        <v>2799</v>
      </c>
      <c r="J1631" s="3" t="s">
        <v>11</v>
      </c>
    </row>
    <row r="1632" spans="1:10" x14ac:dyDescent="0.35">
      <c r="A1632" s="3">
        <v>103404399</v>
      </c>
      <c r="B1632" s="3" t="s">
        <v>3967</v>
      </c>
      <c r="C1632" s="3" t="str">
        <f t="shared" si="28"/>
        <v>2022-07-05</v>
      </c>
      <c r="D1632" s="3" t="s">
        <v>9</v>
      </c>
      <c r="E1632" s="3" t="s">
        <v>5</v>
      </c>
      <c r="F1632" s="3" t="s">
        <v>10</v>
      </c>
      <c r="G1632" s="3" t="s">
        <v>3968</v>
      </c>
      <c r="H1632" s="3" t="s">
        <v>3969</v>
      </c>
      <c r="I1632" s="5">
        <v>1649</v>
      </c>
      <c r="J1632" s="3" t="s">
        <v>11</v>
      </c>
    </row>
    <row r="1633" spans="1:10" x14ac:dyDescent="0.35">
      <c r="A1633" s="3">
        <v>103404291</v>
      </c>
      <c r="B1633" s="3" t="s">
        <v>3967</v>
      </c>
      <c r="C1633" s="3" t="str">
        <f t="shared" si="28"/>
        <v>2022-07-05</v>
      </c>
      <c r="D1633" s="3" t="s">
        <v>9</v>
      </c>
      <c r="E1633" s="3" t="s">
        <v>5</v>
      </c>
      <c r="F1633" s="3" t="s">
        <v>10</v>
      </c>
      <c r="G1633" s="3" t="s">
        <v>3970</v>
      </c>
      <c r="H1633" s="3" t="s">
        <v>3971</v>
      </c>
      <c r="I1633" s="5">
        <v>1499</v>
      </c>
      <c r="J1633" s="3" t="s">
        <v>11</v>
      </c>
    </row>
    <row r="1634" spans="1:10" x14ac:dyDescent="0.35">
      <c r="A1634" s="3">
        <v>103404398</v>
      </c>
      <c r="B1634" s="3" t="s">
        <v>3967</v>
      </c>
      <c r="C1634" s="3" t="str">
        <f t="shared" si="28"/>
        <v>2022-07-05</v>
      </c>
      <c r="D1634" s="3" t="s">
        <v>9</v>
      </c>
      <c r="E1634" s="3" t="s">
        <v>5</v>
      </c>
      <c r="F1634" s="3" t="s">
        <v>10</v>
      </c>
      <c r="G1634" s="3" t="s">
        <v>3972</v>
      </c>
      <c r="H1634" s="3" t="s">
        <v>3973</v>
      </c>
      <c r="I1634" s="4">
        <v>1880.14</v>
      </c>
      <c r="J1634" s="3" t="s">
        <v>11</v>
      </c>
    </row>
    <row r="1635" spans="1:10" x14ac:dyDescent="0.35">
      <c r="A1635" s="3">
        <v>103404290</v>
      </c>
      <c r="B1635" s="3" t="s">
        <v>3974</v>
      </c>
      <c r="C1635" s="3" t="str">
        <f t="shared" si="28"/>
        <v>2022-07-05</v>
      </c>
      <c r="D1635" s="3" t="s">
        <v>9</v>
      </c>
      <c r="E1635" s="3" t="s">
        <v>5</v>
      </c>
      <c r="F1635" s="3" t="s">
        <v>12</v>
      </c>
      <c r="G1635" s="3" t="s">
        <v>3975</v>
      </c>
      <c r="H1635" s="3" t="s">
        <v>3976</v>
      </c>
      <c r="I1635" s="5">
        <v>1169</v>
      </c>
      <c r="J1635" s="3" t="s">
        <v>11</v>
      </c>
    </row>
    <row r="1636" spans="1:10" x14ac:dyDescent="0.35">
      <c r="A1636" s="3">
        <v>103404396</v>
      </c>
      <c r="B1636" s="3" t="s">
        <v>3977</v>
      </c>
      <c r="C1636" s="3" t="str">
        <f t="shared" si="28"/>
        <v>2022-07-05</v>
      </c>
      <c r="D1636" s="3" t="s">
        <v>9</v>
      </c>
      <c r="E1636" s="3" t="s">
        <v>5</v>
      </c>
      <c r="F1636" s="3" t="s">
        <v>10</v>
      </c>
      <c r="G1636" s="3" t="s">
        <v>3978</v>
      </c>
      <c r="H1636" s="3" t="s">
        <v>3979</v>
      </c>
      <c r="I1636" s="4">
        <v>2991.55</v>
      </c>
      <c r="J1636" s="3" t="s">
        <v>11</v>
      </c>
    </row>
    <row r="1637" spans="1:10" x14ac:dyDescent="0.35">
      <c r="A1637" s="3">
        <v>103404288</v>
      </c>
      <c r="B1637" s="3" t="s">
        <v>3980</v>
      </c>
      <c r="C1637" s="3" t="str">
        <f t="shared" si="28"/>
        <v>2022-07-05</v>
      </c>
      <c r="D1637" s="3" t="s">
        <v>9</v>
      </c>
      <c r="E1637" s="3" t="s">
        <v>5</v>
      </c>
      <c r="F1637" s="3" t="s">
        <v>10</v>
      </c>
      <c r="G1637" s="3" t="s">
        <v>3208</v>
      </c>
      <c r="H1637" s="3" t="s">
        <v>3209</v>
      </c>
      <c r="I1637" s="4">
        <v>1709.05</v>
      </c>
      <c r="J1637" s="3" t="s">
        <v>11</v>
      </c>
    </row>
    <row r="1638" spans="1:10" x14ac:dyDescent="0.35">
      <c r="A1638" s="3">
        <v>103404286</v>
      </c>
      <c r="B1638" s="3" t="s">
        <v>3981</v>
      </c>
      <c r="C1638" s="3" t="str">
        <f t="shared" si="28"/>
        <v>2022-07-05</v>
      </c>
      <c r="D1638" s="3" t="s">
        <v>9</v>
      </c>
      <c r="E1638" s="3" t="s">
        <v>5</v>
      </c>
      <c r="F1638" s="3" t="s">
        <v>10</v>
      </c>
      <c r="G1638" s="3" t="s">
        <v>3982</v>
      </c>
      <c r="H1638" s="3" t="s">
        <v>3983</v>
      </c>
      <c r="I1638" s="5">
        <v>1099</v>
      </c>
      <c r="J1638" s="3" t="s">
        <v>11</v>
      </c>
    </row>
    <row r="1639" spans="1:10" x14ac:dyDescent="0.35">
      <c r="A1639" s="3">
        <v>103404393</v>
      </c>
      <c r="B1639" s="3" t="s">
        <v>3984</v>
      </c>
      <c r="C1639" s="3" t="str">
        <f t="shared" si="28"/>
        <v>2022-07-05</v>
      </c>
      <c r="D1639" s="3" t="s">
        <v>9</v>
      </c>
      <c r="E1639" s="3" t="s">
        <v>5</v>
      </c>
      <c r="F1639" s="3" t="s">
        <v>10</v>
      </c>
      <c r="G1639" s="3" t="s">
        <v>3985</v>
      </c>
      <c r="H1639" s="3" t="s">
        <v>3986</v>
      </c>
      <c r="I1639" s="4">
        <v>3491.25</v>
      </c>
      <c r="J1639" s="3" t="s">
        <v>11</v>
      </c>
    </row>
    <row r="1640" spans="1:10" x14ac:dyDescent="0.35">
      <c r="A1640" s="3">
        <v>103404388</v>
      </c>
      <c r="B1640" s="3" t="s">
        <v>3987</v>
      </c>
      <c r="C1640" s="3" t="str">
        <f t="shared" si="28"/>
        <v>2022-07-05</v>
      </c>
      <c r="D1640" s="3" t="s">
        <v>9</v>
      </c>
      <c r="E1640" s="3" t="s">
        <v>5</v>
      </c>
      <c r="F1640" s="3" t="s">
        <v>12</v>
      </c>
      <c r="G1640" s="3" t="s">
        <v>3988</v>
      </c>
      <c r="H1640" s="3" t="s">
        <v>3989</v>
      </c>
      <c r="I1640" s="4">
        <v>10349.299999999999</v>
      </c>
      <c r="J1640" s="3" t="s">
        <v>11</v>
      </c>
    </row>
    <row r="1641" spans="1:10" x14ac:dyDescent="0.35">
      <c r="A1641" s="3">
        <v>103404386</v>
      </c>
      <c r="B1641" s="3" t="s">
        <v>3990</v>
      </c>
      <c r="C1641" s="3" t="str">
        <f t="shared" si="28"/>
        <v>2022-07-05</v>
      </c>
      <c r="D1641" s="3" t="s">
        <v>9</v>
      </c>
      <c r="E1641" s="3" t="s">
        <v>5</v>
      </c>
      <c r="F1641" s="3" t="s">
        <v>10</v>
      </c>
      <c r="G1641" s="3" t="s">
        <v>3991</v>
      </c>
      <c r="H1641" s="3" t="s">
        <v>3992</v>
      </c>
      <c r="I1641" s="5">
        <v>3747</v>
      </c>
      <c r="J1641" s="3" t="s">
        <v>11</v>
      </c>
    </row>
    <row r="1642" spans="1:10" x14ac:dyDescent="0.35">
      <c r="A1642" s="3">
        <v>103404384</v>
      </c>
      <c r="B1642" s="3" t="s">
        <v>3993</v>
      </c>
      <c r="C1642" s="3" t="str">
        <f t="shared" si="28"/>
        <v>2022-07-05</v>
      </c>
      <c r="D1642" s="3" t="s">
        <v>9</v>
      </c>
      <c r="E1642" s="3" t="s">
        <v>5</v>
      </c>
      <c r="F1642" s="3" t="s">
        <v>10</v>
      </c>
      <c r="G1642" s="3" t="s">
        <v>3994</v>
      </c>
      <c r="H1642" s="3" t="s">
        <v>3995</v>
      </c>
      <c r="I1642" s="5">
        <v>1399</v>
      </c>
      <c r="J1642" s="3" t="s">
        <v>11</v>
      </c>
    </row>
    <row r="1643" spans="1:10" x14ac:dyDescent="0.35">
      <c r="A1643" s="3">
        <v>103404383</v>
      </c>
      <c r="B1643" s="3" t="s">
        <v>3996</v>
      </c>
      <c r="C1643" s="3" t="str">
        <f t="shared" si="28"/>
        <v>2022-07-05</v>
      </c>
      <c r="D1643" s="3" t="s">
        <v>9</v>
      </c>
      <c r="E1643" s="3" t="s">
        <v>5</v>
      </c>
      <c r="F1643" s="3" t="s">
        <v>10</v>
      </c>
      <c r="G1643" s="3" t="s">
        <v>3997</v>
      </c>
      <c r="H1643" s="3" t="s">
        <v>3998</v>
      </c>
      <c r="I1643" s="4">
        <v>1281.55</v>
      </c>
      <c r="J1643" s="3" t="s">
        <v>11</v>
      </c>
    </row>
    <row r="1644" spans="1:10" x14ac:dyDescent="0.35">
      <c r="A1644" s="3">
        <v>103404376</v>
      </c>
      <c r="B1644" s="3" t="s">
        <v>3999</v>
      </c>
      <c r="C1644" s="3" t="str">
        <f t="shared" si="28"/>
        <v>2022-07-05</v>
      </c>
      <c r="D1644" s="3" t="s">
        <v>9</v>
      </c>
      <c r="E1644" s="3" t="s">
        <v>5</v>
      </c>
      <c r="F1644" s="3" t="s">
        <v>10</v>
      </c>
      <c r="G1644" s="3" t="s">
        <v>4000</v>
      </c>
      <c r="H1644" s="3" t="s">
        <v>4001</v>
      </c>
      <c r="I1644" s="4">
        <v>6410.6</v>
      </c>
      <c r="J1644" s="3" t="s">
        <v>11</v>
      </c>
    </row>
    <row r="1645" spans="1:10" x14ac:dyDescent="0.35">
      <c r="A1645" s="3">
        <v>103404277</v>
      </c>
      <c r="B1645" s="3" t="s">
        <v>4002</v>
      </c>
      <c r="C1645" s="3" t="str">
        <f t="shared" si="28"/>
        <v>2022-07-05</v>
      </c>
      <c r="D1645" s="3" t="s">
        <v>9</v>
      </c>
      <c r="E1645" s="3" t="s">
        <v>5</v>
      </c>
      <c r="F1645" s="3" t="s">
        <v>10</v>
      </c>
      <c r="G1645" s="3" t="s">
        <v>4003</v>
      </c>
      <c r="H1645" s="3" t="s">
        <v>4004</v>
      </c>
      <c r="I1645" s="4">
        <v>4321.55</v>
      </c>
      <c r="J1645" s="3" t="s">
        <v>11</v>
      </c>
    </row>
    <row r="1646" spans="1:10" x14ac:dyDescent="0.35">
      <c r="A1646" s="3">
        <v>103404275</v>
      </c>
      <c r="B1646" s="3" t="s">
        <v>4005</v>
      </c>
      <c r="C1646" s="3" t="str">
        <f t="shared" si="28"/>
        <v>2022-07-05</v>
      </c>
      <c r="D1646" s="3" t="s">
        <v>9</v>
      </c>
      <c r="E1646" s="3" t="s">
        <v>5</v>
      </c>
      <c r="F1646" s="3" t="s">
        <v>10</v>
      </c>
      <c r="G1646" s="3" t="s">
        <v>4006</v>
      </c>
      <c r="H1646" s="3" t="s">
        <v>4007</v>
      </c>
      <c r="I1646" s="5">
        <v>2799</v>
      </c>
      <c r="J1646" s="3" t="s">
        <v>11</v>
      </c>
    </row>
    <row r="1647" spans="1:10" x14ac:dyDescent="0.35">
      <c r="A1647" s="3">
        <v>103404273</v>
      </c>
      <c r="B1647" s="3" t="s">
        <v>4008</v>
      </c>
      <c r="C1647" s="3" t="str">
        <f t="shared" si="28"/>
        <v>2022-07-05</v>
      </c>
      <c r="D1647" s="3" t="s">
        <v>9</v>
      </c>
      <c r="E1647" s="3" t="s">
        <v>5</v>
      </c>
      <c r="F1647" s="3" t="s">
        <v>10</v>
      </c>
      <c r="G1647" s="3" t="s">
        <v>4009</v>
      </c>
      <c r="H1647" s="3" t="s">
        <v>4010</v>
      </c>
      <c r="I1647" s="5">
        <v>2499</v>
      </c>
      <c r="J1647" s="3" t="s">
        <v>11</v>
      </c>
    </row>
    <row r="1648" spans="1:10" x14ac:dyDescent="0.35">
      <c r="A1648" s="3">
        <v>103404271</v>
      </c>
      <c r="B1648" s="3" t="s">
        <v>4011</v>
      </c>
      <c r="C1648" s="3" t="str">
        <f t="shared" si="28"/>
        <v>2022-07-05</v>
      </c>
      <c r="D1648" s="3" t="s">
        <v>9</v>
      </c>
      <c r="E1648" s="3" t="s">
        <v>5</v>
      </c>
      <c r="F1648" s="3" t="s">
        <v>10</v>
      </c>
      <c r="G1648" s="3" t="s">
        <v>4012</v>
      </c>
      <c r="H1648" s="3" t="s">
        <v>4013</v>
      </c>
      <c r="I1648" s="5">
        <v>4999</v>
      </c>
      <c r="J1648" s="3" t="s">
        <v>11</v>
      </c>
    </row>
    <row r="1649" spans="1:10" x14ac:dyDescent="0.35">
      <c r="A1649" s="3">
        <v>103404163</v>
      </c>
      <c r="B1649" s="3" t="s">
        <v>4014</v>
      </c>
      <c r="C1649" s="3" t="str">
        <f t="shared" si="28"/>
        <v>2022-07-05</v>
      </c>
      <c r="D1649" s="3" t="s">
        <v>9</v>
      </c>
      <c r="E1649" s="3" t="s">
        <v>5</v>
      </c>
      <c r="F1649" s="3" t="s">
        <v>10</v>
      </c>
      <c r="G1649" s="3" t="s">
        <v>4015</v>
      </c>
      <c r="H1649" s="3" t="s">
        <v>4016</v>
      </c>
      <c r="I1649" s="4">
        <v>2849.05</v>
      </c>
      <c r="J1649" s="3" t="s">
        <v>11</v>
      </c>
    </row>
    <row r="1650" spans="1:10" x14ac:dyDescent="0.35">
      <c r="A1650" s="3">
        <v>103404161</v>
      </c>
      <c r="B1650" s="3" t="s">
        <v>4017</v>
      </c>
      <c r="C1650" s="3" t="str">
        <f t="shared" si="28"/>
        <v>2022-07-05</v>
      </c>
      <c r="D1650" s="3" t="s">
        <v>9</v>
      </c>
      <c r="E1650" s="3" t="s">
        <v>5</v>
      </c>
      <c r="F1650" s="3" t="s">
        <v>10</v>
      </c>
      <c r="G1650" s="3" t="s">
        <v>2741</v>
      </c>
      <c r="H1650" s="3" t="s">
        <v>2742</v>
      </c>
      <c r="I1650" s="5">
        <v>1649</v>
      </c>
      <c r="J1650" s="3" t="s">
        <v>11</v>
      </c>
    </row>
    <row r="1651" spans="1:10" x14ac:dyDescent="0.35">
      <c r="A1651" s="3">
        <v>103404158</v>
      </c>
      <c r="B1651" s="3" t="s">
        <v>4018</v>
      </c>
      <c r="C1651" s="3" t="str">
        <f t="shared" si="28"/>
        <v>2022-07-05</v>
      </c>
      <c r="D1651" s="3" t="s">
        <v>9</v>
      </c>
      <c r="E1651" s="3" t="s">
        <v>5</v>
      </c>
      <c r="F1651" s="3" t="s">
        <v>10</v>
      </c>
      <c r="G1651" s="3" t="s">
        <v>4019</v>
      </c>
      <c r="H1651" s="3" t="s">
        <v>4020</v>
      </c>
      <c r="I1651" s="4">
        <v>2648.79</v>
      </c>
      <c r="J1651" s="3" t="s">
        <v>11</v>
      </c>
    </row>
    <row r="1652" spans="1:10" x14ac:dyDescent="0.35">
      <c r="A1652" s="3">
        <v>103404154</v>
      </c>
      <c r="B1652" s="3" t="s">
        <v>4021</v>
      </c>
      <c r="C1652" s="3" t="str">
        <f t="shared" si="28"/>
        <v>2022-07-05</v>
      </c>
      <c r="D1652" s="3" t="s">
        <v>9</v>
      </c>
      <c r="E1652" s="3" t="s">
        <v>5</v>
      </c>
      <c r="F1652" s="3" t="s">
        <v>10</v>
      </c>
      <c r="G1652" s="3" t="s">
        <v>4022</v>
      </c>
      <c r="H1652" s="3" t="s">
        <v>4023</v>
      </c>
      <c r="I1652" s="4">
        <v>2042.1</v>
      </c>
      <c r="J1652" s="3" t="s">
        <v>11</v>
      </c>
    </row>
    <row r="1653" spans="1:10" x14ac:dyDescent="0.35">
      <c r="A1653" s="3">
        <v>103404153</v>
      </c>
      <c r="B1653" s="3" t="s">
        <v>4024</v>
      </c>
      <c r="C1653" s="3" t="str">
        <f t="shared" si="28"/>
        <v>2022-07-05</v>
      </c>
      <c r="D1653" s="3" t="s">
        <v>9</v>
      </c>
      <c r="E1653" s="3" t="s">
        <v>5</v>
      </c>
      <c r="F1653" s="3" t="s">
        <v>10</v>
      </c>
      <c r="G1653" s="3" t="s">
        <v>4025</v>
      </c>
      <c r="H1653" s="3" t="s">
        <v>4026</v>
      </c>
      <c r="I1653" s="4">
        <v>4274.05</v>
      </c>
      <c r="J1653" s="3" t="s">
        <v>11</v>
      </c>
    </row>
    <row r="1654" spans="1:10" x14ac:dyDescent="0.35">
      <c r="A1654" s="3">
        <v>103404152</v>
      </c>
      <c r="B1654" s="3" t="s">
        <v>4027</v>
      </c>
      <c r="C1654" s="3" t="str">
        <f t="shared" si="28"/>
        <v>2022-07-05</v>
      </c>
      <c r="D1654" s="3" t="s">
        <v>9</v>
      </c>
      <c r="E1654" s="3" t="s">
        <v>5</v>
      </c>
      <c r="F1654" s="3" t="s">
        <v>10</v>
      </c>
      <c r="G1654" s="3" t="s">
        <v>4028</v>
      </c>
      <c r="H1654" s="3" t="s">
        <v>4029</v>
      </c>
      <c r="I1654" s="5">
        <v>9398</v>
      </c>
      <c r="J1654" s="3" t="s">
        <v>11</v>
      </c>
    </row>
    <row r="1655" spans="1:10" x14ac:dyDescent="0.35">
      <c r="A1655" s="3">
        <v>103404260</v>
      </c>
      <c r="B1655" s="3" t="s">
        <v>4030</v>
      </c>
      <c r="C1655" s="3" t="str">
        <f t="shared" si="28"/>
        <v>2022-07-05</v>
      </c>
      <c r="D1655" s="3" t="s">
        <v>9</v>
      </c>
      <c r="E1655" s="3" t="s">
        <v>5</v>
      </c>
      <c r="F1655" s="3" t="s">
        <v>10</v>
      </c>
      <c r="G1655" s="3" t="s">
        <v>4031</v>
      </c>
      <c r="H1655" s="3" t="s">
        <v>4032</v>
      </c>
      <c r="I1655" s="4">
        <v>3704.05</v>
      </c>
      <c r="J1655" s="3" t="s">
        <v>11</v>
      </c>
    </row>
    <row r="1656" spans="1:10" x14ac:dyDescent="0.35">
      <c r="A1656" s="3">
        <v>103404259</v>
      </c>
      <c r="B1656" s="3" t="s">
        <v>4033</v>
      </c>
      <c r="C1656" s="3" t="str">
        <f t="shared" si="28"/>
        <v>2022-07-05</v>
      </c>
      <c r="D1656" s="3" t="s">
        <v>9</v>
      </c>
      <c r="E1656" s="3" t="s">
        <v>5</v>
      </c>
      <c r="F1656" s="3" t="s">
        <v>10</v>
      </c>
      <c r="G1656" s="3" t="s">
        <v>4034</v>
      </c>
      <c r="H1656" s="3" t="s">
        <v>4035</v>
      </c>
      <c r="I1656" s="4">
        <v>1262.55</v>
      </c>
      <c r="J1656" s="3" t="s">
        <v>11</v>
      </c>
    </row>
    <row r="1657" spans="1:10" x14ac:dyDescent="0.35">
      <c r="A1657" s="3">
        <v>103404148</v>
      </c>
      <c r="B1657" s="3" t="s">
        <v>4036</v>
      </c>
      <c r="C1657" s="3" t="str">
        <f t="shared" si="28"/>
        <v>2022-07-05</v>
      </c>
      <c r="D1657" s="3" t="s">
        <v>9</v>
      </c>
      <c r="E1657" s="3" t="s">
        <v>5</v>
      </c>
      <c r="F1657" s="3" t="s">
        <v>10</v>
      </c>
      <c r="G1657" s="3" t="s">
        <v>4037</v>
      </c>
      <c r="H1657" s="3" t="s">
        <v>4038</v>
      </c>
      <c r="I1657" s="5">
        <v>4799</v>
      </c>
      <c r="J1657" s="3" t="s">
        <v>11</v>
      </c>
    </row>
    <row r="1658" spans="1:10" x14ac:dyDescent="0.35">
      <c r="A1658" s="3">
        <v>103404147</v>
      </c>
      <c r="B1658" s="3" t="s">
        <v>4039</v>
      </c>
      <c r="C1658" s="3" t="str">
        <f t="shared" si="28"/>
        <v>2022-07-05</v>
      </c>
      <c r="D1658" s="3" t="s">
        <v>9</v>
      </c>
      <c r="E1658" s="3" t="s">
        <v>5</v>
      </c>
      <c r="F1658" s="3" t="s">
        <v>10</v>
      </c>
      <c r="G1658" s="3" t="s">
        <v>4040</v>
      </c>
      <c r="H1658" s="3" t="s">
        <v>4041</v>
      </c>
      <c r="I1658" s="4">
        <v>3704.05</v>
      </c>
      <c r="J1658" s="3" t="s">
        <v>11</v>
      </c>
    </row>
    <row r="1659" spans="1:10" x14ac:dyDescent="0.35">
      <c r="A1659" s="3">
        <v>103404254</v>
      </c>
      <c r="B1659" s="3" t="s">
        <v>4042</v>
      </c>
      <c r="C1659" s="3" t="str">
        <f t="shared" si="28"/>
        <v>2022-07-05</v>
      </c>
      <c r="D1659" s="3" t="s">
        <v>9</v>
      </c>
      <c r="E1659" s="3" t="s">
        <v>5</v>
      </c>
      <c r="F1659" s="3" t="s">
        <v>10</v>
      </c>
      <c r="G1659" s="3" t="s">
        <v>4043</v>
      </c>
      <c r="H1659" s="3" t="s">
        <v>4044</v>
      </c>
      <c r="I1659" s="4">
        <v>1055.02</v>
      </c>
      <c r="J1659" s="3" t="s">
        <v>11</v>
      </c>
    </row>
    <row r="1660" spans="1:10" x14ac:dyDescent="0.35">
      <c r="A1660" s="3">
        <v>103404145</v>
      </c>
      <c r="B1660" s="3" t="s">
        <v>4045</v>
      </c>
      <c r="C1660" s="3" t="str">
        <f t="shared" si="28"/>
        <v>2022-07-05</v>
      </c>
      <c r="D1660" s="3" t="s">
        <v>9</v>
      </c>
      <c r="E1660" s="3" t="s">
        <v>5</v>
      </c>
      <c r="F1660" s="3" t="s">
        <v>10</v>
      </c>
      <c r="G1660" s="3" t="s">
        <v>4046</v>
      </c>
      <c r="H1660" s="3" t="s">
        <v>4047</v>
      </c>
      <c r="I1660" s="4">
        <v>1259.0999999999999</v>
      </c>
      <c r="J1660" s="3" t="s">
        <v>11</v>
      </c>
    </row>
    <row r="1661" spans="1:10" x14ac:dyDescent="0.35">
      <c r="A1661" s="3">
        <v>103404249</v>
      </c>
      <c r="B1661" s="3" t="s">
        <v>4048</v>
      </c>
      <c r="C1661" s="3" t="str">
        <f t="shared" si="28"/>
        <v>2022-07-05</v>
      </c>
      <c r="D1661" s="3" t="s">
        <v>9</v>
      </c>
      <c r="E1661" s="3" t="s">
        <v>5</v>
      </c>
      <c r="F1661" s="3" t="s">
        <v>10</v>
      </c>
      <c r="G1661" s="3" t="s">
        <v>4049</v>
      </c>
      <c r="H1661" s="3" t="s">
        <v>4050</v>
      </c>
      <c r="I1661" s="3">
        <v>737.1</v>
      </c>
      <c r="J1661" s="3" t="s">
        <v>11</v>
      </c>
    </row>
    <row r="1662" spans="1:10" x14ac:dyDescent="0.35">
      <c r="A1662" s="3">
        <v>103404243</v>
      </c>
      <c r="B1662" s="3" t="s">
        <v>4051</v>
      </c>
      <c r="C1662" s="3" t="str">
        <f t="shared" si="28"/>
        <v>2022-07-05</v>
      </c>
      <c r="D1662" s="3" t="s">
        <v>9</v>
      </c>
      <c r="E1662" s="3" t="s">
        <v>5</v>
      </c>
      <c r="F1662" s="3" t="s">
        <v>10</v>
      </c>
      <c r="G1662" s="3" t="s">
        <v>4052</v>
      </c>
      <c r="H1662" s="3" t="s">
        <v>4053</v>
      </c>
      <c r="I1662" s="4">
        <v>3842.75</v>
      </c>
      <c r="J1662" s="3" t="s">
        <v>11</v>
      </c>
    </row>
    <row r="1663" spans="1:10" x14ac:dyDescent="0.35">
      <c r="A1663" s="3">
        <v>103404138</v>
      </c>
      <c r="B1663" s="3" t="s">
        <v>4054</v>
      </c>
      <c r="C1663" s="3" t="str">
        <f t="shared" si="28"/>
        <v>2022-07-05</v>
      </c>
      <c r="D1663" s="3" t="s">
        <v>9</v>
      </c>
      <c r="E1663" s="3" t="s">
        <v>5</v>
      </c>
      <c r="F1663" s="3" t="s">
        <v>10</v>
      </c>
      <c r="G1663" s="3" t="s">
        <v>4055</v>
      </c>
      <c r="H1663" s="3" t="s">
        <v>4056</v>
      </c>
      <c r="I1663" s="4">
        <v>2374.0500000000002</v>
      </c>
      <c r="J1663" s="3" t="s">
        <v>11</v>
      </c>
    </row>
    <row r="1664" spans="1:10" x14ac:dyDescent="0.35">
      <c r="A1664" s="3">
        <v>103404239</v>
      </c>
      <c r="B1664" s="3" t="s">
        <v>4057</v>
      </c>
      <c r="C1664" s="3" t="str">
        <f t="shared" si="28"/>
        <v>2022-07-05</v>
      </c>
      <c r="D1664" s="3" t="s">
        <v>9</v>
      </c>
      <c r="E1664" s="3" t="s">
        <v>5</v>
      </c>
      <c r="F1664" s="3" t="s">
        <v>12</v>
      </c>
      <c r="G1664" s="3" t="s">
        <v>4058</v>
      </c>
      <c r="H1664" s="3" t="s">
        <v>4059</v>
      </c>
      <c r="I1664" s="3">
        <v>854.05</v>
      </c>
      <c r="J1664" s="3" t="s">
        <v>11</v>
      </c>
    </row>
    <row r="1665" spans="1:10" x14ac:dyDescent="0.35">
      <c r="A1665" s="3">
        <v>103404133</v>
      </c>
      <c r="B1665" s="3" t="s">
        <v>4060</v>
      </c>
      <c r="C1665" s="3" t="str">
        <f t="shared" si="28"/>
        <v>2022-07-05</v>
      </c>
      <c r="D1665" s="3" t="s">
        <v>9</v>
      </c>
      <c r="E1665" s="3" t="s">
        <v>5</v>
      </c>
      <c r="F1665" s="3" t="s">
        <v>10</v>
      </c>
      <c r="G1665" s="3" t="s">
        <v>4061</v>
      </c>
      <c r="H1665" s="3" t="s">
        <v>4062</v>
      </c>
      <c r="I1665" s="4">
        <v>1994.05</v>
      </c>
      <c r="J1665" s="3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B342F-CAF4-4DC4-B555-A4B87F970C7B}">
  <sheetPr codeName="Sheet2"/>
  <dimension ref="A1:H1000"/>
  <sheetViews>
    <sheetView topLeftCell="A974" workbookViewId="0">
      <selection activeCell="A1000" sqref="A1000"/>
    </sheetView>
  </sheetViews>
  <sheetFormatPr defaultRowHeight="14.5" x14ac:dyDescent="0.35"/>
  <cols>
    <col min="1" max="1" width="14.6328125" bestFit="1" customWidth="1"/>
  </cols>
  <sheetData>
    <row r="1" spans="1:8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4075</v>
      </c>
      <c r="G1" t="s">
        <v>4069</v>
      </c>
      <c r="H1" t="s">
        <v>4077</v>
      </c>
    </row>
    <row r="2" spans="1:8" x14ac:dyDescent="0.35">
      <c r="A2">
        <v>103401658</v>
      </c>
      <c r="B2" t="s">
        <v>4076</v>
      </c>
      <c r="C2" s="2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</row>
    <row r="3" spans="1:8" x14ac:dyDescent="0.35">
      <c r="A3">
        <v>103401843</v>
      </c>
      <c r="B3" t="s">
        <v>4076</v>
      </c>
      <c r="C3" s="2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</row>
    <row r="4" spans="1:8" x14ac:dyDescent="0.35">
      <c r="A4">
        <v>103401893</v>
      </c>
      <c r="B4" t="s">
        <v>4076</v>
      </c>
      <c r="C4" s="2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</row>
    <row r="5" spans="1:8" x14ac:dyDescent="0.35">
      <c r="A5">
        <v>103401922</v>
      </c>
      <c r="B5" t="s">
        <v>4076</v>
      </c>
      <c r="C5" s="2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</row>
    <row r="6" spans="1:8" x14ac:dyDescent="0.35">
      <c r="A6">
        <v>103402075</v>
      </c>
      <c r="B6" t="s">
        <v>4076</v>
      </c>
      <c r="C6" s="2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8" x14ac:dyDescent="0.35">
      <c r="A7">
        <v>103402362</v>
      </c>
      <c r="B7" t="s">
        <v>4076</v>
      </c>
      <c r="C7" s="2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8" x14ac:dyDescent="0.35">
      <c r="A8">
        <v>103402414</v>
      </c>
      <c r="B8" t="s">
        <v>4076</v>
      </c>
      <c r="C8" s="2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8" x14ac:dyDescent="0.35">
      <c r="A9">
        <v>103402498</v>
      </c>
      <c r="B9" t="s">
        <v>4076</v>
      </c>
      <c r="C9" s="2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8" x14ac:dyDescent="0.35">
      <c r="A10">
        <v>103402675</v>
      </c>
      <c r="B10" t="s">
        <v>4076</v>
      </c>
      <c r="C10" s="2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8" x14ac:dyDescent="0.35">
      <c r="A11">
        <v>103403822</v>
      </c>
      <c r="B11" t="s">
        <v>4076</v>
      </c>
      <c r="C11" s="2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8" x14ac:dyDescent="0.35">
      <c r="A12">
        <v>103404031</v>
      </c>
      <c r="B12" t="s">
        <v>4076</v>
      </c>
      <c r="C12" s="2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8" x14ac:dyDescent="0.35">
      <c r="A13">
        <v>103404552</v>
      </c>
      <c r="B13" t="s">
        <v>4076</v>
      </c>
      <c r="C13" s="2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8" x14ac:dyDescent="0.35">
      <c r="A14">
        <v>103404993</v>
      </c>
      <c r="B14" t="s">
        <v>4076</v>
      </c>
      <c r="C14" s="2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8" x14ac:dyDescent="0.35">
      <c r="A15">
        <v>103405104</v>
      </c>
      <c r="B15" t="s">
        <v>4076</v>
      </c>
      <c r="C15" s="2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8" x14ac:dyDescent="0.35">
      <c r="A16">
        <v>103405130</v>
      </c>
      <c r="B16" t="s">
        <v>4076</v>
      </c>
      <c r="C16" s="2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x14ac:dyDescent="0.35">
      <c r="A17">
        <v>103405821</v>
      </c>
      <c r="B17" t="s">
        <v>4076</v>
      </c>
      <c r="C17" s="2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x14ac:dyDescent="0.35">
      <c r="A18">
        <v>103406263</v>
      </c>
      <c r="B18" t="s">
        <v>4076</v>
      </c>
      <c r="C18" s="2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x14ac:dyDescent="0.35">
      <c r="A19">
        <v>103406502</v>
      </c>
      <c r="B19" t="s">
        <v>4076</v>
      </c>
      <c r="C19" s="2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x14ac:dyDescent="0.35">
      <c r="A20">
        <v>103406605</v>
      </c>
      <c r="B20" t="s">
        <v>4076</v>
      </c>
      <c r="C20" s="2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x14ac:dyDescent="0.35">
      <c r="A21">
        <v>103406788</v>
      </c>
      <c r="B21" t="s">
        <v>4076</v>
      </c>
      <c r="C21" s="2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x14ac:dyDescent="0.35">
      <c r="A22">
        <v>103406814</v>
      </c>
      <c r="B22" t="s">
        <v>4076</v>
      </c>
      <c r="C22" s="2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x14ac:dyDescent="0.35">
      <c r="A23">
        <v>103407143</v>
      </c>
      <c r="B23" t="s">
        <v>4076</v>
      </c>
      <c r="C23" s="2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x14ac:dyDescent="0.35">
      <c r="A24">
        <v>103407196</v>
      </c>
      <c r="B24" t="s">
        <v>4076</v>
      </c>
      <c r="C24" s="2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x14ac:dyDescent="0.35">
      <c r="A25">
        <v>103407198</v>
      </c>
      <c r="B25" t="s">
        <v>4076</v>
      </c>
      <c r="C25" s="2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x14ac:dyDescent="0.35">
      <c r="A26">
        <v>103407202</v>
      </c>
      <c r="B26" t="s">
        <v>4076</v>
      </c>
      <c r="C26" s="2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x14ac:dyDescent="0.35">
      <c r="A27">
        <v>103407204</v>
      </c>
      <c r="B27" t="s">
        <v>4076</v>
      </c>
      <c r="C27" s="2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x14ac:dyDescent="0.35">
      <c r="A28">
        <v>103407209</v>
      </c>
      <c r="B28" t="s">
        <v>4076</v>
      </c>
      <c r="C28" s="2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x14ac:dyDescent="0.35">
      <c r="A29">
        <v>103407210</v>
      </c>
      <c r="B29" t="s">
        <v>4076</v>
      </c>
      <c r="C29" s="2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x14ac:dyDescent="0.35">
      <c r="A30">
        <v>103407212</v>
      </c>
      <c r="B30" t="s">
        <v>4076</v>
      </c>
      <c r="C30" s="2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x14ac:dyDescent="0.35">
      <c r="A31">
        <v>103407213</v>
      </c>
      <c r="B31" t="s">
        <v>4076</v>
      </c>
      <c r="C31" s="2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x14ac:dyDescent="0.35">
      <c r="A32">
        <v>103407220</v>
      </c>
      <c r="B32" t="s">
        <v>4076</v>
      </c>
      <c r="C32" s="2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x14ac:dyDescent="0.35">
      <c r="A33">
        <v>103407225</v>
      </c>
      <c r="B33" t="s">
        <v>4076</v>
      </c>
      <c r="C33" s="2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x14ac:dyDescent="0.35">
      <c r="A34">
        <v>103407226</v>
      </c>
      <c r="B34" t="s">
        <v>4076</v>
      </c>
      <c r="C34" s="2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x14ac:dyDescent="0.35">
      <c r="A35">
        <v>103407228</v>
      </c>
      <c r="B35" t="s">
        <v>4076</v>
      </c>
      <c r="C35" s="2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x14ac:dyDescent="0.35">
      <c r="A36">
        <v>103407234</v>
      </c>
      <c r="B36" t="s">
        <v>4076</v>
      </c>
      <c r="C36" s="2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x14ac:dyDescent="0.35">
      <c r="A37">
        <v>103407240</v>
      </c>
      <c r="B37" t="s">
        <v>4076</v>
      </c>
      <c r="C37" s="2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x14ac:dyDescent="0.35">
      <c r="A38">
        <v>103407245</v>
      </c>
      <c r="B38" t="s">
        <v>4076</v>
      </c>
      <c r="C38" s="2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x14ac:dyDescent="0.35">
      <c r="A39">
        <v>103407248</v>
      </c>
      <c r="B39" t="s">
        <v>4076</v>
      </c>
      <c r="C39" s="2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x14ac:dyDescent="0.35">
      <c r="A40">
        <v>103407251</v>
      </c>
      <c r="B40" t="s">
        <v>4076</v>
      </c>
      <c r="C40" s="2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x14ac:dyDescent="0.35">
      <c r="A41">
        <v>103407253</v>
      </c>
      <c r="B41" t="s">
        <v>4076</v>
      </c>
      <c r="C41" s="2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x14ac:dyDescent="0.35">
      <c r="A42">
        <v>103407264</v>
      </c>
      <c r="B42" t="s">
        <v>4076</v>
      </c>
      <c r="C42" s="2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x14ac:dyDescent="0.35">
      <c r="A43">
        <v>103407274</v>
      </c>
      <c r="B43" t="s">
        <v>4076</v>
      </c>
      <c r="C43" s="2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x14ac:dyDescent="0.35">
      <c r="A44">
        <v>103407275</v>
      </c>
      <c r="B44" t="s">
        <v>4076</v>
      </c>
      <c r="C44" s="2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x14ac:dyDescent="0.35">
      <c r="A45">
        <v>103407276</v>
      </c>
      <c r="B45" t="s">
        <v>4076</v>
      </c>
      <c r="C45" s="2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x14ac:dyDescent="0.35">
      <c r="A46">
        <v>103407278</v>
      </c>
      <c r="B46" t="s">
        <v>4076</v>
      </c>
      <c r="C46" s="2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x14ac:dyDescent="0.35">
      <c r="A47">
        <v>103407280</v>
      </c>
      <c r="B47" t="s">
        <v>4076</v>
      </c>
      <c r="C47" s="2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x14ac:dyDescent="0.35">
      <c r="A48">
        <v>103407281</v>
      </c>
      <c r="B48" t="s">
        <v>4076</v>
      </c>
      <c r="C48" s="2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x14ac:dyDescent="0.35">
      <c r="A49">
        <v>103407283</v>
      </c>
      <c r="B49" t="s">
        <v>4076</v>
      </c>
      <c r="C49" s="2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x14ac:dyDescent="0.35">
      <c r="A50">
        <v>103407288</v>
      </c>
      <c r="B50" t="s">
        <v>4076</v>
      </c>
      <c r="C50" s="2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x14ac:dyDescent="0.35">
      <c r="A51">
        <v>103407289</v>
      </c>
      <c r="B51" t="s">
        <v>4076</v>
      </c>
      <c r="C51" s="2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x14ac:dyDescent="0.35">
      <c r="A52">
        <v>103407291</v>
      </c>
      <c r="B52" t="s">
        <v>4076</v>
      </c>
      <c r="C52" s="2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x14ac:dyDescent="0.35">
      <c r="A53">
        <v>103407305</v>
      </c>
      <c r="B53" t="s">
        <v>4076</v>
      </c>
      <c r="C53" s="2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x14ac:dyDescent="0.35">
      <c r="A54">
        <v>103407309</v>
      </c>
      <c r="B54" t="s">
        <v>4076</v>
      </c>
      <c r="C54" s="2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x14ac:dyDescent="0.35">
      <c r="A55">
        <v>103407310</v>
      </c>
      <c r="B55" t="s">
        <v>4076</v>
      </c>
      <c r="C55" s="2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x14ac:dyDescent="0.35">
      <c r="A56">
        <v>103407311</v>
      </c>
      <c r="B56" t="s">
        <v>4076</v>
      </c>
      <c r="C56" s="2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x14ac:dyDescent="0.35">
      <c r="A57">
        <v>103407312</v>
      </c>
      <c r="B57" t="s">
        <v>4076</v>
      </c>
      <c r="C57" s="2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x14ac:dyDescent="0.35">
      <c r="A58">
        <v>103407313</v>
      </c>
      <c r="B58" t="s">
        <v>4076</v>
      </c>
      <c r="C58" s="2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x14ac:dyDescent="0.35">
      <c r="A59">
        <v>103407328</v>
      </c>
      <c r="B59" t="s">
        <v>4076</v>
      </c>
      <c r="C59" s="2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x14ac:dyDescent="0.35">
      <c r="A60">
        <v>103407349</v>
      </c>
      <c r="B60" t="s">
        <v>4076</v>
      </c>
      <c r="C60" s="2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x14ac:dyDescent="0.35">
      <c r="A61">
        <v>103407360</v>
      </c>
      <c r="B61" t="s">
        <v>4076</v>
      </c>
      <c r="C61" s="2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x14ac:dyDescent="0.35">
      <c r="A62">
        <v>103407361</v>
      </c>
      <c r="B62" t="s">
        <v>4076</v>
      </c>
      <c r="C62" s="2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x14ac:dyDescent="0.35">
      <c r="A63">
        <v>103407363</v>
      </c>
      <c r="B63" t="s">
        <v>4076</v>
      </c>
      <c r="C63" s="2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x14ac:dyDescent="0.35">
      <c r="A64">
        <v>103407365</v>
      </c>
      <c r="B64" t="s">
        <v>4076</v>
      </c>
      <c r="C64" s="2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x14ac:dyDescent="0.35">
      <c r="A65">
        <v>103407367</v>
      </c>
      <c r="B65" t="s">
        <v>4076</v>
      </c>
      <c r="C65" s="2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x14ac:dyDescent="0.35">
      <c r="A66">
        <v>103407374</v>
      </c>
      <c r="B66" t="s">
        <v>4076</v>
      </c>
      <c r="C66" s="2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x14ac:dyDescent="0.35">
      <c r="A67">
        <v>103407376</v>
      </c>
      <c r="B67" t="s">
        <v>4076</v>
      </c>
      <c r="C67" s="2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x14ac:dyDescent="0.35">
      <c r="A68">
        <v>103407377</v>
      </c>
      <c r="B68" t="s">
        <v>4076</v>
      </c>
      <c r="C68" s="2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x14ac:dyDescent="0.35">
      <c r="A69">
        <v>103407381</v>
      </c>
      <c r="B69" t="s">
        <v>4076</v>
      </c>
      <c r="C69" s="2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x14ac:dyDescent="0.35">
      <c r="A70">
        <v>103407392</v>
      </c>
      <c r="B70" t="s">
        <v>4076</v>
      </c>
      <c r="C70" s="2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x14ac:dyDescent="0.35">
      <c r="A71">
        <v>103407402</v>
      </c>
      <c r="B71" t="s">
        <v>4076</v>
      </c>
      <c r="C71" s="2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x14ac:dyDescent="0.35">
      <c r="A72">
        <v>103407405</v>
      </c>
      <c r="B72" t="s">
        <v>4076</v>
      </c>
      <c r="C72" s="2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x14ac:dyDescent="0.35">
      <c r="A73">
        <v>103407406</v>
      </c>
      <c r="B73" t="s">
        <v>4076</v>
      </c>
      <c r="C73" s="2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x14ac:dyDescent="0.35">
      <c r="A74">
        <v>103407408</v>
      </c>
      <c r="B74" t="s">
        <v>4076</v>
      </c>
      <c r="C74" s="2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x14ac:dyDescent="0.35">
      <c r="A75">
        <v>103407410</v>
      </c>
      <c r="B75" t="s">
        <v>4076</v>
      </c>
      <c r="C75" s="2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x14ac:dyDescent="0.35">
      <c r="A76">
        <v>103407422</v>
      </c>
      <c r="B76" t="s">
        <v>4076</v>
      </c>
      <c r="C76" s="2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x14ac:dyDescent="0.35">
      <c r="A77">
        <v>103407425</v>
      </c>
      <c r="B77" t="s">
        <v>4076</v>
      </c>
      <c r="C77" s="2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x14ac:dyDescent="0.35">
      <c r="A78">
        <v>103407426</v>
      </c>
      <c r="B78" t="s">
        <v>4076</v>
      </c>
      <c r="C78" s="2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x14ac:dyDescent="0.35">
      <c r="A79">
        <v>103407428</v>
      </c>
      <c r="B79" t="s">
        <v>4076</v>
      </c>
      <c r="C79" s="2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x14ac:dyDescent="0.35">
      <c r="A80">
        <v>103407431</v>
      </c>
      <c r="B80" t="s">
        <v>4076</v>
      </c>
      <c r="C80" s="2">
        <v>44748</v>
      </c>
      <c r="D80">
        <v>1136.25</v>
      </c>
      <c r="E80">
        <v>1</v>
      </c>
      <c r="F80">
        <v>1</v>
      </c>
      <c r="G80">
        <v>1136.25</v>
      </c>
      <c r="H80">
        <v>1136.25</v>
      </c>
    </row>
    <row r="81" spans="1:8" x14ac:dyDescent="0.35">
      <c r="A81">
        <v>103407434</v>
      </c>
      <c r="B81" t="s">
        <v>4076</v>
      </c>
      <c r="C81" s="2">
        <v>44748</v>
      </c>
      <c r="D81">
        <v>3899</v>
      </c>
      <c r="E81">
        <v>1</v>
      </c>
      <c r="F81">
        <v>1</v>
      </c>
      <c r="G81">
        <v>3899</v>
      </c>
      <c r="H81">
        <v>3899</v>
      </c>
    </row>
    <row r="82" spans="1:8" x14ac:dyDescent="0.35">
      <c r="A82">
        <v>103407459</v>
      </c>
      <c r="B82" t="s">
        <v>4076</v>
      </c>
      <c r="C82" s="2">
        <v>44748</v>
      </c>
      <c r="D82">
        <v>417.05</v>
      </c>
      <c r="E82">
        <v>1</v>
      </c>
      <c r="F82">
        <v>1</v>
      </c>
      <c r="G82">
        <v>417.05</v>
      </c>
      <c r="H82">
        <v>417.05</v>
      </c>
    </row>
    <row r="83" spans="1:8" x14ac:dyDescent="0.35">
      <c r="A83">
        <v>103407466</v>
      </c>
      <c r="B83" t="s">
        <v>4076</v>
      </c>
      <c r="C83" s="2">
        <v>44748</v>
      </c>
      <c r="D83">
        <v>4199</v>
      </c>
      <c r="E83">
        <v>1</v>
      </c>
      <c r="F83">
        <v>1</v>
      </c>
      <c r="G83">
        <v>4199</v>
      </c>
      <c r="H83">
        <v>4199</v>
      </c>
    </row>
    <row r="84" spans="1:8" x14ac:dyDescent="0.35">
      <c r="A84">
        <v>103407474</v>
      </c>
      <c r="B84" t="s">
        <v>4076</v>
      </c>
      <c r="C84" s="2">
        <v>44748</v>
      </c>
      <c r="D84">
        <v>1259</v>
      </c>
      <c r="E84">
        <v>1</v>
      </c>
      <c r="F84">
        <v>1</v>
      </c>
      <c r="G84">
        <v>1259</v>
      </c>
      <c r="H84">
        <v>1259</v>
      </c>
    </row>
    <row r="85" spans="1:8" x14ac:dyDescent="0.35">
      <c r="A85">
        <v>103407475</v>
      </c>
      <c r="B85" t="s">
        <v>4076</v>
      </c>
      <c r="C85" s="2">
        <v>44748</v>
      </c>
      <c r="D85">
        <v>489</v>
      </c>
      <c r="E85">
        <v>1</v>
      </c>
      <c r="F85">
        <v>1</v>
      </c>
      <c r="G85">
        <v>489</v>
      </c>
      <c r="H85">
        <v>489</v>
      </c>
    </row>
    <row r="86" spans="1:8" x14ac:dyDescent="0.35">
      <c r="A86">
        <v>103407478</v>
      </c>
      <c r="B86" t="s">
        <v>4076</v>
      </c>
      <c r="C86" s="2">
        <v>44748</v>
      </c>
      <c r="D86">
        <v>2549</v>
      </c>
      <c r="E86">
        <v>1</v>
      </c>
      <c r="F86">
        <v>1</v>
      </c>
      <c r="G86">
        <v>2549</v>
      </c>
      <c r="H86">
        <v>2549</v>
      </c>
    </row>
    <row r="87" spans="1:8" x14ac:dyDescent="0.35">
      <c r="A87">
        <v>103407480</v>
      </c>
      <c r="B87" t="s">
        <v>4076</v>
      </c>
      <c r="C87" s="2">
        <v>44748</v>
      </c>
      <c r="D87">
        <v>2199</v>
      </c>
      <c r="E87">
        <v>1</v>
      </c>
      <c r="F87">
        <v>1</v>
      </c>
      <c r="G87">
        <v>2199</v>
      </c>
      <c r="H87">
        <v>2199</v>
      </c>
    </row>
    <row r="88" spans="1:8" x14ac:dyDescent="0.35">
      <c r="A88">
        <v>103407482</v>
      </c>
      <c r="B88" t="s">
        <v>4076</v>
      </c>
      <c r="C88" s="2">
        <v>44748</v>
      </c>
      <c r="D88">
        <v>2241.0500000000002</v>
      </c>
      <c r="E88">
        <v>1</v>
      </c>
      <c r="F88">
        <v>1</v>
      </c>
      <c r="G88">
        <v>2241.0500000000002</v>
      </c>
      <c r="H88">
        <v>2241.0500000000002</v>
      </c>
    </row>
    <row r="89" spans="1:8" x14ac:dyDescent="0.35">
      <c r="A89">
        <v>103407483</v>
      </c>
      <c r="B89" t="s">
        <v>4076</v>
      </c>
      <c r="C89" s="2">
        <v>44748</v>
      </c>
      <c r="D89">
        <v>3590.14</v>
      </c>
      <c r="E89">
        <v>1</v>
      </c>
      <c r="F89">
        <v>1</v>
      </c>
      <c r="G89">
        <v>3590.14</v>
      </c>
      <c r="H89">
        <v>3590.14</v>
      </c>
    </row>
    <row r="90" spans="1:8" x14ac:dyDescent="0.35">
      <c r="A90">
        <v>103407488</v>
      </c>
      <c r="B90" t="s">
        <v>4076</v>
      </c>
      <c r="C90" s="2">
        <v>44748</v>
      </c>
      <c r="D90">
        <v>3999</v>
      </c>
      <c r="E90">
        <v>1</v>
      </c>
      <c r="F90">
        <v>1</v>
      </c>
      <c r="G90">
        <v>3999</v>
      </c>
      <c r="H90">
        <v>3999</v>
      </c>
    </row>
    <row r="91" spans="1:8" x14ac:dyDescent="0.35">
      <c r="A91">
        <v>103407489</v>
      </c>
      <c r="B91" t="s">
        <v>4076</v>
      </c>
      <c r="C91" s="2">
        <v>44748</v>
      </c>
      <c r="D91">
        <v>1551.4</v>
      </c>
      <c r="E91">
        <v>1</v>
      </c>
      <c r="F91">
        <v>1</v>
      </c>
      <c r="G91">
        <v>1551.4</v>
      </c>
      <c r="H91">
        <v>1551.4</v>
      </c>
    </row>
    <row r="92" spans="1:8" x14ac:dyDescent="0.35">
      <c r="A92">
        <v>103407491</v>
      </c>
      <c r="B92" t="s">
        <v>4076</v>
      </c>
      <c r="C92" s="2">
        <v>44748</v>
      </c>
      <c r="D92">
        <v>2399</v>
      </c>
      <c r="E92">
        <v>1</v>
      </c>
      <c r="F92">
        <v>1</v>
      </c>
      <c r="G92">
        <v>2399</v>
      </c>
      <c r="H92">
        <v>2399</v>
      </c>
    </row>
    <row r="93" spans="1:8" x14ac:dyDescent="0.35">
      <c r="A93">
        <v>103407494</v>
      </c>
      <c r="B93" t="s">
        <v>4076</v>
      </c>
      <c r="C93" s="2">
        <v>44748</v>
      </c>
      <c r="D93">
        <v>3324.05</v>
      </c>
      <c r="E93">
        <v>1</v>
      </c>
      <c r="F93">
        <v>1</v>
      </c>
      <c r="G93">
        <v>3324.05</v>
      </c>
      <c r="H93">
        <v>3324.05</v>
      </c>
    </row>
    <row r="94" spans="1:8" x14ac:dyDescent="0.35">
      <c r="A94">
        <v>103407503</v>
      </c>
      <c r="B94" t="s">
        <v>4076</v>
      </c>
      <c r="C94" s="2">
        <v>44748</v>
      </c>
      <c r="D94">
        <v>2279.0500000000002</v>
      </c>
      <c r="E94">
        <v>1</v>
      </c>
      <c r="F94">
        <v>1</v>
      </c>
      <c r="G94">
        <v>2279.0500000000002</v>
      </c>
      <c r="H94">
        <v>2279.0500000000002</v>
      </c>
    </row>
    <row r="95" spans="1:8" x14ac:dyDescent="0.35">
      <c r="A95">
        <v>103407505</v>
      </c>
      <c r="B95" t="s">
        <v>4076</v>
      </c>
      <c r="C95" s="2">
        <v>44748</v>
      </c>
      <c r="D95">
        <v>540.6</v>
      </c>
      <c r="E95">
        <v>1</v>
      </c>
      <c r="F95">
        <v>1</v>
      </c>
      <c r="G95">
        <v>540.6</v>
      </c>
      <c r="H95">
        <v>540.6</v>
      </c>
    </row>
    <row r="96" spans="1:8" x14ac:dyDescent="0.35">
      <c r="A96">
        <v>103407506</v>
      </c>
      <c r="B96" t="s">
        <v>4076</v>
      </c>
      <c r="C96" s="2">
        <v>44748</v>
      </c>
      <c r="D96">
        <v>2051.14</v>
      </c>
      <c r="E96">
        <v>1</v>
      </c>
      <c r="F96">
        <v>1</v>
      </c>
      <c r="G96">
        <v>2051.14</v>
      </c>
      <c r="H96">
        <v>2051.14</v>
      </c>
    </row>
    <row r="97" spans="1:8" x14ac:dyDescent="0.35">
      <c r="A97">
        <v>103407508</v>
      </c>
      <c r="B97" t="s">
        <v>4076</v>
      </c>
      <c r="C97" s="2">
        <v>44748</v>
      </c>
      <c r="D97">
        <v>2089.0500000000002</v>
      </c>
      <c r="E97">
        <v>1</v>
      </c>
      <c r="F97">
        <v>1</v>
      </c>
      <c r="G97">
        <v>2089.0500000000002</v>
      </c>
      <c r="H97">
        <v>2089.0500000000002</v>
      </c>
    </row>
    <row r="98" spans="1:8" x14ac:dyDescent="0.35">
      <c r="A98">
        <v>103407511</v>
      </c>
      <c r="B98" t="s">
        <v>4076</v>
      </c>
      <c r="C98" s="2">
        <v>44748</v>
      </c>
      <c r="D98">
        <v>1079</v>
      </c>
      <c r="E98">
        <v>1</v>
      </c>
      <c r="F98">
        <v>1</v>
      </c>
      <c r="G98">
        <v>1079</v>
      </c>
      <c r="H98">
        <v>1079</v>
      </c>
    </row>
    <row r="99" spans="1:8" x14ac:dyDescent="0.35">
      <c r="A99">
        <v>103407514</v>
      </c>
      <c r="B99" t="s">
        <v>4076</v>
      </c>
      <c r="C99" s="2">
        <v>44748</v>
      </c>
      <c r="D99">
        <v>3149</v>
      </c>
      <c r="E99">
        <v>1</v>
      </c>
      <c r="F99">
        <v>1</v>
      </c>
      <c r="G99">
        <v>3149</v>
      </c>
      <c r="H99">
        <v>3149</v>
      </c>
    </row>
    <row r="100" spans="1:8" x14ac:dyDescent="0.35">
      <c r="A100">
        <v>103407518</v>
      </c>
      <c r="B100" t="s">
        <v>4076</v>
      </c>
      <c r="C100" s="2">
        <v>44748</v>
      </c>
      <c r="D100">
        <v>3656.55</v>
      </c>
      <c r="E100">
        <v>1</v>
      </c>
      <c r="F100">
        <v>1</v>
      </c>
      <c r="G100">
        <v>3656.55</v>
      </c>
      <c r="H100">
        <v>3656.55</v>
      </c>
    </row>
    <row r="101" spans="1:8" x14ac:dyDescent="0.35">
      <c r="A101">
        <v>103407523</v>
      </c>
      <c r="B101" t="s">
        <v>4076</v>
      </c>
      <c r="C101" s="2">
        <v>44748</v>
      </c>
      <c r="D101">
        <v>2393.14</v>
      </c>
      <c r="E101">
        <v>1</v>
      </c>
      <c r="F101">
        <v>1</v>
      </c>
      <c r="G101">
        <v>2393.14</v>
      </c>
      <c r="H101">
        <v>2393.14</v>
      </c>
    </row>
    <row r="102" spans="1:8" x14ac:dyDescent="0.35">
      <c r="A102">
        <v>103407526</v>
      </c>
      <c r="B102" t="s">
        <v>4076</v>
      </c>
      <c r="C102" s="2">
        <v>44748</v>
      </c>
      <c r="D102">
        <v>2098.5</v>
      </c>
      <c r="E102">
        <v>2</v>
      </c>
      <c r="F102">
        <v>1</v>
      </c>
      <c r="G102">
        <v>1049.25</v>
      </c>
      <c r="H102">
        <v>2098.5</v>
      </c>
    </row>
    <row r="103" spans="1:8" x14ac:dyDescent="0.35">
      <c r="A103">
        <v>103407532</v>
      </c>
      <c r="B103" t="s">
        <v>4076</v>
      </c>
      <c r="C103" s="2">
        <v>44748</v>
      </c>
      <c r="D103">
        <v>4008.05</v>
      </c>
      <c r="E103">
        <v>1</v>
      </c>
      <c r="F103">
        <v>1</v>
      </c>
      <c r="G103">
        <v>4008.05</v>
      </c>
      <c r="H103">
        <v>4008.05</v>
      </c>
    </row>
    <row r="104" spans="1:8" x14ac:dyDescent="0.35">
      <c r="A104">
        <v>103407533</v>
      </c>
      <c r="B104" t="s">
        <v>4076</v>
      </c>
      <c r="C104" s="2">
        <v>44748</v>
      </c>
      <c r="D104">
        <v>1259</v>
      </c>
      <c r="E104">
        <v>1</v>
      </c>
      <c r="F104">
        <v>1</v>
      </c>
      <c r="G104">
        <v>1259</v>
      </c>
      <c r="H104">
        <v>1259</v>
      </c>
    </row>
    <row r="105" spans="1:8" x14ac:dyDescent="0.35">
      <c r="A105">
        <v>103407538</v>
      </c>
      <c r="B105" t="s">
        <v>4076</v>
      </c>
      <c r="C105" s="2">
        <v>44748</v>
      </c>
      <c r="D105">
        <v>4962.8500000000004</v>
      </c>
      <c r="E105">
        <v>1</v>
      </c>
      <c r="F105">
        <v>1</v>
      </c>
      <c r="G105">
        <v>4962.8500000000004</v>
      </c>
      <c r="H105">
        <v>4962.8500000000004</v>
      </c>
    </row>
    <row r="106" spans="1:8" x14ac:dyDescent="0.35">
      <c r="A106">
        <v>103407539</v>
      </c>
      <c r="B106" t="s">
        <v>4076</v>
      </c>
      <c r="C106" s="2">
        <v>44748</v>
      </c>
      <c r="D106">
        <v>1499</v>
      </c>
      <c r="E106">
        <v>1</v>
      </c>
      <c r="F106">
        <v>1</v>
      </c>
      <c r="G106">
        <v>1499</v>
      </c>
      <c r="H106">
        <v>1499</v>
      </c>
    </row>
    <row r="107" spans="1:8" x14ac:dyDescent="0.35">
      <c r="A107">
        <v>103407544</v>
      </c>
      <c r="B107" t="s">
        <v>4076</v>
      </c>
      <c r="C107" s="2">
        <v>44748</v>
      </c>
      <c r="D107">
        <v>1259</v>
      </c>
      <c r="E107">
        <v>1</v>
      </c>
      <c r="F107">
        <v>1</v>
      </c>
      <c r="G107">
        <v>1259</v>
      </c>
      <c r="H107">
        <v>1259</v>
      </c>
    </row>
    <row r="108" spans="1:8" x14ac:dyDescent="0.35">
      <c r="A108">
        <v>103407547</v>
      </c>
      <c r="B108" t="s">
        <v>4076</v>
      </c>
      <c r="C108" s="2">
        <v>44748</v>
      </c>
      <c r="D108">
        <v>649</v>
      </c>
      <c r="E108">
        <v>1</v>
      </c>
      <c r="F108">
        <v>1</v>
      </c>
      <c r="G108">
        <v>649</v>
      </c>
      <c r="H108">
        <v>649</v>
      </c>
    </row>
    <row r="109" spans="1:8" x14ac:dyDescent="0.35">
      <c r="A109">
        <v>103407550</v>
      </c>
      <c r="B109" t="s">
        <v>4076</v>
      </c>
      <c r="C109" s="2">
        <v>44748</v>
      </c>
      <c r="D109">
        <v>4499</v>
      </c>
      <c r="E109">
        <v>1</v>
      </c>
      <c r="F109">
        <v>1</v>
      </c>
      <c r="G109">
        <v>4499</v>
      </c>
      <c r="H109">
        <v>4499</v>
      </c>
    </row>
    <row r="110" spans="1:8" x14ac:dyDescent="0.35">
      <c r="A110">
        <v>103407555</v>
      </c>
      <c r="B110" t="s">
        <v>4076</v>
      </c>
      <c r="C110" s="2">
        <v>44748</v>
      </c>
      <c r="D110">
        <v>2699</v>
      </c>
      <c r="E110">
        <v>1</v>
      </c>
      <c r="F110">
        <v>1</v>
      </c>
      <c r="G110">
        <v>2699</v>
      </c>
      <c r="H110">
        <v>2699</v>
      </c>
    </row>
    <row r="111" spans="1:8" x14ac:dyDescent="0.35">
      <c r="A111">
        <v>103407556</v>
      </c>
      <c r="B111" t="s">
        <v>4076</v>
      </c>
      <c r="C111" s="2">
        <v>44748</v>
      </c>
      <c r="D111">
        <v>2715.1</v>
      </c>
      <c r="E111">
        <v>2</v>
      </c>
      <c r="F111">
        <v>1</v>
      </c>
      <c r="G111">
        <v>1357.55</v>
      </c>
      <c r="H111">
        <v>2715.1</v>
      </c>
    </row>
    <row r="112" spans="1:8" x14ac:dyDescent="0.35">
      <c r="A112">
        <v>103407557</v>
      </c>
      <c r="B112" t="s">
        <v>4076</v>
      </c>
      <c r="C112" s="2">
        <v>44748</v>
      </c>
      <c r="D112">
        <v>759.05</v>
      </c>
      <c r="E112">
        <v>1</v>
      </c>
      <c r="F112">
        <v>1</v>
      </c>
      <c r="G112">
        <v>759.05</v>
      </c>
      <c r="H112">
        <v>759.05</v>
      </c>
    </row>
    <row r="113" spans="1:8" x14ac:dyDescent="0.35">
      <c r="A113">
        <v>103407558</v>
      </c>
      <c r="B113" t="s">
        <v>4076</v>
      </c>
      <c r="C113" s="2">
        <v>44748</v>
      </c>
      <c r="D113">
        <v>3116</v>
      </c>
      <c r="E113">
        <v>4</v>
      </c>
      <c r="F113">
        <v>1</v>
      </c>
      <c r="G113">
        <v>779</v>
      </c>
      <c r="H113">
        <v>3116</v>
      </c>
    </row>
    <row r="114" spans="1:8" x14ac:dyDescent="0.35">
      <c r="A114">
        <v>103407559</v>
      </c>
      <c r="B114" t="s">
        <v>4076</v>
      </c>
      <c r="C114" s="2">
        <v>44748</v>
      </c>
      <c r="D114">
        <v>899</v>
      </c>
      <c r="E114">
        <v>1</v>
      </c>
      <c r="F114">
        <v>1</v>
      </c>
      <c r="G114">
        <v>899</v>
      </c>
      <c r="H114">
        <v>899</v>
      </c>
    </row>
    <row r="115" spans="1:8" x14ac:dyDescent="0.35">
      <c r="A115">
        <v>103407566</v>
      </c>
      <c r="B115" t="s">
        <v>4076</v>
      </c>
      <c r="C115" s="2">
        <v>44748</v>
      </c>
      <c r="D115">
        <v>1119</v>
      </c>
      <c r="E115">
        <v>1</v>
      </c>
      <c r="F115">
        <v>1</v>
      </c>
      <c r="G115">
        <v>1119</v>
      </c>
      <c r="H115">
        <v>1119</v>
      </c>
    </row>
    <row r="116" spans="1:8" x14ac:dyDescent="0.35">
      <c r="A116">
        <v>103407568</v>
      </c>
      <c r="B116" t="s">
        <v>4076</v>
      </c>
      <c r="C116" s="2">
        <v>44748</v>
      </c>
      <c r="D116">
        <v>4799</v>
      </c>
      <c r="E116">
        <v>1</v>
      </c>
      <c r="F116">
        <v>1</v>
      </c>
      <c r="G116">
        <v>4799</v>
      </c>
      <c r="H116">
        <v>4799</v>
      </c>
    </row>
    <row r="117" spans="1:8" x14ac:dyDescent="0.35">
      <c r="A117">
        <v>103407571</v>
      </c>
      <c r="B117" t="s">
        <v>4076</v>
      </c>
      <c r="C117" s="2">
        <v>44748</v>
      </c>
      <c r="D117">
        <v>3797.1499999999901</v>
      </c>
      <c r="E117">
        <v>3</v>
      </c>
      <c r="F117">
        <v>1</v>
      </c>
      <c r="G117">
        <v>1265.7166666666601</v>
      </c>
      <c r="H117">
        <v>3797.1499999999901</v>
      </c>
    </row>
    <row r="118" spans="1:8" x14ac:dyDescent="0.35">
      <c r="A118">
        <v>103407573</v>
      </c>
      <c r="B118" t="s">
        <v>4076</v>
      </c>
      <c r="C118" s="2">
        <v>44748</v>
      </c>
      <c r="D118">
        <v>1499</v>
      </c>
      <c r="E118">
        <v>1</v>
      </c>
      <c r="F118">
        <v>1</v>
      </c>
      <c r="G118">
        <v>1499</v>
      </c>
      <c r="H118">
        <v>1499</v>
      </c>
    </row>
    <row r="119" spans="1:8" x14ac:dyDescent="0.35">
      <c r="A119">
        <v>103407575</v>
      </c>
      <c r="B119" t="s">
        <v>4076</v>
      </c>
      <c r="C119" s="2">
        <v>44748</v>
      </c>
      <c r="D119">
        <v>521.54999999999995</v>
      </c>
      <c r="E119">
        <v>1</v>
      </c>
      <c r="F119">
        <v>1</v>
      </c>
      <c r="G119">
        <v>521.54999999999995</v>
      </c>
      <c r="H119">
        <v>521.54999999999995</v>
      </c>
    </row>
    <row r="120" spans="1:8" x14ac:dyDescent="0.35">
      <c r="A120">
        <v>103407577</v>
      </c>
      <c r="B120" t="s">
        <v>4076</v>
      </c>
      <c r="C120" s="2">
        <v>44748</v>
      </c>
      <c r="D120">
        <v>2999</v>
      </c>
      <c r="E120">
        <v>1</v>
      </c>
      <c r="F120">
        <v>1</v>
      </c>
      <c r="G120">
        <v>2999</v>
      </c>
      <c r="H120">
        <v>2999</v>
      </c>
    </row>
    <row r="121" spans="1:8" x14ac:dyDescent="0.35">
      <c r="A121">
        <v>103407580</v>
      </c>
      <c r="B121" t="s">
        <v>4076</v>
      </c>
      <c r="C121" s="2">
        <v>44748</v>
      </c>
      <c r="D121">
        <v>2469.0500000000002</v>
      </c>
      <c r="E121">
        <v>1</v>
      </c>
      <c r="F121">
        <v>1</v>
      </c>
      <c r="G121">
        <v>2469.0500000000002</v>
      </c>
      <c r="H121">
        <v>2469.0500000000002</v>
      </c>
    </row>
    <row r="122" spans="1:8" x14ac:dyDescent="0.35">
      <c r="A122">
        <v>103407583</v>
      </c>
      <c r="B122" t="s">
        <v>4076</v>
      </c>
      <c r="C122" s="2">
        <v>44748</v>
      </c>
      <c r="D122">
        <v>2309</v>
      </c>
      <c r="E122">
        <v>1</v>
      </c>
      <c r="F122">
        <v>1</v>
      </c>
      <c r="G122">
        <v>2309</v>
      </c>
      <c r="H122">
        <v>2309</v>
      </c>
    </row>
    <row r="123" spans="1:8" x14ac:dyDescent="0.35">
      <c r="A123">
        <v>103407593</v>
      </c>
      <c r="B123" t="s">
        <v>4076</v>
      </c>
      <c r="C123" s="2">
        <v>44748</v>
      </c>
      <c r="D123">
        <v>1899.05</v>
      </c>
      <c r="E123">
        <v>1</v>
      </c>
      <c r="F123">
        <v>1</v>
      </c>
      <c r="G123">
        <v>1899.05</v>
      </c>
      <c r="H123">
        <v>1899.05</v>
      </c>
    </row>
    <row r="124" spans="1:8" x14ac:dyDescent="0.35">
      <c r="A124">
        <v>103407598</v>
      </c>
      <c r="B124" t="s">
        <v>4076</v>
      </c>
      <c r="C124" s="2">
        <v>44748</v>
      </c>
      <c r="D124">
        <v>920.55</v>
      </c>
      <c r="E124">
        <v>1</v>
      </c>
      <c r="F124">
        <v>1</v>
      </c>
      <c r="G124">
        <v>920.55</v>
      </c>
      <c r="H124">
        <v>920.55</v>
      </c>
    </row>
    <row r="125" spans="1:8" x14ac:dyDescent="0.35">
      <c r="A125">
        <v>103407603</v>
      </c>
      <c r="B125" t="s">
        <v>4076</v>
      </c>
      <c r="C125" s="2">
        <v>44748</v>
      </c>
      <c r="D125">
        <v>1110.55</v>
      </c>
      <c r="E125">
        <v>1</v>
      </c>
      <c r="F125">
        <v>1</v>
      </c>
      <c r="G125">
        <v>1110.55</v>
      </c>
      <c r="H125">
        <v>1110.55</v>
      </c>
    </row>
    <row r="126" spans="1:8" x14ac:dyDescent="0.35">
      <c r="A126">
        <v>103407607</v>
      </c>
      <c r="B126" t="s">
        <v>4076</v>
      </c>
      <c r="C126" s="2">
        <v>44748</v>
      </c>
      <c r="D126">
        <v>4787.1400000000003</v>
      </c>
      <c r="E126">
        <v>1</v>
      </c>
      <c r="F126">
        <v>1</v>
      </c>
      <c r="G126">
        <v>4787.1400000000003</v>
      </c>
      <c r="H126">
        <v>4787.1400000000003</v>
      </c>
    </row>
    <row r="127" spans="1:8" x14ac:dyDescent="0.35">
      <c r="A127">
        <v>103407613</v>
      </c>
      <c r="B127" t="s">
        <v>4076</v>
      </c>
      <c r="C127" s="2">
        <v>44748</v>
      </c>
      <c r="D127">
        <v>2849.05</v>
      </c>
      <c r="E127">
        <v>1</v>
      </c>
      <c r="F127">
        <v>1</v>
      </c>
      <c r="G127">
        <v>2849.05</v>
      </c>
      <c r="H127">
        <v>2849.05</v>
      </c>
    </row>
    <row r="128" spans="1:8" x14ac:dyDescent="0.35">
      <c r="A128">
        <v>103407621</v>
      </c>
      <c r="B128" t="s">
        <v>4076</v>
      </c>
      <c r="C128" s="2">
        <v>44748</v>
      </c>
      <c r="D128">
        <v>2799</v>
      </c>
      <c r="E128">
        <v>1</v>
      </c>
      <c r="F128">
        <v>1</v>
      </c>
      <c r="G128">
        <v>2799</v>
      </c>
      <c r="H128">
        <v>2799</v>
      </c>
    </row>
    <row r="129" spans="1:8" x14ac:dyDescent="0.35">
      <c r="A129">
        <v>103407622</v>
      </c>
      <c r="B129" t="s">
        <v>4076</v>
      </c>
      <c r="C129" s="2">
        <v>44748</v>
      </c>
      <c r="D129">
        <v>2469.0500000000002</v>
      </c>
      <c r="E129">
        <v>1</v>
      </c>
      <c r="F129">
        <v>1</v>
      </c>
      <c r="G129">
        <v>2469.0500000000002</v>
      </c>
      <c r="H129">
        <v>2469.0500000000002</v>
      </c>
    </row>
    <row r="130" spans="1:8" x14ac:dyDescent="0.35">
      <c r="A130">
        <v>103407623</v>
      </c>
      <c r="B130" t="s">
        <v>4076</v>
      </c>
      <c r="C130" s="2">
        <v>44748</v>
      </c>
      <c r="D130">
        <v>2436.75</v>
      </c>
      <c r="E130">
        <v>1</v>
      </c>
      <c r="F130">
        <v>1</v>
      </c>
      <c r="G130">
        <v>2436.75</v>
      </c>
      <c r="H130">
        <v>2436.75</v>
      </c>
    </row>
    <row r="131" spans="1:8" x14ac:dyDescent="0.35">
      <c r="A131">
        <v>103407625</v>
      </c>
      <c r="B131" t="s">
        <v>4076</v>
      </c>
      <c r="C131" s="2">
        <v>44748</v>
      </c>
      <c r="D131">
        <v>1749</v>
      </c>
      <c r="E131">
        <v>1</v>
      </c>
      <c r="F131">
        <v>1</v>
      </c>
      <c r="G131">
        <v>1749</v>
      </c>
      <c r="H131">
        <v>1749</v>
      </c>
    </row>
    <row r="132" spans="1:8" x14ac:dyDescent="0.35">
      <c r="A132">
        <v>103407628</v>
      </c>
      <c r="B132" t="s">
        <v>4076</v>
      </c>
      <c r="C132" s="2">
        <v>44748</v>
      </c>
      <c r="D132">
        <v>3989.05</v>
      </c>
      <c r="E132">
        <v>1</v>
      </c>
      <c r="F132">
        <v>1</v>
      </c>
      <c r="G132">
        <v>3989.05</v>
      </c>
      <c r="H132">
        <v>3989.05</v>
      </c>
    </row>
    <row r="133" spans="1:8" x14ac:dyDescent="0.35">
      <c r="A133">
        <v>103407631</v>
      </c>
      <c r="B133" t="s">
        <v>4076</v>
      </c>
      <c r="C133" s="2">
        <v>44748</v>
      </c>
      <c r="D133">
        <v>7999</v>
      </c>
      <c r="E133">
        <v>1</v>
      </c>
      <c r="F133">
        <v>1</v>
      </c>
      <c r="G133">
        <v>7999</v>
      </c>
      <c r="H133">
        <v>7999</v>
      </c>
    </row>
    <row r="134" spans="1:8" x14ac:dyDescent="0.35">
      <c r="A134">
        <v>103407650</v>
      </c>
      <c r="B134" t="s">
        <v>4076</v>
      </c>
      <c r="C134" s="2">
        <v>44748</v>
      </c>
      <c r="D134">
        <v>5699.05</v>
      </c>
      <c r="E134">
        <v>1</v>
      </c>
      <c r="F134">
        <v>1</v>
      </c>
      <c r="G134">
        <v>5699.05</v>
      </c>
      <c r="H134">
        <v>5699.05</v>
      </c>
    </row>
    <row r="135" spans="1:8" x14ac:dyDescent="0.35">
      <c r="A135">
        <v>103407656</v>
      </c>
      <c r="B135" t="s">
        <v>4076</v>
      </c>
      <c r="C135" s="2">
        <v>44748</v>
      </c>
      <c r="D135">
        <v>2999</v>
      </c>
      <c r="E135">
        <v>1</v>
      </c>
      <c r="F135">
        <v>1</v>
      </c>
      <c r="G135">
        <v>2999</v>
      </c>
      <c r="H135">
        <v>2999</v>
      </c>
    </row>
    <row r="136" spans="1:8" x14ac:dyDescent="0.35">
      <c r="A136">
        <v>103407661</v>
      </c>
      <c r="B136" t="s">
        <v>4076</v>
      </c>
      <c r="C136" s="2">
        <v>44748</v>
      </c>
      <c r="D136">
        <v>1388.95</v>
      </c>
      <c r="E136">
        <v>1</v>
      </c>
      <c r="F136">
        <v>1</v>
      </c>
      <c r="G136">
        <v>1388.95</v>
      </c>
      <c r="H136">
        <v>1388.95</v>
      </c>
    </row>
    <row r="137" spans="1:8" x14ac:dyDescent="0.35">
      <c r="A137">
        <v>103407665</v>
      </c>
      <c r="B137" t="s">
        <v>4076</v>
      </c>
      <c r="C137" s="2">
        <v>44748</v>
      </c>
      <c r="D137">
        <v>2991.55</v>
      </c>
      <c r="E137">
        <v>1</v>
      </c>
      <c r="F137">
        <v>1</v>
      </c>
      <c r="G137">
        <v>2991.55</v>
      </c>
      <c r="H137">
        <v>2991.55</v>
      </c>
    </row>
    <row r="138" spans="1:8" x14ac:dyDescent="0.35">
      <c r="A138">
        <v>103407675</v>
      </c>
      <c r="B138" t="s">
        <v>4076</v>
      </c>
      <c r="C138" s="2">
        <v>44748</v>
      </c>
      <c r="D138">
        <v>1259</v>
      </c>
      <c r="E138">
        <v>1</v>
      </c>
      <c r="F138">
        <v>1</v>
      </c>
      <c r="G138">
        <v>1259</v>
      </c>
      <c r="H138">
        <v>1259</v>
      </c>
    </row>
    <row r="139" spans="1:8" x14ac:dyDescent="0.35">
      <c r="A139">
        <v>103407680</v>
      </c>
      <c r="B139" t="s">
        <v>4076</v>
      </c>
      <c r="C139" s="2">
        <v>44748</v>
      </c>
      <c r="D139">
        <v>740.05</v>
      </c>
      <c r="E139">
        <v>1</v>
      </c>
      <c r="F139">
        <v>1</v>
      </c>
      <c r="G139">
        <v>740.05</v>
      </c>
      <c r="H139">
        <v>740.05</v>
      </c>
    </row>
    <row r="140" spans="1:8" x14ac:dyDescent="0.35">
      <c r="A140">
        <v>103407685</v>
      </c>
      <c r="B140" t="s">
        <v>4076</v>
      </c>
      <c r="C140" s="2">
        <v>44748</v>
      </c>
      <c r="D140">
        <v>959</v>
      </c>
      <c r="E140">
        <v>1</v>
      </c>
      <c r="F140">
        <v>1</v>
      </c>
      <c r="G140">
        <v>959</v>
      </c>
      <c r="H140">
        <v>959</v>
      </c>
    </row>
    <row r="141" spans="1:8" x14ac:dyDescent="0.35">
      <c r="A141">
        <v>103407690</v>
      </c>
      <c r="B141" t="s">
        <v>4076</v>
      </c>
      <c r="C141" s="2">
        <v>44748</v>
      </c>
      <c r="D141">
        <v>2474.1</v>
      </c>
      <c r="E141">
        <v>1</v>
      </c>
      <c r="F141">
        <v>1</v>
      </c>
      <c r="G141">
        <v>2474.1</v>
      </c>
      <c r="H141">
        <v>2474.1</v>
      </c>
    </row>
    <row r="142" spans="1:8" x14ac:dyDescent="0.35">
      <c r="A142">
        <v>103407698</v>
      </c>
      <c r="B142" t="s">
        <v>4076</v>
      </c>
      <c r="C142" s="2">
        <v>44748</v>
      </c>
      <c r="D142">
        <v>5188.1399999999903</v>
      </c>
      <c r="E142">
        <v>2</v>
      </c>
      <c r="F142">
        <v>1</v>
      </c>
      <c r="G142">
        <v>2594.0699999999902</v>
      </c>
      <c r="H142">
        <v>5188.1399999999903</v>
      </c>
    </row>
    <row r="143" spans="1:8" x14ac:dyDescent="0.35">
      <c r="A143">
        <v>103407700</v>
      </c>
      <c r="B143" t="s">
        <v>4076</v>
      </c>
      <c r="C143" s="2">
        <v>44748</v>
      </c>
      <c r="D143">
        <v>2469.0500000000002</v>
      </c>
      <c r="E143">
        <v>1</v>
      </c>
      <c r="F143">
        <v>1</v>
      </c>
      <c r="G143">
        <v>2469.0500000000002</v>
      </c>
      <c r="H143">
        <v>2469.0500000000002</v>
      </c>
    </row>
    <row r="144" spans="1:8" x14ac:dyDescent="0.35">
      <c r="A144">
        <v>103407701</v>
      </c>
      <c r="B144" t="s">
        <v>4076</v>
      </c>
      <c r="C144" s="2">
        <v>44748</v>
      </c>
      <c r="D144">
        <v>799</v>
      </c>
      <c r="E144">
        <v>1</v>
      </c>
      <c r="F144">
        <v>1</v>
      </c>
      <c r="G144">
        <v>799</v>
      </c>
      <c r="H144">
        <v>799</v>
      </c>
    </row>
    <row r="145" spans="1:8" x14ac:dyDescent="0.35">
      <c r="A145">
        <v>103407711</v>
      </c>
      <c r="B145" t="s">
        <v>4076</v>
      </c>
      <c r="C145" s="2">
        <v>44748</v>
      </c>
      <c r="D145">
        <v>3899</v>
      </c>
      <c r="E145">
        <v>1</v>
      </c>
      <c r="F145">
        <v>1</v>
      </c>
      <c r="G145">
        <v>3899</v>
      </c>
      <c r="H145">
        <v>3899</v>
      </c>
    </row>
    <row r="146" spans="1:8" x14ac:dyDescent="0.35">
      <c r="A146">
        <v>103407712</v>
      </c>
      <c r="B146" t="s">
        <v>4076</v>
      </c>
      <c r="C146" s="2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x14ac:dyDescent="0.35">
      <c r="A147">
        <v>103407717</v>
      </c>
      <c r="B147" t="s">
        <v>4076</v>
      </c>
      <c r="C147" s="2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x14ac:dyDescent="0.35">
      <c r="A148">
        <v>103407720</v>
      </c>
      <c r="B148" t="s">
        <v>4076</v>
      </c>
      <c r="C148" s="2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x14ac:dyDescent="0.35">
      <c r="A149">
        <v>103407723</v>
      </c>
      <c r="B149" t="s">
        <v>4076</v>
      </c>
      <c r="C149" s="2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x14ac:dyDescent="0.35">
      <c r="A150">
        <v>103407728</v>
      </c>
      <c r="B150" t="s">
        <v>4076</v>
      </c>
      <c r="C150" s="2">
        <v>44748</v>
      </c>
      <c r="D150">
        <v>5865.35</v>
      </c>
      <c r="E150">
        <v>1</v>
      </c>
      <c r="F150">
        <v>1</v>
      </c>
      <c r="G150">
        <v>5865.35</v>
      </c>
      <c r="H150">
        <v>5865.35</v>
      </c>
    </row>
    <row r="151" spans="1:8" x14ac:dyDescent="0.35">
      <c r="A151">
        <v>103407730</v>
      </c>
      <c r="B151" t="s">
        <v>4076</v>
      </c>
      <c r="C151" s="2">
        <v>44748</v>
      </c>
      <c r="D151">
        <v>2999</v>
      </c>
      <c r="E151">
        <v>1</v>
      </c>
      <c r="F151">
        <v>1</v>
      </c>
      <c r="G151">
        <v>2999</v>
      </c>
      <c r="H151">
        <v>2999</v>
      </c>
    </row>
    <row r="152" spans="1:8" x14ac:dyDescent="0.35">
      <c r="A152">
        <v>103407735</v>
      </c>
      <c r="B152" t="s">
        <v>4076</v>
      </c>
      <c r="C152" s="2">
        <v>44748</v>
      </c>
      <c r="D152">
        <v>1758.97</v>
      </c>
      <c r="E152">
        <v>1</v>
      </c>
      <c r="F152">
        <v>1</v>
      </c>
      <c r="G152">
        <v>1758.97</v>
      </c>
      <c r="H152">
        <v>1758.97</v>
      </c>
    </row>
    <row r="153" spans="1:8" x14ac:dyDescent="0.35">
      <c r="A153">
        <v>103407742</v>
      </c>
      <c r="B153" t="s">
        <v>4076</v>
      </c>
      <c r="C153" s="2">
        <v>44748</v>
      </c>
      <c r="D153">
        <v>2309</v>
      </c>
      <c r="E153">
        <v>1</v>
      </c>
      <c r="F153">
        <v>1</v>
      </c>
      <c r="G153">
        <v>2309</v>
      </c>
      <c r="H153">
        <v>2309</v>
      </c>
    </row>
    <row r="154" spans="1:8" x14ac:dyDescent="0.35">
      <c r="A154">
        <v>103407743</v>
      </c>
      <c r="B154" t="s">
        <v>4076</v>
      </c>
      <c r="C154" s="2">
        <v>44748</v>
      </c>
      <c r="D154">
        <v>3375.54</v>
      </c>
      <c r="E154">
        <v>2</v>
      </c>
      <c r="F154">
        <v>1</v>
      </c>
      <c r="G154">
        <v>1687.77</v>
      </c>
      <c r="H154">
        <v>3375.54</v>
      </c>
    </row>
    <row r="155" spans="1:8" x14ac:dyDescent="0.35">
      <c r="A155">
        <v>103407746</v>
      </c>
      <c r="B155" t="s">
        <v>4076</v>
      </c>
      <c r="C155" s="2">
        <v>44748</v>
      </c>
      <c r="D155">
        <v>2611.5500000000002</v>
      </c>
      <c r="E155">
        <v>1</v>
      </c>
      <c r="F155">
        <v>1</v>
      </c>
      <c r="G155">
        <v>2611.5500000000002</v>
      </c>
      <c r="H155">
        <v>2611.5500000000002</v>
      </c>
    </row>
    <row r="156" spans="1:8" x14ac:dyDescent="0.35">
      <c r="A156">
        <v>103407747</v>
      </c>
      <c r="B156" t="s">
        <v>4076</v>
      </c>
      <c r="C156" s="2">
        <v>44748</v>
      </c>
      <c r="D156">
        <v>3889.39</v>
      </c>
      <c r="E156">
        <v>1</v>
      </c>
      <c r="F156">
        <v>1</v>
      </c>
      <c r="G156">
        <v>3889.39</v>
      </c>
      <c r="H156">
        <v>3889.39</v>
      </c>
    </row>
    <row r="157" spans="1:8" x14ac:dyDescent="0.35">
      <c r="A157">
        <v>103407752</v>
      </c>
      <c r="B157" t="s">
        <v>4076</v>
      </c>
      <c r="C157" s="2">
        <v>44748</v>
      </c>
      <c r="D157">
        <v>5129.05</v>
      </c>
      <c r="E157">
        <v>1</v>
      </c>
      <c r="F157">
        <v>1</v>
      </c>
      <c r="G157">
        <v>5129.05</v>
      </c>
      <c r="H157">
        <v>5129.05</v>
      </c>
    </row>
    <row r="158" spans="1:8" x14ac:dyDescent="0.35">
      <c r="A158">
        <v>103407760</v>
      </c>
      <c r="B158" t="s">
        <v>4076</v>
      </c>
      <c r="C158" s="2">
        <v>44748</v>
      </c>
      <c r="D158">
        <v>5048</v>
      </c>
      <c r="E158">
        <v>2</v>
      </c>
      <c r="F158">
        <v>1</v>
      </c>
      <c r="G158">
        <v>2524</v>
      </c>
      <c r="H158">
        <v>5048</v>
      </c>
    </row>
    <row r="159" spans="1:8" x14ac:dyDescent="0.35">
      <c r="A159">
        <v>103407766</v>
      </c>
      <c r="B159" t="s">
        <v>4076</v>
      </c>
      <c r="C159" s="2">
        <v>44748</v>
      </c>
      <c r="D159">
        <v>4559.05</v>
      </c>
      <c r="E159">
        <v>1</v>
      </c>
      <c r="F159">
        <v>1</v>
      </c>
      <c r="G159">
        <v>4559.05</v>
      </c>
      <c r="H159">
        <v>4559.05</v>
      </c>
    </row>
    <row r="160" spans="1:8" x14ac:dyDescent="0.35">
      <c r="A160">
        <v>103407767</v>
      </c>
      <c r="B160" t="s">
        <v>4076</v>
      </c>
      <c r="C160" s="2">
        <v>44748</v>
      </c>
      <c r="D160">
        <v>1939.99</v>
      </c>
      <c r="E160">
        <v>1</v>
      </c>
      <c r="F160">
        <v>1</v>
      </c>
      <c r="G160">
        <v>1939.99</v>
      </c>
      <c r="H160">
        <v>1939.99</v>
      </c>
    </row>
    <row r="161" spans="1:8" x14ac:dyDescent="0.35">
      <c r="A161">
        <v>103407776</v>
      </c>
      <c r="B161" t="s">
        <v>4076</v>
      </c>
      <c r="C161" s="2">
        <v>44748</v>
      </c>
      <c r="D161">
        <v>329</v>
      </c>
      <c r="E161">
        <v>1</v>
      </c>
      <c r="F161">
        <v>1</v>
      </c>
      <c r="G161">
        <v>329</v>
      </c>
      <c r="H161">
        <v>329</v>
      </c>
    </row>
    <row r="162" spans="1:8" x14ac:dyDescent="0.35">
      <c r="A162">
        <v>103407779</v>
      </c>
      <c r="B162" t="s">
        <v>4076</v>
      </c>
      <c r="C162" s="2">
        <v>44748</v>
      </c>
      <c r="D162">
        <v>3419.05</v>
      </c>
      <c r="E162">
        <v>1</v>
      </c>
      <c r="F162">
        <v>1</v>
      </c>
      <c r="G162">
        <v>3419.05</v>
      </c>
      <c r="H162">
        <v>3419.05</v>
      </c>
    </row>
    <row r="163" spans="1:8" x14ac:dyDescent="0.35">
      <c r="A163">
        <v>103407784</v>
      </c>
      <c r="B163" t="s">
        <v>4076</v>
      </c>
      <c r="C163" s="2">
        <v>44748</v>
      </c>
      <c r="D163">
        <v>540.6</v>
      </c>
      <c r="E163">
        <v>1</v>
      </c>
      <c r="F163">
        <v>1</v>
      </c>
      <c r="G163">
        <v>540.6</v>
      </c>
      <c r="H163">
        <v>540.6</v>
      </c>
    </row>
    <row r="164" spans="1:8" x14ac:dyDescent="0.35">
      <c r="A164">
        <v>103407786</v>
      </c>
      <c r="B164" t="s">
        <v>4076</v>
      </c>
      <c r="C164" s="2">
        <v>44748</v>
      </c>
      <c r="D164">
        <v>1349</v>
      </c>
      <c r="E164">
        <v>1</v>
      </c>
      <c r="F164">
        <v>1</v>
      </c>
      <c r="G164">
        <v>1349</v>
      </c>
      <c r="H164">
        <v>1349</v>
      </c>
    </row>
    <row r="165" spans="1:8" x14ac:dyDescent="0.35">
      <c r="A165">
        <v>103407790</v>
      </c>
      <c r="B165" t="s">
        <v>4076</v>
      </c>
      <c r="C165" s="2">
        <v>44748</v>
      </c>
      <c r="D165">
        <v>580.54</v>
      </c>
      <c r="E165">
        <v>1</v>
      </c>
      <c r="F165">
        <v>1</v>
      </c>
      <c r="G165">
        <v>580.54</v>
      </c>
      <c r="H165">
        <v>580.54</v>
      </c>
    </row>
    <row r="166" spans="1:8" x14ac:dyDescent="0.35">
      <c r="A166">
        <v>103407797</v>
      </c>
      <c r="B166" t="s">
        <v>4076</v>
      </c>
      <c r="C166" s="2">
        <v>44748</v>
      </c>
      <c r="D166">
        <v>1129.55</v>
      </c>
      <c r="E166">
        <v>1</v>
      </c>
      <c r="F166">
        <v>1</v>
      </c>
      <c r="G166">
        <v>1129.55</v>
      </c>
      <c r="H166">
        <v>1129.55</v>
      </c>
    </row>
    <row r="167" spans="1:8" x14ac:dyDescent="0.35">
      <c r="A167">
        <v>103407798</v>
      </c>
      <c r="B167" t="s">
        <v>4076</v>
      </c>
      <c r="C167" s="2">
        <v>44748</v>
      </c>
      <c r="D167">
        <v>1994.05</v>
      </c>
      <c r="E167">
        <v>1</v>
      </c>
      <c r="F167">
        <v>1</v>
      </c>
      <c r="G167">
        <v>1994.05</v>
      </c>
      <c r="H167">
        <v>1994.05</v>
      </c>
    </row>
    <row r="168" spans="1:8" x14ac:dyDescent="0.35">
      <c r="A168">
        <v>103407799</v>
      </c>
      <c r="B168" t="s">
        <v>4076</v>
      </c>
      <c r="C168" s="2">
        <v>44748</v>
      </c>
      <c r="D168">
        <v>3846.64</v>
      </c>
      <c r="E168">
        <v>1</v>
      </c>
      <c r="F168">
        <v>1</v>
      </c>
      <c r="G168">
        <v>3846.64</v>
      </c>
      <c r="H168">
        <v>3846.64</v>
      </c>
    </row>
    <row r="169" spans="1:8" x14ac:dyDescent="0.35">
      <c r="A169">
        <v>103407802</v>
      </c>
      <c r="B169" t="s">
        <v>4076</v>
      </c>
      <c r="C169" s="2">
        <v>44748</v>
      </c>
      <c r="D169">
        <v>4499</v>
      </c>
      <c r="E169">
        <v>1</v>
      </c>
      <c r="F169">
        <v>1</v>
      </c>
      <c r="G169">
        <v>4499</v>
      </c>
      <c r="H169">
        <v>4499</v>
      </c>
    </row>
    <row r="170" spans="1:8" x14ac:dyDescent="0.35">
      <c r="A170">
        <v>103407803</v>
      </c>
      <c r="B170" t="s">
        <v>4076</v>
      </c>
      <c r="C170" s="2">
        <v>44748</v>
      </c>
      <c r="D170">
        <v>1281.55</v>
      </c>
      <c r="E170">
        <v>1</v>
      </c>
      <c r="F170">
        <v>1</v>
      </c>
      <c r="G170">
        <v>1281.55</v>
      </c>
      <c r="H170">
        <v>1281.55</v>
      </c>
    </row>
    <row r="171" spans="1:8" x14ac:dyDescent="0.35">
      <c r="A171">
        <v>103407805</v>
      </c>
      <c r="B171" t="s">
        <v>4076</v>
      </c>
      <c r="C171" s="2">
        <v>44748</v>
      </c>
      <c r="D171">
        <v>369</v>
      </c>
      <c r="E171">
        <v>1</v>
      </c>
      <c r="F171">
        <v>1</v>
      </c>
      <c r="G171">
        <v>369</v>
      </c>
      <c r="H171">
        <v>369</v>
      </c>
    </row>
    <row r="172" spans="1:8" x14ac:dyDescent="0.35">
      <c r="A172">
        <v>103407817</v>
      </c>
      <c r="B172" t="s">
        <v>4076</v>
      </c>
      <c r="C172" s="2">
        <v>44748</v>
      </c>
      <c r="D172">
        <v>758</v>
      </c>
      <c r="E172">
        <v>2</v>
      </c>
      <c r="F172">
        <v>1</v>
      </c>
      <c r="G172">
        <v>379</v>
      </c>
      <c r="H172">
        <v>758</v>
      </c>
    </row>
    <row r="173" spans="1:8" x14ac:dyDescent="0.35">
      <c r="A173">
        <v>103407823</v>
      </c>
      <c r="B173" t="s">
        <v>4076</v>
      </c>
      <c r="C173" s="2">
        <v>44748</v>
      </c>
      <c r="D173">
        <v>350.55</v>
      </c>
      <c r="E173">
        <v>1</v>
      </c>
      <c r="F173">
        <v>1</v>
      </c>
      <c r="G173">
        <v>350.55</v>
      </c>
      <c r="H173">
        <v>350.55</v>
      </c>
    </row>
    <row r="174" spans="1:8" x14ac:dyDescent="0.35">
      <c r="A174">
        <v>103407828</v>
      </c>
      <c r="B174" t="s">
        <v>4076</v>
      </c>
      <c r="C174" s="2">
        <v>44748</v>
      </c>
      <c r="D174">
        <v>5129.05</v>
      </c>
      <c r="E174">
        <v>1</v>
      </c>
      <c r="F174">
        <v>1</v>
      </c>
      <c r="G174">
        <v>5129.05</v>
      </c>
      <c r="H174">
        <v>5129.05</v>
      </c>
    </row>
    <row r="175" spans="1:8" x14ac:dyDescent="0.35">
      <c r="A175">
        <v>103407829</v>
      </c>
      <c r="B175" t="s">
        <v>4076</v>
      </c>
      <c r="C175" s="2">
        <v>44748</v>
      </c>
      <c r="D175">
        <v>359</v>
      </c>
      <c r="E175">
        <v>1</v>
      </c>
      <c r="F175">
        <v>1</v>
      </c>
      <c r="G175">
        <v>359</v>
      </c>
      <c r="H175">
        <v>359</v>
      </c>
    </row>
    <row r="176" spans="1:8" x14ac:dyDescent="0.35">
      <c r="A176">
        <v>103407832</v>
      </c>
      <c r="B176" t="s">
        <v>4076</v>
      </c>
      <c r="C176" s="2">
        <v>44748</v>
      </c>
      <c r="D176">
        <v>3040.52</v>
      </c>
      <c r="E176">
        <v>1</v>
      </c>
      <c r="F176">
        <v>1</v>
      </c>
      <c r="G176">
        <v>3040.52</v>
      </c>
      <c r="H176">
        <v>3040.52</v>
      </c>
    </row>
    <row r="177" spans="1:8" x14ac:dyDescent="0.35">
      <c r="A177">
        <v>103407836</v>
      </c>
      <c r="B177" t="s">
        <v>4076</v>
      </c>
      <c r="C177" s="2">
        <v>44748</v>
      </c>
      <c r="D177">
        <v>3989.05</v>
      </c>
      <c r="E177">
        <v>1</v>
      </c>
      <c r="F177">
        <v>1</v>
      </c>
      <c r="G177">
        <v>3989.05</v>
      </c>
      <c r="H177">
        <v>3989.05</v>
      </c>
    </row>
    <row r="178" spans="1:8" x14ac:dyDescent="0.35">
      <c r="A178">
        <v>103407843</v>
      </c>
      <c r="B178" t="s">
        <v>4076</v>
      </c>
      <c r="C178" s="2">
        <v>44748</v>
      </c>
      <c r="D178">
        <v>2919</v>
      </c>
      <c r="E178">
        <v>1</v>
      </c>
      <c r="F178">
        <v>1</v>
      </c>
      <c r="G178">
        <v>2919</v>
      </c>
      <c r="H178">
        <v>2919</v>
      </c>
    </row>
    <row r="179" spans="1:8" x14ac:dyDescent="0.35">
      <c r="A179">
        <v>103407846</v>
      </c>
      <c r="B179" t="s">
        <v>4076</v>
      </c>
      <c r="C179" s="2">
        <v>44748</v>
      </c>
      <c r="D179">
        <v>1424.05</v>
      </c>
      <c r="E179">
        <v>1</v>
      </c>
      <c r="F179">
        <v>1</v>
      </c>
      <c r="G179">
        <v>1424.05</v>
      </c>
      <c r="H179">
        <v>1424.05</v>
      </c>
    </row>
    <row r="180" spans="1:8" x14ac:dyDescent="0.35">
      <c r="A180">
        <v>103407848</v>
      </c>
      <c r="B180" t="s">
        <v>4076</v>
      </c>
      <c r="C180" s="2">
        <v>44748</v>
      </c>
      <c r="D180">
        <v>2469.0500000000002</v>
      </c>
      <c r="E180">
        <v>1</v>
      </c>
      <c r="F180">
        <v>1</v>
      </c>
      <c r="G180">
        <v>2469.0500000000002</v>
      </c>
      <c r="H180">
        <v>2469.0500000000002</v>
      </c>
    </row>
    <row r="181" spans="1:8" x14ac:dyDescent="0.35">
      <c r="A181">
        <v>103407849</v>
      </c>
      <c r="B181" t="s">
        <v>4076</v>
      </c>
      <c r="C181" s="2">
        <v>44748</v>
      </c>
      <c r="D181">
        <v>369.55</v>
      </c>
      <c r="E181">
        <v>1</v>
      </c>
      <c r="F181">
        <v>1</v>
      </c>
      <c r="G181">
        <v>369.55</v>
      </c>
      <c r="H181">
        <v>369.55</v>
      </c>
    </row>
    <row r="182" spans="1:8" x14ac:dyDescent="0.35">
      <c r="A182">
        <v>103407861</v>
      </c>
      <c r="B182" t="s">
        <v>4076</v>
      </c>
      <c r="C182" s="2">
        <v>44748</v>
      </c>
      <c r="D182">
        <v>4691.1000000000004</v>
      </c>
      <c r="E182">
        <v>2</v>
      </c>
      <c r="F182">
        <v>1</v>
      </c>
      <c r="G182">
        <v>2345.5500000000002</v>
      </c>
      <c r="H182">
        <v>4691.1000000000004</v>
      </c>
    </row>
    <row r="183" spans="1:8" x14ac:dyDescent="0.35">
      <c r="A183">
        <v>103407867</v>
      </c>
      <c r="B183" t="s">
        <v>4076</v>
      </c>
      <c r="C183" s="2">
        <v>44748</v>
      </c>
      <c r="D183">
        <v>1578.47</v>
      </c>
      <c r="E183">
        <v>1</v>
      </c>
      <c r="F183">
        <v>1</v>
      </c>
      <c r="G183">
        <v>1578.47</v>
      </c>
      <c r="H183">
        <v>1578.47</v>
      </c>
    </row>
    <row r="184" spans="1:8" x14ac:dyDescent="0.35">
      <c r="A184">
        <v>103407874</v>
      </c>
      <c r="B184" t="s">
        <v>4076</v>
      </c>
      <c r="C184" s="2">
        <v>44748</v>
      </c>
      <c r="D184">
        <v>2249</v>
      </c>
      <c r="E184">
        <v>1</v>
      </c>
      <c r="F184">
        <v>1</v>
      </c>
      <c r="G184">
        <v>2249</v>
      </c>
      <c r="H184">
        <v>2249</v>
      </c>
    </row>
    <row r="185" spans="1:8" x14ac:dyDescent="0.35">
      <c r="A185">
        <v>103407876</v>
      </c>
      <c r="B185" t="s">
        <v>4076</v>
      </c>
      <c r="C185" s="2">
        <v>44748</v>
      </c>
      <c r="D185">
        <v>5849</v>
      </c>
      <c r="E185">
        <v>1</v>
      </c>
      <c r="F185">
        <v>1</v>
      </c>
      <c r="G185">
        <v>5849</v>
      </c>
      <c r="H185">
        <v>5849</v>
      </c>
    </row>
    <row r="186" spans="1:8" x14ac:dyDescent="0.35">
      <c r="A186">
        <v>103407890</v>
      </c>
      <c r="B186" t="s">
        <v>4076</v>
      </c>
      <c r="C186" s="2">
        <v>44748</v>
      </c>
      <c r="D186">
        <v>2666.74</v>
      </c>
      <c r="E186">
        <v>1</v>
      </c>
      <c r="F186">
        <v>1</v>
      </c>
      <c r="G186">
        <v>2666.74</v>
      </c>
      <c r="H186">
        <v>2666.74</v>
      </c>
    </row>
    <row r="187" spans="1:8" x14ac:dyDescent="0.35">
      <c r="A187">
        <v>103407891</v>
      </c>
      <c r="B187" t="s">
        <v>4076</v>
      </c>
      <c r="C187" s="2">
        <v>44748</v>
      </c>
      <c r="D187">
        <v>4939.05</v>
      </c>
      <c r="E187">
        <v>1</v>
      </c>
      <c r="F187">
        <v>1</v>
      </c>
      <c r="G187">
        <v>4939.05</v>
      </c>
      <c r="H187">
        <v>4939.05</v>
      </c>
    </row>
    <row r="188" spans="1:8" x14ac:dyDescent="0.35">
      <c r="A188">
        <v>103407897</v>
      </c>
      <c r="B188" t="s">
        <v>4076</v>
      </c>
      <c r="C188" s="2">
        <v>44748</v>
      </c>
      <c r="D188">
        <v>1119</v>
      </c>
      <c r="E188">
        <v>1</v>
      </c>
      <c r="F188">
        <v>1</v>
      </c>
      <c r="G188">
        <v>1119</v>
      </c>
      <c r="H188">
        <v>1119</v>
      </c>
    </row>
    <row r="189" spans="1:8" x14ac:dyDescent="0.35">
      <c r="A189">
        <v>103407898</v>
      </c>
      <c r="B189" t="s">
        <v>4076</v>
      </c>
      <c r="C189" s="2">
        <v>44748</v>
      </c>
      <c r="D189">
        <v>2199</v>
      </c>
      <c r="E189">
        <v>1</v>
      </c>
      <c r="F189">
        <v>1</v>
      </c>
      <c r="G189">
        <v>2199</v>
      </c>
      <c r="H189">
        <v>2199</v>
      </c>
    </row>
    <row r="190" spans="1:8" x14ac:dyDescent="0.35">
      <c r="A190">
        <v>103407905</v>
      </c>
      <c r="B190" t="s">
        <v>4076</v>
      </c>
      <c r="C190" s="2">
        <v>44748</v>
      </c>
      <c r="D190">
        <v>1599</v>
      </c>
      <c r="E190">
        <v>1</v>
      </c>
      <c r="F190">
        <v>1</v>
      </c>
      <c r="G190">
        <v>1599</v>
      </c>
      <c r="H190">
        <v>1599</v>
      </c>
    </row>
    <row r="191" spans="1:8" x14ac:dyDescent="0.35">
      <c r="A191">
        <v>103407906</v>
      </c>
      <c r="B191" t="s">
        <v>4076</v>
      </c>
      <c r="C191" s="2">
        <v>44748</v>
      </c>
      <c r="D191">
        <v>2339.1</v>
      </c>
      <c r="E191">
        <v>1</v>
      </c>
      <c r="F191">
        <v>1</v>
      </c>
      <c r="G191">
        <v>2339.1</v>
      </c>
      <c r="H191">
        <v>2339.1</v>
      </c>
    </row>
    <row r="192" spans="1:8" x14ac:dyDescent="0.35">
      <c r="A192">
        <v>103407908</v>
      </c>
      <c r="B192" t="s">
        <v>4076</v>
      </c>
      <c r="C192" s="2">
        <v>44748</v>
      </c>
      <c r="D192">
        <v>2773.05</v>
      </c>
      <c r="E192">
        <v>1</v>
      </c>
      <c r="F192">
        <v>1</v>
      </c>
      <c r="G192">
        <v>2773.05</v>
      </c>
      <c r="H192">
        <v>2773.05</v>
      </c>
    </row>
    <row r="193" spans="1:8" x14ac:dyDescent="0.35">
      <c r="A193">
        <v>103407909</v>
      </c>
      <c r="B193" t="s">
        <v>4076</v>
      </c>
      <c r="C193" s="2">
        <v>44748</v>
      </c>
      <c r="D193">
        <v>669</v>
      </c>
      <c r="E193">
        <v>1</v>
      </c>
      <c r="F193">
        <v>1</v>
      </c>
      <c r="G193">
        <v>669</v>
      </c>
      <c r="H193">
        <v>669</v>
      </c>
    </row>
    <row r="194" spans="1:8" x14ac:dyDescent="0.35">
      <c r="A194">
        <v>103407910</v>
      </c>
      <c r="B194" t="s">
        <v>4076</v>
      </c>
      <c r="C194" s="2">
        <v>44748</v>
      </c>
      <c r="D194">
        <v>2991.55</v>
      </c>
      <c r="E194">
        <v>1</v>
      </c>
      <c r="F194">
        <v>1</v>
      </c>
      <c r="G194">
        <v>2991.55</v>
      </c>
      <c r="H194">
        <v>2991.55</v>
      </c>
    </row>
    <row r="195" spans="1:8" x14ac:dyDescent="0.35">
      <c r="A195">
        <v>103407913</v>
      </c>
      <c r="B195" t="s">
        <v>4076</v>
      </c>
      <c r="C195" s="2">
        <v>44748</v>
      </c>
      <c r="D195">
        <v>2659.05</v>
      </c>
      <c r="E195">
        <v>1</v>
      </c>
      <c r="F195">
        <v>1</v>
      </c>
      <c r="G195">
        <v>2659.05</v>
      </c>
      <c r="H195">
        <v>2659.05</v>
      </c>
    </row>
    <row r="196" spans="1:8" x14ac:dyDescent="0.35">
      <c r="A196">
        <v>103407914</v>
      </c>
      <c r="B196" t="s">
        <v>4076</v>
      </c>
      <c r="C196" s="2">
        <v>44748</v>
      </c>
      <c r="D196">
        <v>2399</v>
      </c>
      <c r="E196">
        <v>1</v>
      </c>
      <c r="F196">
        <v>1</v>
      </c>
      <c r="G196">
        <v>2399</v>
      </c>
      <c r="H196">
        <v>2399</v>
      </c>
    </row>
    <row r="197" spans="1:8" x14ac:dyDescent="0.35">
      <c r="A197">
        <v>103407918</v>
      </c>
      <c r="B197" t="s">
        <v>4076</v>
      </c>
      <c r="C197" s="2">
        <v>44748</v>
      </c>
      <c r="D197">
        <v>629</v>
      </c>
      <c r="E197">
        <v>1</v>
      </c>
      <c r="F197">
        <v>1</v>
      </c>
      <c r="G197">
        <v>629</v>
      </c>
      <c r="H197">
        <v>629</v>
      </c>
    </row>
    <row r="198" spans="1:8" x14ac:dyDescent="0.35">
      <c r="A198">
        <v>103407923</v>
      </c>
      <c r="B198" t="s">
        <v>4076</v>
      </c>
      <c r="C198" s="2">
        <v>44748</v>
      </c>
      <c r="D198">
        <v>2279</v>
      </c>
      <c r="E198">
        <v>1</v>
      </c>
      <c r="F198">
        <v>1</v>
      </c>
      <c r="G198">
        <v>2279</v>
      </c>
      <c r="H198">
        <v>2279</v>
      </c>
    </row>
    <row r="199" spans="1:8" x14ac:dyDescent="0.35">
      <c r="A199">
        <v>103407925</v>
      </c>
      <c r="B199" t="s">
        <v>4076</v>
      </c>
      <c r="C199" s="2">
        <v>44748</v>
      </c>
      <c r="D199">
        <v>3632.94</v>
      </c>
      <c r="E199">
        <v>1</v>
      </c>
      <c r="F199">
        <v>1</v>
      </c>
      <c r="G199">
        <v>3632.94</v>
      </c>
      <c r="H199">
        <v>3632.94</v>
      </c>
    </row>
    <row r="200" spans="1:8" x14ac:dyDescent="0.35">
      <c r="A200">
        <v>103407927</v>
      </c>
      <c r="B200" t="s">
        <v>4076</v>
      </c>
      <c r="C200" s="2">
        <v>44748</v>
      </c>
      <c r="D200">
        <v>4274.05</v>
      </c>
      <c r="E200">
        <v>1</v>
      </c>
      <c r="F200">
        <v>1</v>
      </c>
      <c r="G200">
        <v>4274.05</v>
      </c>
      <c r="H200">
        <v>4274.05</v>
      </c>
    </row>
    <row r="201" spans="1:8" x14ac:dyDescent="0.35">
      <c r="A201">
        <v>103407928</v>
      </c>
      <c r="B201" t="s">
        <v>4076</v>
      </c>
      <c r="C201" s="2">
        <v>44748</v>
      </c>
      <c r="D201">
        <v>2999</v>
      </c>
      <c r="E201">
        <v>1</v>
      </c>
      <c r="F201">
        <v>1</v>
      </c>
      <c r="G201">
        <v>2999</v>
      </c>
      <c r="H201">
        <v>2999</v>
      </c>
    </row>
    <row r="202" spans="1:8" x14ac:dyDescent="0.35">
      <c r="A202">
        <v>103407931</v>
      </c>
      <c r="B202" t="s">
        <v>4076</v>
      </c>
      <c r="C202" s="2">
        <v>44748</v>
      </c>
      <c r="D202">
        <v>549</v>
      </c>
      <c r="E202">
        <v>1</v>
      </c>
      <c r="F202">
        <v>1</v>
      </c>
      <c r="G202">
        <v>549</v>
      </c>
      <c r="H202">
        <v>549</v>
      </c>
    </row>
    <row r="203" spans="1:8" x14ac:dyDescent="0.35">
      <c r="A203">
        <v>103407934</v>
      </c>
      <c r="B203" t="s">
        <v>4076</v>
      </c>
      <c r="C203" s="2">
        <v>44748</v>
      </c>
      <c r="D203">
        <v>1169</v>
      </c>
      <c r="E203">
        <v>1</v>
      </c>
      <c r="F203">
        <v>1</v>
      </c>
      <c r="G203">
        <v>1169</v>
      </c>
      <c r="H203">
        <v>1169</v>
      </c>
    </row>
    <row r="204" spans="1:8" x14ac:dyDescent="0.35">
      <c r="A204">
        <v>103407938</v>
      </c>
      <c r="B204" t="s">
        <v>4076</v>
      </c>
      <c r="C204" s="2">
        <v>44748</v>
      </c>
      <c r="D204">
        <v>1949</v>
      </c>
      <c r="E204">
        <v>1</v>
      </c>
      <c r="F204">
        <v>1</v>
      </c>
      <c r="G204">
        <v>1949</v>
      </c>
      <c r="H204">
        <v>1949</v>
      </c>
    </row>
    <row r="205" spans="1:8" x14ac:dyDescent="0.35">
      <c r="A205">
        <v>103407939</v>
      </c>
      <c r="B205" t="s">
        <v>4076</v>
      </c>
      <c r="C205" s="2">
        <v>44748</v>
      </c>
      <c r="D205">
        <v>3989.05</v>
      </c>
      <c r="E205">
        <v>1</v>
      </c>
      <c r="F205">
        <v>1</v>
      </c>
      <c r="G205">
        <v>3989.05</v>
      </c>
      <c r="H205">
        <v>3989.05</v>
      </c>
    </row>
    <row r="206" spans="1:8" x14ac:dyDescent="0.35">
      <c r="A206">
        <v>103407940</v>
      </c>
      <c r="B206" t="s">
        <v>4076</v>
      </c>
      <c r="C206" s="2">
        <v>44748</v>
      </c>
      <c r="D206">
        <v>1499</v>
      </c>
      <c r="E206">
        <v>1</v>
      </c>
      <c r="F206">
        <v>1</v>
      </c>
      <c r="G206">
        <v>1499</v>
      </c>
      <c r="H206">
        <v>1499</v>
      </c>
    </row>
    <row r="207" spans="1:8" x14ac:dyDescent="0.35">
      <c r="A207">
        <v>103407947</v>
      </c>
      <c r="B207" t="s">
        <v>4076</v>
      </c>
      <c r="C207" s="2">
        <v>44748</v>
      </c>
      <c r="D207">
        <v>669</v>
      </c>
      <c r="E207">
        <v>1</v>
      </c>
      <c r="F207">
        <v>1</v>
      </c>
      <c r="G207">
        <v>669</v>
      </c>
      <c r="H207">
        <v>669</v>
      </c>
    </row>
    <row r="208" spans="1:8" x14ac:dyDescent="0.35">
      <c r="A208">
        <v>103407952</v>
      </c>
      <c r="B208" t="s">
        <v>4076</v>
      </c>
      <c r="C208" s="2">
        <v>44748</v>
      </c>
      <c r="D208">
        <v>691.69</v>
      </c>
      <c r="E208">
        <v>1</v>
      </c>
      <c r="F208">
        <v>1</v>
      </c>
      <c r="G208">
        <v>691.69</v>
      </c>
      <c r="H208">
        <v>691.69</v>
      </c>
    </row>
    <row r="209" spans="1:8" x14ac:dyDescent="0.35">
      <c r="A209">
        <v>103407955</v>
      </c>
      <c r="B209" t="s">
        <v>4076</v>
      </c>
      <c r="C209" s="2">
        <v>44748</v>
      </c>
      <c r="D209">
        <v>979</v>
      </c>
      <c r="E209">
        <v>1</v>
      </c>
      <c r="F209">
        <v>1</v>
      </c>
      <c r="G209">
        <v>979</v>
      </c>
      <c r="H209">
        <v>979</v>
      </c>
    </row>
    <row r="210" spans="1:8" x14ac:dyDescent="0.35">
      <c r="A210">
        <v>103407957</v>
      </c>
      <c r="B210" t="s">
        <v>4076</v>
      </c>
      <c r="C210" s="2">
        <v>44748</v>
      </c>
      <c r="D210">
        <v>3999</v>
      </c>
      <c r="E210">
        <v>1</v>
      </c>
      <c r="F210">
        <v>1</v>
      </c>
      <c r="G210">
        <v>3999</v>
      </c>
      <c r="H210">
        <v>3999</v>
      </c>
    </row>
    <row r="211" spans="1:8" x14ac:dyDescent="0.35">
      <c r="A211">
        <v>103407963</v>
      </c>
      <c r="B211" t="s">
        <v>4076</v>
      </c>
      <c r="C211" s="2">
        <v>44748</v>
      </c>
      <c r="D211">
        <v>1999</v>
      </c>
      <c r="E211">
        <v>1</v>
      </c>
      <c r="F211">
        <v>1</v>
      </c>
      <c r="G211">
        <v>1999</v>
      </c>
      <c r="H211">
        <v>1999</v>
      </c>
    </row>
    <row r="212" spans="1:8" x14ac:dyDescent="0.35">
      <c r="A212">
        <v>103407964</v>
      </c>
      <c r="B212" t="s">
        <v>4076</v>
      </c>
      <c r="C212" s="2">
        <v>44748</v>
      </c>
      <c r="D212">
        <v>969</v>
      </c>
      <c r="E212">
        <v>1</v>
      </c>
      <c r="F212">
        <v>1</v>
      </c>
      <c r="G212">
        <v>969</v>
      </c>
      <c r="H212">
        <v>969</v>
      </c>
    </row>
    <row r="213" spans="1:8" x14ac:dyDescent="0.35">
      <c r="A213">
        <v>103407969</v>
      </c>
      <c r="B213" t="s">
        <v>4076</v>
      </c>
      <c r="C213" s="2">
        <v>44748</v>
      </c>
      <c r="D213">
        <v>389</v>
      </c>
      <c r="E213">
        <v>1</v>
      </c>
      <c r="F213">
        <v>1</v>
      </c>
      <c r="G213">
        <v>389</v>
      </c>
      <c r="H213">
        <v>389</v>
      </c>
    </row>
    <row r="214" spans="1:8" x14ac:dyDescent="0.35">
      <c r="A214">
        <v>103407978</v>
      </c>
      <c r="B214" t="s">
        <v>4076</v>
      </c>
      <c r="C214" s="2">
        <v>44748</v>
      </c>
      <c r="D214">
        <v>999.49</v>
      </c>
      <c r="E214">
        <v>1</v>
      </c>
      <c r="F214">
        <v>1</v>
      </c>
      <c r="G214">
        <v>999.49</v>
      </c>
      <c r="H214">
        <v>999.49</v>
      </c>
    </row>
    <row r="215" spans="1:8" x14ac:dyDescent="0.35">
      <c r="A215">
        <v>103407979</v>
      </c>
      <c r="B215" t="s">
        <v>4076</v>
      </c>
      <c r="C215" s="2">
        <v>44748</v>
      </c>
      <c r="D215">
        <v>3761.14</v>
      </c>
      <c r="E215">
        <v>1</v>
      </c>
      <c r="F215">
        <v>1</v>
      </c>
      <c r="G215">
        <v>3761.14</v>
      </c>
      <c r="H215">
        <v>3761.14</v>
      </c>
    </row>
    <row r="216" spans="1:8" x14ac:dyDescent="0.35">
      <c r="A216">
        <v>103407980</v>
      </c>
      <c r="B216" t="s">
        <v>4076</v>
      </c>
      <c r="C216" s="2">
        <v>44748</v>
      </c>
      <c r="D216">
        <v>1399</v>
      </c>
      <c r="E216">
        <v>1</v>
      </c>
      <c r="F216">
        <v>1</v>
      </c>
      <c r="G216">
        <v>1399</v>
      </c>
      <c r="H216">
        <v>1399</v>
      </c>
    </row>
    <row r="217" spans="1:8" x14ac:dyDescent="0.35">
      <c r="A217">
        <v>103407982</v>
      </c>
      <c r="B217" t="s">
        <v>4076</v>
      </c>
      <c r="C217" s="2">
        <v>44748</v>
      </c>
      <c r="D217">
        <v>629</v>
      </c>
      <c r="E217">
        <v>1</v>
      </c>
      <c r="F217">
        <v>1</v>
      </c>
      <c r="G217">
        <v>629</v>
      </c>
      <c r="H217">
        <v>629</v>
      </c>
    </row>
    <row r="218" spans="1:8" x14ac:dyDescent="0.35">
      <c r="A218">
        <v>103408006</v>
      </c>
      <c r="B218" t="s">
        <v>4076</v>
      </c>
      <c r="C218" s="2">
        <v>44748</v>
      </c>
      <c r="D218">
        <v>1528</v>
      </c>
      <c r="E218">
        <v>2</v>
      </c>
      <c r="F218">
        <v>1</v>
      </c>
      <c r="G218">
        <v>764</v>
      </c>
      <c r="H218">
        <v>1528</v>
      </c>
    </row>
    <row r="219" spans="1:8" x14ac:dyDescent="0.35">
      <c r="A219">
        <v>103408015</v>
      </c>
      <c r="B219" t="s">
        <v>4076</v>
      </c>
      <c r="C219" s="2">
        <v>44748</v>
      </c>
      <c r="D219">
        <v>2469.0500000000002</v>
      </c>
      <c r="E219">
        <v>1</v>
      </c>
      <c r="F219">
        <v>1</v>
      </c>
      <c r="G219">
        <v>2469.0500000000002</v>
      </c>
      <c r="H219">
        <v>2469.0500000000002</v>
      </c>
    </row>
    <row r="220" spans="1:8" x14ac:dyDescent="0.35">
      <c r="A220">
        <v>103408018</v>
      </c>
      <c r="B220" t="s">
        <v>4076</v>
      </c>
      <c r="C220" s="2">
        <v>44748</v>
      </c>
      <c r="D220">
        <v>5984.05</v>
      </c>
      <c r="E220">
        <v>1</v>
      </c>
      <c r="F220">
        <v>1</v>
      </c>
      <c r="G220">
        <v>5984.05</v>
      </c>
      <c r="H220">
        <v>5984.05</v>
      </c>
    </row>
    <row r="221" spans="1:8" x14ac:dyDescent="0.35">
      <c r="A221">
        <v>103408019</v>
      </c>
      <c r="B221" t="s">
        <v>4076</v>
      </c>
      <c r="C221" s="2">
        <v>44748</v>
      </c>
      <c r="D221">
        <v>1136.25</v>
      </c>
      <c r="E221">
        <v>1</v>
      </c>
      <c r="F221">
        <v>1</v>
      </c>
      <c r="G221">
        <v>1136.25</v>
      </c>
      <c r="H221">
        <v>1136.25</v>
      </c>
    </row>
    <row r="222" spans="1:8" x14ac:dyDescent="0.35">
      <c r="A222">
        <v>103408034</v>
      </c>
      <c r="B222" t="s">
        <v>4076</v>
      </c>
      <c r="C222" s="2">
        <v>44748</v>
      </c>
      <c r="D222">
        <v>5999</v>
      </c>
      <c r="E222">
        <v>1</v>
      </c>
      <c r="F222">
        <v>1</v>
      </c>
      <c r="G222">
        <v>5999</v>
      </c>
      <c r="H222">
        <v>5999</v>
      </c>
    </row>
    <row r="223" spans="1:8" x14ac:dyDescent="0.35">
      <c r="A223">
        <v>103408035</v>
      </c>
      <c r="B223" t="s">
        <v>4076</v>
      </c>
      <c r="C223" s="2">
        <v>44748</v>
      </c>
      <c r="D223">
        <v>2326.5500000000002</v>
      </c>
      <c r="E223">
        <v>1</v>
      </c>
      <c r="F223">
        <v>1</v>
      </c>
      <c r="G223">
        <v>2326.5500000000002</v>
      </c>
      <c r="H223">
        <v>2326.5500000000002</v>
      </c>
    </row>
    <row r="224" spans="1:8" x14ac:dyDescent="0.35">
      <c r="A224">
        <v>103408039</v>
      </c>
      <c r="B224" t="s">
        <v>4076</v>
      </c>
      <c r="C224" s="2">
        <v>44748</v>
      </c>
      <c r="D224">
        <v>3390.55</v>
      </c>
      <c r="E224">
        <v>1</v>
      </c>
      <c r="F224">
        <v>1</v>
      </c>
      <c r="G224">
        <v>3390.55</v>
      </c>
      <c r="H224">
        <v>3390.55</v>
      </c>
    </row>
    <row r="225" spans="1:8" x14ac:dyDescent="0.35">
      <c r="A225">
        <v>103408041</v>
      </c>
      <c r="B225" t="s">
        <v>4076</v>
      </c>
      <c r="C225" s="2">
        <v>44748</v>
      </c>
      <c r="D225">
        <v>3038</v>
      </c>
      <c r="E225">
        <v>2</v>
      </c>
      <c r="F225">
        <v>1</v>
      </c>
      <c r="G225">
        <v>1519</v>
      </c>
      <c r="H225">
        <v>3038</v>
      </c>
    </row>
    <row r="226" spans="1:8" x14ac:dyDescent="0.35">
      <c r="A226">
        <v>103408044</v>
      </c>
      <c r="B226" t="s">
        <v>4076</v>
      </c>
      <c r="C226" s="2">
        <v>44748</v>
      </c>
      <c r="D226">
        <v>1349</v>
      </c>
      <c r="E226">
        <v>1</v>
      </c>
      <c r="F226">
        <v>1</v>
      </c>
      <c r="G226">
        <v>1349</v>
      </c>
      <c r="H226">
        <v>1349</v>
      </c>
    </row>
    <row r="227" spans="1:8" x14ac:dyDescent="0.35">
      <c r="A227">
        <v>103408045</v>
      </c>
      <c r="B227" t="s">
        <v>4076</v>
      </c>
      <c r="C227" s="2">
        <v>44748</v>
      </c>
      <c r="D227">
        <v>1775.55</v>
      </c>
      <c r="E227">
        <v>1</v>
      </c>
      <c r="F227">
        <v>1</v>
      </c>
      <c r="G227">
        <v>1775.55</v>
      </c>
      <c r="H227">
        <v>1775.55</v>
      </c>
    </row>
    <row r="228" spans="1:8" x14ac:dyDescent="0.35">
      <c r="A228">
        <v>103408049</v>
      </c>
      <c r="B228" t="s">
        <v>4076</v>
      </c>
      <c r="C228" s="2">
        <v>44748</v>
      </c>
      <c r="D228">
        <v>455.05</v>
      </c>
      <c r="E228">
        <v>1</v>
      </c>
      <c r="F228">
        <v>1</v>
      </c>
      <c r="G228">
        <v>455.05</v>
      </c>
      <c r="H228">
        <v>455.05</v>
      </c>
    </row>
    <row r="229" spans="1:8" x14ac:dyDescent="0.35">
      <c r="A229">
        <v>103408055</v>
      </c>
      <c r="B229" t="s">
        <v>4076</v>
      </c>
      <c r="C229" s="2">
        <v>44748</v>
      </c>
      <c r="D229">
        <v>1888.6</v>
      </c>
      <c r="E229">
        <v>2</v>
      </c>
      <c r="F229">
        <v>1</v>
      </c>
      <c r="G229">
        <v>944.3</v>
      </c>
      <c r="H229">
        <v>1888.6</v>
      </c>
    </row>
    <row r="230" spans="1:8" x14ac:dyDescent="0.35">
      <c r="A230">
        <v>103408065</v>
      </c>
      <c r="B230" t="s">
        <v>4076</v>
      </c>
      <c r="C230" s="2">
        <v>44748</v>
      </c>
      <c r="D230">
        <v>1670.1</v>
      </c>
      <c r="E230">
        <v>2</v>
      </c>
      <c r="F230">
        <v>1</v>
      </c>
      <c r="G230">
        <v>835.05</v>
      </c>
      <c r="H230">
        <v>1670.1</v>
      </c>
    </row>
    <row r="231" spans="1:8" x14ac:dyDescent="0.35">
      <c r="A231">
        <v>103408070</v>
      </c>
      <c r="B231" t="s">
        <v>4076</v>
      </c>
      <c r="C231" s="2">
        <v>44748</v>
      </c>
      <c r="D231">
        <v>2279.0500000000002</v>
      </c>
      <c r="E231">
        <v>1</v>
      </c>
      <c r="F231">
        <v>1</v>
      </c>
      <c r="G231">
        <v>2279.0500000000002</v>
      </c>
      <c r="H231">
        <v>2279.0500000000002</v>
      </c>
    </row>
    <row r="232" spans="1:8" x14ac:dyDescent="0.35">
      <c r="A232">
        <v>103408073</v>
      </c>
      <c r="B232" t="s">
        <v>4076</v>
      </c>
      <c r="C232" s="2">
        <v>44748</v>
      </c>
      <c r="D232">
        <v>1994.05</v>
      </c>
      <c r="E232">
        <v>1</v>
      </c>
      <c r="F232">
        <v>1</v>
      </c>
      <c r="G232">
        <v>1994.05</v>
      </c>
      <c r="H232">
        <v>1994.05</v>
      </c>
    </row>
    <row r="233" spans="1:8" x14ac:dyDescent="0.35">
      <c r="A233">
        <v>103408078</v>
      </c>
      <c r="B233" t="s">
        <v>4076</v>
      </c>
      <c r="C233" s="2">
        <v>44748</v>
      </c>
      <c r="D233">
        <v>1775.55</v>
      </c>
      <c r="E233">
        <v>1</v>
      </c>
      <c r="F233">
        <v>1</v>
      </c>
      <c r="G233">
        <v>1775.55</v>
      </c>
      <c r="H233">
        <v>1775.55</v>
      </c>
    </row>
    <row r="234" spans="1:8" x14ac:dyDescent="0.35">
      <c r="A234">
        <v>103408080</v>
      </c>
      <c r="B234" t="s">
        <v>4076</v>
      </c>
      <c r="C234" s="2">
        <v>44748</v>
      </c>
      <c r="D234">
        <v>3207</v>
      </c>
      <c r="E234">
        <v>3</v>
      </c>
      <c r="F234">
        <v>1</v>
      </c>
      <c r="G234">
        <v>1069</v>
      </c>
      <c r="H234">
        <v>3207</v>
      </c>
    </row>
    <row r="235" spans="1:8" x14ac:dyDescent="0.35">
      <c r="A235">
        <v>103408096</v>
      </c>
      <c r="B235" t="s">
        <v>4076</v>
      </c>
      <c r="C235" s="2">
        <v>44748</v>
      </c>
      <c r="D235">
        <v>521.54999999999995</v>
      </c>
      <c r="E235">
        <v>1</v>
      </c>
      <c r="F235">
        <v>1</v>
      </c>
      <c r="G235">
        <v>521.54999999999995</v>
      </c>
      <c r="H235">
        <v>521.54999999999995</v>
      </c>
    </row>
    <row r="236" spans="1:8" x14ac:dyDescent="0.35">
      <c r="A236">
        <v>103408104</v>
      </c>
      <c r="B236" t="s">
        <v>4076</v>
      </c>
      <c r="C236" s="2">
        <v>44748</v>
      </c>
      <c r="D236">
        <v>455.05</v>
      </c>
      <c r="E236">
        <v>1</v>
      </c>
      <c r="F236">
        <v>1</v>
      </c>
      <c r="G236">
        <v>455.05</v>
      </c>
      <c r="H236">
        <v>455.05</v>
      </c>
    </row>
    <row r="237" spans="1:8" x14ac:dyDescent="0.35">
      <c r="A237">
        <v>103408113</v>
      </c>
      <c r="B237" t="s">
        <v>4076</v>
      </c>
      <c r="C237" s="2">
        <v>44748</v>
      </c>
      <c r="D237">
        <v>3704.05</v>
      </c>
      <c r="E237">
        <v>1</v>
      </c>
      <c r="F237">
        <v>1</v>
      </c>
      <c r="G237">
        <v>3704.05</v>
      </c>
      <c r="H237">
        <v>3704.05</v>
      </c>
    </row>
    <row r="238" spans="1:8" x14ac:dyDescent="0.35">
      <c r="A238">
        <v>103408115</v>
      </c>
      <c r="B238" t="s">
        <v>4076</v>
      </c>
      <c r="C238" s="2">
        <v>44748</v>
      </c>
      <c r="D238">
        <v>1216.57</v>
      </c>
      <c r="E238">
        <v>2</v>
      </c>
      <c r="F238">
        <v>1</v>
      </c>
      <c r="G238">
        <v>608.28499999999997</v>
      </c>
      <c r="H238">
        <v>1216.57</v>
      </c>
    </row>
    <row r="239" spans="1:8" x14ac:dyDescent="0.35">
      <c r="A239">
        <v>103408119</v>
      </c>
      <c r="B239" t="s">
        <v>4076</v>
      </c>
      <c r="C239" s="2">
        <v>44748</v>
      </c>
      <c r="D239">
        <v>1499</v>
      </c>
      <c r="E239">
        <v>1</v>
      </c>
      <c r="F239">
        <v>1</v>
      </c>
      <c r="G239">
        <v>1499</v>
      </c>
      <c r="H239">
        <v>1499</v>
      </c>
    </row>
    <row r="240" spans="1:8" x14ac:dyDescent="0.35">
      <c r="A240">
        <v>103408122</v>
      </c>
      <c r="B240" t="s">
        <v>4076</v>
      </c>
      <c r="C240" s="2">
        <v>44748</v>
      </c>
      <c r="D240">
        <v>4094.1</v>
      </c>
      <c r="E240">
        <v>1</v>
      </c>
      <c r="F240">
        <v>1</v>
      </c>
      <c r="G240">
        <v>4094.1</v>
      </c>
      <c r="H240">
        <v>4094.1</v>
      </c>
    </row>
    <row r="241" spans="1:8" x14ac:dyDescent="0.35">
      <c r="A241">
        <v>103408123</v>
      </c>
      <c r="B241" t="s">
        <v>4076</v>
      </c>
      <c r="C241" s="2">
        <v>44748</v>
      </c>
      <c r="D241">
        <v>2849.05</v>
      </c>
      <c r="E241">
        <v>1</v>
      </c>
      <c r="F241">
        <v>1</v>
      </c>
      <c r="G241">
        <v>2849.05</v>
      </c>
      <c r="H241">
        <v>2849.05</v>
      </c>
    </row>
    <row r="242" spans="1:8" x14ac:dyDescent="0.35">
      <c r="A242">
        <v>103408124</v>
      </c>
      <c r="B242" t="s">
        <v>4076</v>
      </c>
      <c r="C242" s="2">
        <v>44748</v>
      </c>
      <c r="D242">
        <v>2526.0500000000002</v>
      </c>
      <c r="E242">
        <v>1</v>
      </c>
      <c r="F242">
        <v>1</v>
      </c>
      <c r="G242">
        <v>2526.0500000000002</v>
      </c>
      <c r="H242">
        <v>2526.0500000000002</v>
      </c>
    </row>
    <row r="243" spans="1:8" x14ac:dyDescent="0.35">
      <c r="A243">
        <v>103408125</v>
      </c>
      <c r="B243" t="s">
        <v>4076</v>
      </c>
      <c r="C243" s="2">
        <v>44748</v>
      </c>
      <c r="D243">
        <v>468.4</v>
      </c>
      <c r="E243">
        <v>1</v>
      </c>
      <c r="F243">
        <v>1</v>
      </c>
      <c r="G243">
        <v>468.4</v>
      </c>
      <c r="H243">
        <v>468.4</v>
      </c>
    </row>
    <row r="244" spans="1:8" x14ac:dyDescent="0.35">
      <c r="A244">
        <v>103408133</v>
      </c>
      <c r="B244" t="s">
        <v>4076</v>
      </c>
      <c r="C244" s="2">
        <v>44748</v>
      </c>
      <c r="D244">
        <v>2398</v>
      </c>
      <c r="E244">
        <v>2</v>
      </c>
      <c r="F244">
        <v>1</v>
      </c>
      <c r="G244">
        <v>1199</v>
      </c>
      <c r="H244">
        <v>2398</v>
      </c>
    </row>
    <row r="245" spans="1:8" x14ac:dyDescent="0.35">
      <c r="A245">
        <v>103408137</v>
      </c>
      <c r="B245" t="s">
        <v>4076</v>
      </c>
      <c r="C245" s="2">
        <v>44748</v>
      </c>
      <c r="D245">
        <v>2099</v>
      </c>
      <c r="E245">
        <v>1</v>
      </c>
      <c r="F245">
        <v>1</v>
      </c>
      <c r="G245">
        <v>2099</v>
      </c>
      <c r="H245">
        <v>2099</v>
      </c>
    </row>
    <row r="246" spans="1:8" x14ac:dyDescent="0.35">
      <c r="A246">
        <v>103408138</v>
      </c>
      <c r="B246" t="s">
        <v>4076</v>
      </c>
      <c r="C246" s="2">
        <v>44748</v>
      </c>
      <c r="D246">
        <v>5556.55</v>
      </c>
      <c r="E246">
        <v>1</v>
      </c>
      <c r="F246">
        <v>1</v>
      </c>
      <c r="G246">
        <v>5556.55</v>
      </c>
      <c r="H246">
        <v>5556.55</v>
      </c>
    </row>
    <row r="247" spans="1:8" x14ac:dyDescent="0.35">
      <c r="A247">
        <v>103408139</v>
      </c>
      <c r="B247" t="s">
        <v>4076</v>
      </c>
      <c r="C247" s="2">
        <v>44748</v>
      </c>
      <c r="D247">
        <v>768.55</v>
      </c>
      <c r="E247">
        <v>1</v>
      </c>
      <c r="F247">
        <v>1</v>
      </c>
      <c r="G247">
        <v>768.55</v>
      </c>
      <c r="H247">
        <v>768.55</v>
      </c>
    </row>
    <row r="248" spans="1:8" x14ac:dyDescent="0.35">
      <c r="A248">
        <v>103408140</v>
      </c>
      <c r="B248" t="s">
        <v>4076</v>
      </c>
      <c r="C248" s="2">
        <v>44748</v>
      </c>
      <c r="D248">
        <v>899</v>
      </c>
      <c r="E248">
        <v>1</v>
      </c>
      <c r="F248">
        <v>1</v>
      </c>
      <c r="G248">
        <v>899</v>
      </c>
      <c r="H248">
        <v>899</v>
      </c>
    </row>
    <row r="249" spans="1:8" x14ac:dyDescent="0.35">
      <c r="A249">
        <v>103408143</v>
      </c>
      <c r="B249" t="s">
        <v>4076</v>
      </c>
      <c r="C249" s="2">
        <v>44748</v>
      </c>
      <c r="D249">
        <v>4799</v>
      </c>
      <c r="E249">
        <v>1</v>
      </c>
      <c r="F249">
        <v>1</v>
      </c>
      <c r="G249">
        <v>4799</v>
      </c>
      <c r="H249">
        <v>4799</v>
      </c>
    </row>
    <row r="250" spans="1:8" x14ac:dyDescent="0.35">
      <c r="A250">
        <v>103408144</v>
      </c>
      <c r="B250" t="s">
        <v>4076</v>
      </c>
      <c r="C250" s="2">
        <v>44748</v>
      </c>
      <c r="D250">
        <v>3411.75</v>
      </c>
      <c r="E250">
        <v>1</v>
      </c>
      <c r="F250">
        <v>1</v>
      </c>
      <c r="G250">
        <v>3411.75</v>
      </c>
      <c r="H250">
        <v>3411.75</v>
      </c>
    </row>
    <row r="251" spans="1:8" x14ac:dyDescent="0.35">
      <c r="A251">
        <v>103408148</v>
      </c>
      <c r="B251" t="s">
        <v>4076</v>
      </c>
      <c r="C251" s="2">
        <v>44748</v>
      </c>
      <c r="D251">
        <v>3599</v>
      </c>
      <c r="E251">
        <v>1</v>
      </c>
      <c r="F251">
        <v>1</v>
      </c>
      <c r="G251">
        <v>3599</v>
      </c>
      <c r="H251">
        <v>3599</v>
      </c>
    </row>
    <row r="252" spans="1:8" x14ac:dyDescent="0.35">
      <c r="A252">
        <v>103408153</v>
      </c>
      <c r="B252" t="s">
        <v>4076</v>
      </c>
      <c r="C252" s="2">
        <v>44748</v>
      </c>
      <c r="D252">
        <v>1799.1</v>
      </c>
      <c r="E252">
        <v>1</v>
      </c>
      <c r="F252">
        <v>1</v>
      </c>
      <c r="G252">
        <v>1799.1</v>
      </c>
      <c r="H252">
        <v>1799.1</v>
      </c>
    </row>
    <row r="253" spans="1:8" x14ac:dyDescent="0.35">
      <c r="A253">
        <v>103408154</v>
      </c>
      <c r="B253" t="s">
        <v>4076</v>
      </c>
      <c r="C253" s="2">
        <v>44748</v>
      </c>
      <c r="D253">
        <v>2488.0500000000002</v>
      </c>
      <c r="E253">
        <v>1</v>
      </c>
      <c r="F253">
        <v>1</v>
      </c>
      <c r="G253">
        <v>2488.0500000000002</v>
      </c>
      <c r="H253">
        <v>2488.0500000000002</v>
      </c>
    </row>
    <row r="254" spans="1:8" x14ac:dyDescent="0.35">
      <c r="A254">
        <v>103408157</v>
      </c>
      <c r="B254" t="s">
        <v>4076</v>
      </c>
      <c r="C254" s="2">
        <v>44748</v>
      </c>
      <c r="D254">
        <v>1569</v>
      </c>
      <c r="E254">
        <v>1</v>
      </c>
      <c r="F254">
        <v>1</v>
      </c>
      <c r="G254">
        <v>1569</v>
      </c>
      <c r="H254">
        <v>1569</v>
      </c>
    </row>
    <row r="255" spans="1:8" x14ac:dyDescent="0.35">
      <c r="A255">
        <v>103408166</v>
      </c>
      <c r="B255" t="s">
        <v>4076</v>
      </c>
      <c r="C255" s="2">
        <v>44748</v>
      </c>
      <c r="D255">
        <v>999.49</v>
      </c>
      <c r="E255">
        <v>1</v>
      </c>
      <c r="F255">
        <v>1</v>
      </c>
      <c r="G255">
        <v>999.49</v>
      </c>
      <c r="H255">
        <v>999.49</v>
      </c>
    </row>
    <row r="256" spans="1:8" x14ac:dyDescent="0.35">
      <c r="A256">
        <v>103408168</v>
      </c>
      <c r="B256" t="s">
        <v>4076</v>
      </c>
      <c r="C256" s="2">
        <v>44748</v>
      </c>
      <c r="D256">
        <v>742.99</v>
      </c>
      <c r="E256">
        <v>1</v>
      </c>
      <c r="F256">
        <v>1</v>
      </c>
      <c r="G256">
        <v>742.99</v>
      </c>
      <c r="H256">
        <v>742.99</v>
      </c>
    </row>
    <row r="257" spans="1:8" x14ac:dyDescent="0.35">
      <c r="A257">
        <v>103408169</v>
      </c>
      <c r="B257" t="s">
        <v>4076</v>
      </c>
      <c r="C257" s="2">
        <v>44748</v>
      </c>
      <c r="D257">
        <v>479</v>
      </c>
      <c r="E257">
        <v>1</v>
      </c>
      <c r="F257">
        <v>1</v>
      </c>
      <c r="G257">
        <v>479</v>
      </c>
      <c r="H257">
        <v>479</v>
      </c>
    </row>
    <row r="258" spans="1:8" x14ac:dyDescent="0.35">
      <c r="A258">
        <v>103408170</v>
      </c>
      <c r="B258" t="s">
        <v>4076</v>
      </c>
      <c r="C258" s="2">
        <v>44748</v>
      </c>
      <c r="D258">
        <v>2469.0500000000002</v>
      </c>
      <c r="E258">
        <v>1</v>
      </c>
      <c r="F258">
        <v>1</v>
      </c>
      <c r="G258">
        <v>2469.0500000000002</v>
      </c>
      <c r="H258">
        <v>2469.0500000000002</v>
      </c>
    </row>
    <row r="259" spans="1:8" x14ac:dyDescent="0.35">
      <c r="A259">
        <v>103408173</v>
      </c>
      <c r="B259" t="s">
        <v>4076</v>
      </c>
      <c r="C259" s="2">
        <v>44748</v>
      </c>
      <c r="D259">
        <v>2849.05</v>
      </c>
      <c r="E259">
        <v>1</v>
      </c>
      <c r="F259">
        <v>1</v>
      </c>
      <c r="G259">
        <v>2849.05</v>
      </c>
      <c r="H259">
        <v>2849.05</v>
      </c>
    </row>
    <row r="260" spans="1:8" x14ac:dyDescent="0.35">
      <c r="A260">
        <v>103408175</v>
      </c>
      <c r="B260" t="s">
        <v>4076</v>
      </c>
      <c r="C260" s="2">
        <v>44748</v>
      </c>
      <c r="D260">
        <v>3419.05</v>
      </c>
      <c r="E260">
        <v>1</v>
      </c>
      <c r="F260">
        <v>1</v>
      </c>
      <c r="G260">
        <v>3419.05</v>
      </c>
      <c r="H260">
        <v>3419.05</v>
      </c>
    </row>
    <row r="261" spans="1:8" x14ac:dyDescent="0.35">
      <c r="A261">
        <v>103408176</v>
      </c>
      <c r="B261" t="s">
        <v>4076</v>
      </c>
      <c r="C261" s="2">
        <v>44748</v>
      </c>
      <c r="D261">
        <v>4511.6000000000004</v>
      </c>
      <c r="E261">
        <v>1</v>
      </c>
      <c r="F261">
        <v>1</v>
      </c>
      <c r="G261">
        <v>4511.6000000000004</v>
      </c>
      <c r="H261">
        <v>4511.6000000000004</v>
      </c>
    </row>
    <row r="262" spans="1:8" x14ac:dyDescent="0.35">
      <c r="A262">
        <v>103408178</v>
      </c>
      <c r="B262" t="s">
        <v>4076</v>
      </c>
      <c r="C262" s="2">
        <v>44748</v>
      </c>
      <c r="D262">
        <v>1196.05</v>
      </c>
      <c r="E262">
        <v>1</v>
      </c>
      <c r="F262">
        <v>1</v>
      </c>
      <c r="G262">
        <v>1196.05</v>
      </c>
      <c r="H262">
        <v>1196.05</v>
      </c>
    </row>
    <row r="263" spans="1:8" x14ac:dyDescent="0.35">
      <c r="A263">
        <v>103408179</v>
      </c>
      <c r="B263" t="s">
        <v>4076</v>
      </c>
      <c r="C263" s="2">
        <v>44748</v>
      </c>
      <c r="D263">
        <v>2099</v>
      </c>
      <c r="E263">
        <v>1</v>
      </c>
      <c r="F263">
        <v>1</v>
      </c>
      <c r="G263">
        <v>2099</v>
      </c>
      <c r="H263">
        <v>2099</v>
      </c>
    </row>
    <row r="264" spans="1:8" x14ac:dyDescent="0.35">
      <c r="A264">
        <v>103408183</v>
      </c>
      <c r="B264" t="s">
        <v>4076</v>
      </c>
      <c r="C264" s="2">
        <v>44748</v>
      </c>
      <c r="D264">
        <v>1640.74</v>
      </c>
      <c r="E264">
        <v>1</v>
      </c>
      <c r="F264">
        <v>1</v>
      </c>
      <c r="G264">
        <v>1640.74</v>
      </c>
      <c r="H264">
        <v>1640.74</v>
      </c>
    </row>
    <row r="265" spans="1:8" x14ac:dyDescent="0.35">
      <c r="A265">
        <v>103408184</v>
      </c>
      <c r="B265" t="s">
        <v>4076</v>
      </c>
      <c r="C265" s="2">
        <v>44748</v>
      </c>
      <c r="D265">
        <v>1329.05</v>
      </c>
      <c r="E265">
        <v>1</v>
      </c>
      <c r="F265">
        <v>1</v>
      </c>
      <c r="G265">
        <v>1329.05</v>
      </c>
      <c r="H265">
        <v>1329.05</v>
      </c>
    </row>
    <row r="266" spans="1:8" x14ac:dyDescent="0.35">
      <c r="A266">
        <v>103408198</v>
      </c>
      <c r="B266" t="s">
        <v>4076</v>
      </c>
      <c r="C266" s="2">
        <v>44748</v>
      </c>
      <c r="D266">
        <v>2099</v>
      </c>
      <c r="E266">
        <v>1</v>
      </c>
      <c r="F266">
        <v>1</v>
      </c>
      <c r="G266">
        <v>2099</v>
      </c>
      <c r="H266">
        <v>2099</v>
      </c>
    </row>
    <row r="267" spans="1:8" x14ac:dyDescent="0.35">
      <c r="A267">
        <v>103408201</v>
      </c>
      <c r="B267" t="s">
        <v>4076</v>
      </c>
      <c r="C267" s="2">
        <v>44748</v>
      </c>
      <c r="D267">
        <v>2495.7399999999998</v>
      </c>
      <c r="E267">
        <v>1</v>
      </c>
      <c r="F267">
        <v>1</v>
      </c>
      <c r="G267">
        <v>2495.7399999999998</v>
      </c>
      <c r="H267">
        <v>2495.7399999999998</v>
      </c>
    </row>
    <row r="268" spans="1:8" x14ac:dyDescent="0.35">
      <c r="A268">
        <v>103408202</v>
      </c>
      <c r="B268" t="s">
        <v>4076</v>
      </c>
      <c r="C268" s="2">
        <v>44748</v>
      </c>
      <c r="D268">
        <v>2611.5500000000002</v>
      </c>
      <c r="E268">
        <v>1</v>
      </c>
      <c r="F268">
        <v>1</v>
      </c>
      <c r="G268">
        <v>2611.5500000000002</v>
      </c>
      <c r="H268">
        <v>2611.5500000000002</v>
      </c>
    </row>
    <row r="269" spans="1:8" x14ac:dyDescent="0.35">
      <c r="A269">
        <v>103408215</v>
      </c>
      <c r="B269" t="s">
        <v>4076</v>
      </c>
      <c r="C269" s="2">
        <v>44748</v>
      </c>
      <c r="D269">
        <v>2960.2</v>
      </c>
      <c r="E269">
        <v>4</v>
      </c>
      <c r="F269">
        <v>1</v>
      </c>
      <c r="G269">
        <v>740.05</v>
      </c>
      <c r="H269">
        <v>2960.2</v>
      </c>
    </row>
    <row r="270" spans="1:8" x14ac:dyDescent="0.35">
      <c r="A270">
        <v>103408217</v>
      </c>
      <c r="B270" t="s">
        <v>4076</v>
      </c>
      <c r="C270" s="2">
        <v>44748</v>
      </c>
      <c r="D270">
        <v>571.99</v>
      </c>
      <c r="E270">
        <v>1</v>
      </c>
      <c r="F270">
        <v>1</v>
      </c>
      <c r="G270">
        <v>571.99</v>
      </c>
      <c r="H270">
        <v>571.99</v>
      </c>
    </row>
    <row r="271" spans="1:8" x14ac:dyDescent="0.35">
      <c r="A271">
        <v>103408225</v>
      </c>
      <c r="B271" t="s">
        <v>4076</v>
      </c>
      <c r="C271" s="2">
        <v>44748</v>
      </c>
      <c r="D271">
        <v>2350.39</v>
      </c>
      <c r="E271">
        <v>1</v>
      </c>
      <c r="F271">
        <v>1</v>
      </c>
      <c r="G271">
        <v>2350.39</v>
      </c>
      <c r="H271">
        <v>2350.39</v>
      </c>
    </row>
    <row r="272" spans="1:8" x14ac:dyDescent="0.35">
      <c r="A272">
        <v>103408226</v>
      </c>
      <c r="B272" t="s">
        <v>4076</v>
      </c>
      <c r="C272" s="2">
        <v>44748</v>
      </c>
      <c r="D272">
        <v>1558</v>
      </c>
      <c r="E272">
        <v>2</v>
      </c>
      <c r="F272">
        <v>1</v>
      </c>
      <c r="G272">
        <v>779</v>
      </c>
      <c r="H272">
        <v>1558</v>
      </c>
    </row>
    <row r="273" spans="1:8" x14ac:dyDescent="0.35">
      <c r="A273">
        <v>103408227</v>
      </c>
      <c r="B273" t="s">
        <v>4076</v>
      </c>
      <c r="C273" s="2">
        <v>44748</v>
      </c>
      <c r="D273">
        <v>1110.55</v>
      </c>
      <c r="E273">
        <v>1</v>
      </c>
      <c r="F273">
        <v>1</v>
      </c>
      <c r="G273">
        <v>1110.55</v>
      </c>
      <c r="H273">
        <v>1110.55</v>
      </c>
    </row>
    <row r="274" spans="1:8" x14ac:dyDescent="0.35">
      <c r="A274">
        <v>103408228</v>
      </c>
      <c r="B274" t="s">
        <v>4076</v>
      </c>
      <c r="C274" s="2">
        <v>44748</v>
      </c>
      <c r="D274">
        <v>4799</v>
      </c>
      <c r="E274">
        <v>1</v>
      </c>
      <c r="F274">
        <v>1</v>
      </c>
      <c r="G274">
        <v>4799</v>
      </c>
      <c r="H274">
        <v>4799</v>
      </c>
    </row>
    <row r="275" spans="1:8" x14ac:dyDescent="0.35">
      <c r="A275">
        <v>103408229</v>
      </c>
      <c r="B275" t="s">
        <v>4076</v>
      </c>
      <c r="C275" s="2">
        <v>44748</v>
      </c>
      <c r="D275">
        <v>999</v>
      </c>
      <c r="E275">
        <v>1</v>
      </c>
      <c r="F275">
        <v>1</v>
      </c>
      <c r="G275">
        <v>999</v>
      </c>
      <c r="H275">
        <v>999</v>
      </c>
    </row>
    <row r="276" spans="1:8" x14ac:dyDescent="0.35">
      <c r="A276">
        <v>103408232</v>
      </c>
      <c r="B276" t="s">
        <v>4076</v>
      </c>
      <c r="C276" s="2">
        <v>44748</v>
      </c>
      <c r="D276">
        <v>4199</v>
      </c>
      <c r="E276">
        <v>1</v>
      </c>
      <c r="F276">
        <v>1</v>
      </c>
      <c r="G276">
        <v>4199</v>
      </c>
      <c r="H276">
        <v>4199</v>
      </c>
    </row>
    <row r="277" spans="1:8" x14ac:dyDescent="0.35">
      <c r="A277">
        <v>103408236</v>
      </c>
      <c r="B277" t="s">
        <v>4076</v>
      </c>
      <c r="C277" s="2">
        <v>44748</v>
      </c>
      <c r="D277">
        <v>1661.55</v>
      </c>
      <c r="E277">
        <v>1</v>
      </c>
      <c r="F277">
        <v>1</v>
      </c>
      <c r="G277">
        <v>1661.55</v>
      </c>
      <c r="H277">
        <v>1661.55</v>
      </c>
    </row>
    <row r="278" spans="1:8" x14ac:dyDescent="0.35">
      <c r="A278">
        <v>103408240</v>
      </c>
      <c r="B278" t="s">
        <v>4076</v>
      </c>
      <c r="C278" s="2">
        <v>44748</v>
      </c>
      <c r="D278">
        <v>1566.55</v>
      </c>
      <c r="E278">
        <v>1</v>
      </c>
      <c r="F278">
        <v>1</v>
      </c>
      <c r="G278">
        <v>1566.55</v>
      </c>
      <c r="H278">
        <v>1566.55</v>
      </c>
    </row>
    <row r="279" spans="1:8" x14ac:dyDescent="0.35">
      <c r="A279">
        <v>103408246</v>
      </c>
      <c r="B279" t="s">
        <v>4076</v>
      </c>
      <c r="C279" s="2">
        <v>44748</v>
      </c>
      <c r="D279">
        <v>3239.1</v>
      </c>
      <c r="E279">
        <v>1</v>
      </c>
      <c r="F279">
        <v>1</v>
      </c>
      <c r="G279">
        <v>3239.1</v>
      </c>
      <c r="H279">
        <v>3239.1</v>
      </c>
    </row>
    <row r="280" spans="1:8" x14ac:dyDescent="0.35">
      <c r="A280">
        <v>103408257</v>
      </c>
      <c r="B280" t="s">
        <v>4076</v>
      </c>
      <c r="C280" s="2">
        <v>44748</v>
      </c>
      <c r="D280">
        <v>4549</v>
      </c>
      <c r="E280">
        <v>1</v>
      </c>
      <c r="F280">
        <v>1</v>
      </c>
      <c r="G280">
        <v>4549</v>
      </c>
      <c r="H280">
        <v>4549</v>
      </c>
    </row>
    <row r="281" spans="1:8" x14ac:dyDescent="0.35">
      <c r="A281">
        <v>103408258</v>
      </c>
      <c r="B281" t="s">
        <v>4076</v>
      </c>
      <c r="C281" s="2">
        <v>44748</v>
      </c>
      <c r="D281">
        <v>899</v>
      </c>
      <c r="E281">
        <v>1</v>
      </c>
      <c r="F281">
        <v>1</v>
      </c>
      <c r="G281">
        <v>899</v>
      </c>
      <c r="H281">
        <v>899</v>
      </c>
    </row>
    <row r="282" spans="1:8" x14ac:dyDescent="0.35">
      <c r="A282">
        <v>103408259</v>
      </c>
      <c r="B282" t="s">
        <v>4076</v>
      </c>
      <c r="C282" s="2">
        <v>44748</v>
      </c>
      <c r="D282">
        <v>351.07</v>
      </c>
      <c r="E282">
        <v>1</v>
      </c>
      <c r="F282">
        <v>1</v>
      </c>
      <c r="G282">
        <v>351.07</v>
      </c>
      <c r="H282">
        <v>351.07</v>
      </c>
    </row>
    <row r="283" spans="1:8" x14ac:dyDescent="0.35">
      <c r="A283">
        <v>103408262</v>
      </c>
      <c r="B283" t="s">
        <v>4076</v>
      </c>
      <c r="C283" s="2">
        <v>44748</v>
      </c>
      <c r="D283">
        <v>3499</v>
      </c>
      <c r="E283">
        <v>1</v>
      </c>
      <c r="F283">
        <v>1</v>
      </c>
      <c r="G283">
        <v>3499</v>
      </c>
      <c r="H283">
        <v>3499</v>
      </c>
    </row>
    <row r="284" spans="1:8" x14ac:dyDescent="0.35">
      <c r="A284">
        <v>103408265</v>
      </c>
      <c r="B284" t="s">
        <v>4076</v>
      </c>
      <c r="C284" s="2">
        <v>44748</v>
      </c>
      <c r="D284">
        <v>2197</v>
      </c>
      <c r="E284">
        <v>3</v>
      </c>
      <c r="F284">
        <v>1</v>
      </c>
      <c r="G284">
        <v>732.33333333333303</v>
      </c>
      <c r="H284">
        <v>2197</v>
      </c>
    </row>
    <row r="285" spans="1:8" x14ac:dyDescent="0.35">
      <c r="A285">
        <v>103408266</v>
      </c>
      <c r="B285" t="s">
        <v>4076</v>
      </c>
      <c r="C285" s="2">
        <v>44748</v>
      </c>
      <c r="D285">
        <v>2136.5500000000002</v>
      </c>
      <c r="E285">
        <v>1</v>
      </c>
      <c r="F285">
        <v>1</v>
      </c>
      <c r="G285">
        <v>2136.5500000000002</v>
      </c>
      <c r="H285">
        <v>2136.5500000000002</v>
      </c>
    </row>
    <row r="286" spans="1:8" x14ac:dyDescent="0.35">
      <c r="A286">
        <v>103408267</v>
      </c>
      <c r="B286" t="s">
        <v>4076</v>
      </c>
      <c r="C286" s="2">
        <v>44748</v>
      </c>
      <c r="D286">
        <v>1599</v>
      </c>
      <c r="E286">
        <v>1</v>
      </c>
      <c r="F286">
        <v>1</v>
      </c>
      <c r="G286">
        <v>1599</v>
      </c>
      <c r="H286">
        <v>1599</v>
      </c>
    </row>
    <row r="287" spans="1:8" x14ac:dyDescent="0.35">
      <c r="A287">
        <v>103408272</v>
      </c>
      <c r="B287" t="s">
        <v>4076</v>
      </c>
      <c r="C287" s="2">
        <v>44748</v>
      </c>
      <c r="D287">
        <v>2699.1</v>
      </c>
      <c r="E287">
        <v>1</v>
      </c>
      <c r="F287">
        <v>1</v>
      </c>
      <c r="G287">
        <v>2699.1</v>
      </c>
      <c r="H287">
        <v>2699.1</v>
      </c>
    </row>
    <row r="288" spans="1:8" x14ac:dyDescent="0.35">
      <c r="A288">
        <v>103408278</v>
      </c>
      <c r="B288" t="s">
        <v>4076</v>
      </c>
      <c r="C288" s="2">
        <v>44748</v>
      </c>
      <c r="D288">
        <v>1599</v>
      </c>
      <c r="E288">
        <v>1</v>
      </c>
      <c r="F288">
        <v>1</v>
      </c>
      <c r="G288">
        <v>1599</v>
      </c>
      <c r="H288">
        <v>1599</v>
      </c>
    </row>
    <row r="289" spans="1:8" x14ac:dyDescent="0.35">
      <c r="A289">
        <v>103408287</v>
      </c>
      <c r="B289" t="s">
        <v>4076</v>
      </c>
      <c r="C289" s="2">
        <v>44748</v>
      </c>
      <c r="D289">
        <v>4799</v>
      </c>
      <c r="E289">
        <v>1</v>
      </c>
      <c r="F289">
        <v>1</v>
      </c>
      <c r="G289">
        <v>4799</v>
      </c>
      <c r="H289">
        <v>4799</v>
      </c>
    </row>
    <row r="290" spans="1:8" x14ac:dyDescent="0.35">
      <c r="A290">
        <v>103408291</v>
      </c>
      <c r="B290" t="s">
        <v>4076</v>
      </c>
      <c r="C290" s="2">
        <v>44748</v>
      </c>
      <c r="D290">
        <v>3419.05</v>
      </c>
      <c r="E290">
        <v>1</v>
      </c>
      <c r="F290">
        <v>1</v>
      </c>
      <c r="G290">
        <v>3419.05</v>
      </c>
      <c r="H290">
        <v>3419.05</v>
      </c>
    </row>
    <row r="291" spans="1:8" x14ac:dyDescent="0.35">
      <c r="A291">
        <v>103408294</v>
      </c>
      <c r="B291" t="s">
        <v>4076</v>
      </c>
      <c r="C291" s="2">
        <v>44748</v>
      </c>
      <c r="D291">
        <v>1837.39</v>
      </c>
      <c r="E291">
        <v>1</v>
      </c>
      <c r="F291">
        <v>1</v>
      </c>
      <c r="G291">
        <v>1837.39</v>
      </c>
      <c r="H291">
        <v>1837.39</v>
      </c>
    </row>
    <row r="292" spans="1:8" x14ac:dyDescent="0.35">
      <c r="A292">
        <v>103408297</v>
      </c>
      <c r="B292" t="s">
        <v>4076</v>
      </c>
      <c r="C292" s="2">
        <v>44748</v>
      </c>
      <c r="D292">
        <v>987.05</v>
      </c>
      <c r="E292">
        <v>1</v>
      </c>
      <c r="F292">
        <v>1</v>
      </c>
      <c r="G292">
        <v>987.05</v>
      </c>
      <c r="H292">
        <v>987.05</v>
      </c>
    </row>
    <row r="293" spans="1:8" x14ac:dyDescent="0.35">
      <c r="A293">
        <v>103408301</v>
      </c>
      <c r="B293" t="s">
        <v>4076</v>
      </c>
      <c r="C293" s="2">
        <v>44748</v>
      </c>
      <c r="D293">
        <v>2773.05</v>
      </c>
      <c r="E293">
        <v>1</v>
      </c>
      <c r="F293">
        <v>1</v>
      </c>
      <c r="G293">
        <v>2773.05</v>
      </c>
      <c r="H293">
        <v>2773.05</v>
      </c>
    </row>
    <row r="294" spans="1:8" x14ac:dyDescent="0.35">
      <c r="A294">
        <v>103408312</v>
      </c>
      <c r="B294" t="s">
        <v>4076</v>
      </c>
      <c r="C294" s="2">
        <v>44748</v>
      </c>
      <c r="D294">
        <v>3419.14</v>
      </c>
      <c r="E294">
        <v>1</v>
      </c>
      <c r="F294">
        <v>1</v>
      </c>
      <c r="G294">
        <v>3419.14</v>
      </c>
      <c r="H294">
        <v>3419.14</v>
      </c>
    </row>
    <row r="295" spans="1:8" x14ac:dyDescent="0.35">
      <c r="A295">
        <v>103408314</v>
      </c>
      <c r="B295" t="s">
        <v>4076</v>
      </c>
      <c r="C295" s="2">
        <v>44748</v>
      </c>
      <c r="D295">
        <v>2699</v>
      </c>
      <c r="E295">
        <v>1</v>
      </c>
      <c r="F295">
        <v>1</v>
      </c>
      <c r="G295">
        <v>2699</v>
      </c>
      <c r="H295">
        <v>2699</v>
      </c>
    </row>
    <row r="296" spans="1:8" x14ac:dyDescent="0.35">
      <c r="A296">
        <v>103408317</v>
      </c>
      <c r="B296" t="s">
        <v>4076</v>
      </c>
      <c r="C296" s="2">
        <v>44748</v>
      </c>
      <c r="D296">
        <v>969</v>
      </c>
      <c r="E296">
        <v>1</v>
      </c>
      <c r="F296">
        <v>1</v>
      </c>
      <c r="G296">
        <v>969</v>
      </c>
      <c r="H296">
        <v>969</v>
      </c>
    </row>
    <row r="297" spans="1:8" x14ac:dyDescent="0.35">
      <c r="A297">
        <v>103408318</v>
      </c>
      <c r="B297" t="s">
        <v>4076</v>
      </c>
      <c r="C297" s="2">
        <v>44748</v>
      </c>
      <c r="D297">
        <v>1128.5999999999999</v>
      </c>
      <c r="E297">
        <v>2</v>
      </c>
      <c r="F297">
        <v>1</v>
      </c>
      <c r="G297">
        <v>564.29999999999995</v>
      </c>
      <c r="H297">
        <v>1128.5999999999999</v>
      </c>
    </row>
    <row r="298" spans="1:8" x14ac:dyDescent="0.35">
      <c r="A298">
        <v>103408323</v>
      </c>
      <c r="B298" t="s">
        <v>4076</v>
      </c>
      <c r="C298" s="2">
        <v>44748</v>
      </c>
      <c r="D298">
        <v>3797.1</v>
      </c>
      <c r="E298">
        <v>1</v>
      </c>
      <c r="F298">
        <v>1</v>
      </c>
      <c r="G298">
        <v>3797.1</v>
      </c>
      <c r="H298">
        <v>3797.1</v>
      </c>
    </row>
    <row r="299" spans="1:8" x14ac:dyDescent="0.35">
      <c r="A299">
        <v>103408325</v>
      </c>
      <c r="B299" t="s">
        <v>4076</v>
      </c>
      <c r="C299" s="2">
        <v>44748</v>
      </c>
      <c r="D299">
        <v>521.54999999999995</v>
      </c>
      <c r="E299">
        <v>1</v>
      </c>
      <c r="F299">
        <v>1</v>
      </c>
      <c r="G299">
        <v>521.54999999999995</v>
      </c>
      <c r="H299">
        <v>521.54999999999995</v>
      </c>
    </row>
    <row r="300" spans="1:8" x14ac:dyDescent="0.35">
      <c r="A300">
        <v>103408327</v>
      </c>
      <c r="B300" t="s">
        <v>4076</v>
      </c>
      <c r="C300" s="2">
        <v>44748</v>
      </c>
      <c r="D300">
        <v>4274.05</v>
      </c>
      <c r="E300">
        <v>1</v>
      </c>
      <c r="F300">
        <v>1</v>
      </c>
      <c r="G300">
        <v>4274.05</v>
      </c>
      <c r="H300">
        <v>4274.05</v>
      </c>
    </row>
    <row r="301" spans="1:8" x14ac:dyDescent="0.35">
      <c r="A301">
        <v>103408333</v>
      </c>
      <c r="B301" t="s">
        <v>4076</v>
      </c>
      <c r="C301" s="2">
        <v>44748</v>
      </c>
      <c r="D301">
        <v>4928.6000000000004</v>
      </c>
      <c r="E301">
        <v>2</v>
      </c>
      <c r="F301">
        <v>1</v>
      </c>
      <c r="G301">
        <v>2464.3000000000002</v>
      </c>
      <c r="H301">
        <v>4928.6000000000004</v>
      </c>
    </row>
    <row r="302" spans="1:8" x14ac:dyDescent="0.35">
      <c r="A302">
        <v>103408339</v>
      </c>
      <c r="B302" t="s">
        <v>4076</v>
      </c>
      <c r="C302" s="2">
        <v>44748</v>
      </c>
      <c r="D302">
        <v>2345.5500000000002</v>
      </c>
      <c r="E302">
        <v>1</v>
      </c>
      <c r="F302">
        <v>1</v>
      </c>
      <c r="G302">
        <v>2345.5500000000002</v>
      </c>
      <c r="H302">
        <v>2345.5500000000002</v>
      </c>
    </row>
    <row r="303" spans="1:8" x14ac:dyDescent="0.35">
      <c r="A303">
        <v>103408345</v>
      </c>
      <c r="B303" t="s">
        <v>4076</v>
      </c>
      <c r="C303" s="2">
        <v>44748</v>
      </c>
      <c r="D303">
        <v>5724.7</v>
      </c>
      <c r="E303">
        <v>4</v>
      </c>
      <c r="F303">
        <v>1</v>
      </c>
      <c r="G303">
        <v>1431.175</v>
      </c>
      <c r="H303">
        <v>5724.7</v>
      </c>
    </row>
    <row r="304" spans="1:8" x14ac:dyDescent="0.35">
      <c r="A304">
        <v>103408351</v>
      </c>
      <c r="B304" t="s">
        <v>4076</v>
      </c>
      <c r="C304" s="2">
        <v>44748</v>
      </c>
      <c r="D304">
        <v>969</v>
      </c>
      <c r="E304">
        <v>1</v>
      </c>
      <c r="F304">
        <v>1</v>
      </c>
      <c r="G304">
        <v>969</v>
      </c>
      <c r="H304">
        <v>969</v>
      </c>
    </row>
    <row r="305" spans="1:8" x14ac:dyDescent="0.35">
      <c r="A305">
        <v>103408353</v>
      </c>
      <c r="B305" t="s">
        <v>4076</v>
      </c>
      <c r="C305" s="2">
        <v>44748</v>
      </c>
      <c r="D305">
        <v>3134.05</v>
      </c>
      <c r="E305">
        <v>1</v>
      </c>
      <c r="F305">
        <v>1</v>
      </c>
      <c r="G305">
        <v>3134.05</v>
      </c>
      <c r="H305">
        <v>3134.05</v>
      </c>
    </row>
    <row r="306" spans="1:8" x14ac:dyDescent="0.35">
      <c r="A306">
        <v>103408360</v>
      </c>
      <c r="B306" t="s">
        <v>4076</v>
      </c>
      <c r="C306" s="2">
        <v>44748</v>
      </c>
      <c r="D306">
        <v>3419.05</v>
      </c>
      <c r="E306">
        <v>1</v>
      </c>
      <c r="F306">
        <v>1</v>
      </c>
      <c r="G306">
        <v>3419.05</v>
      </c>
      <c r="H306">
        <v>3419.05</v>
      </c>
    </row>
    <row r="307" spans="1:8" x14ac:dyDescent="0.35">
      <c r="A307">
        <v>103408364</v>
      </c>
      <c r="B307" t="s">
        <v>4076</v>
      </c>
      <c r="C307" s="2">
        <v>44748</v>
      </c>
      <c r="D307">
        <v>1044.05</v>
      </c>
      <c r="E307">
        <v>1</v>
      </c>
      <c r="F307">
        <v>1</v>
      </c>
      <c r="G307">
        <v>1044.05</v>
      </c>
      <c r="H307">
        <v>1044.05</v>
      </c>
    </row>
    <row r="308" spans="1:8" x14ac:dyDescent="0.35">
      <c r="A308">
        <v>103408369</v>
      </c>
      <c r="B308" t="s">
        <v>4076</v>
      </c>
      <c r="C308" s="2">
        <v>44748</v>
      </c>
      <c r="D308">
        <v>3499</v>
      </c>
      <c r="E308">
        <v>1</v>
      </c>
      <c r="F308">
        <v>1</v>
      </c>
      <c r="G308">
        <v>3499</v>
      </c>
      <c r="H308">
        <v>3499</v>
      </c>
    </row>
    <row r="309" spans="1:8" x14ac:dyDescent="0.35">
      <c r="A309">
        <v>103408370</v>
      </c>
      <c r="B309" t="s">
        <v>4076</v>
      </c>
      <c r="C309" s="2">
        <v>44748</v>
      </c>
      <c r="D309">
        <v>3324.05</v>
      </c>
      <c r="E309">
        <v>1</v>
      </c>
      <c r="F309">
        <v>1</v>
      </c>
      <c r="G309">
        <v>3324.05</v>
      </c>
      <c r="H309">
        <v>3324.05</v>
      </c>
    </row>
    <row r="310" spans="1:8" x14ac:dyDescent="0.35">
      <c r="A310">
        <v>103408373</v>
      </c>
      <c r="B310" t="s">
        <v>4076</v>
      </c>
      <c r="C310" s="2">
        <v>44748</v>
      </c>
      <c r="D310">
        <v>2279.0500000000002</v>
      </c>
      <c r="E310">
        <v>1</v>
      </c>
      <c r="F310">
        <v>1</v>
      </c>
      <c r="G310">
        <v>2279.0500000000002</v>
      </c>
      <c r="H310">
        <v>2279.0500000000002</v>
      </c>
    </row>
    <row r="311" spans="1:8" x14ac:dyDescent="0.35">
      <c r="A311">
        <v>103408377</v>
      </c>
      <c r="B311" t="s">
        <v>4076</v>
      </c>
      <c r="C311" s="2">
        <v>44748</v>
      </c>
      <c r="D311">
        <v>969</v>
      </c>
      <c r="E311">
        <v>1</v>
      </c>
      <c r="F311">
        <v>1</v>
      </c>
      <c r="G311">
        <v>969</v>
      </c>
      <c r="H311">
        <v>969</v>
      </c>
    </row>
    <row r="312" spans="1:8" x14ac:dyDescent="0.35">
      <c r="A312">
        <v>103408380</v>
      </c>
      <c r="B312" t="s">
        <v>4076</v>
      </c>
      <c r="C312" s="2">
        <v>44748</v>
      </c>
      <c r="D312">
        <v>1063.05</v>
      </c>
      <c r="E312">
        <v>1</v>
      </c>
      <c r="F312">
        <v>1</v>
      </c>
      <c r="G312">
        <v>1063.05</v>
      </c>
      <c r="H312">
        <v>1063.05</v>
      </c>
    </row>
    <row r="313" spans="1:8" x14ac:dyDescent="0.35">
      <c r="A313">
        <v>103408381</v>
      </c>
      <c r="B313" t="s">
        <v>4076</v>
      </c>
      <c r="C313" s="2">
        <v>44748</v>
      </c>
      <c r="D313">
        <v>4749.05</v>
      </c>
      <c r="E313">
        <v>1</v>
      </c>
      <c r="F313">
        <v>1</v>
      </c>
      <c r="G313">
        <v>4749.05</v>
      </c>
      <c r="H313">
        <v>4749.05</v>
      </c>
    </row>
    <row r="314" spans="1:8" x14ac:dyDescent="0.35">
      <c r="A314">
        <v>103408388</v>
      </c>
      <c r="B314" t="s">
        <v>4076</v>
      </c>
      <c r="C314" s="2">
        <v>44748</v>
      </c>
      <c r="D314">
        <v>1119</v>
      </c>
      <c r="E314">
        <v>1</v>
      </c>
      <c r="F314">
        <v>1</v>
      </c>
      <c r="G314">
        <v>1119</v>
      </c>
      <c r="H314">
        <v>1119</v>
      </c>
    </row>
    <row r="315" spans="1:8" x14ac:dyDescent="0.35">
      <c r="A315">
        <v>103408390</v>
      </c>
      <c r="B315" t="s">
        <v>4076</v>
      </c>
      <c r="C315" s="2">
        <v>44748</v>
      </c>
      <c r="D315">
        <v>4669</v>
      </c>
      <c r="E315">
        <v>1</v>
      </c>
      <c r="F315">
        <v>1</v>
      </c>
      <c r="G315">
        <v>4669</v>
      </c>
      <c r="H315">
        <v>4669</v>
      </c>
    </row>
    <row r="316" spans="1:8" x14ac:dyDescent="0.35">
      <c r="A316">
        <v>103408391</v>
      </c>
      <c r="B316" t="s">
        <v>4076</v>
      </c>
      <c r="C316" s="2">
        <v>44748</v>
      </c>
      <c r="D316">
        <v>1138.0999999999999</v>
      </c>
      <c r="E316">
        <v>2</v>
      </c>
      <c r="F316">
        <v>1</v>
      </c>
      <c r="G316">
        <v>569.04999999999995</v>
      </c>
      <c r="H316">
        <v>1138.0999999999999</v>
      </c>
    </row>
    <row r="317" spans="1:8" x14ac:dyDescent="0.35">
      <c r="A317">
        <v>103408393</v>
      </c>
      <c r="B317" t="s">
        <v>4076</v>
      </c>
      <c r="C317" s="2">
        <v>44748</v>
      </c>
      <c r="D317">
        <v>4021.2</v>
      </c>
      <c r="E317">
        <v>2</v>
      </c>
      <c r="F317">
        <v>1</v>
      </c>
      <c r="G317">
        <v>2010.6</v>
      </c>
      <c r="H317">
        <v>4021.2</v>
      </c>
    </row>
    <row r="318" spans="1:8" x14ac:dyDescent="0.35">
      <c r="A318">
        <v>103408397</v>
      </c>
      <c r="B318" t="s">
        <v>4076</v>
      </c>
      <c r="C318" s="2">
        <v>44748</v>
      </c>
      <c r="D318">
        <v>2374.0500000000002</v>
      </c>
      <c r="E318">
        <v>1</v>
      </c>
      <c r="F318">
        <v>1</v>
      </c>
      <c r="G318">
        <v>2374.0500000000002</v>
      </c>
      <c r="H318">
        <v>2374.0500000000002</v>
      </c>
    </row>
    <row r="319" spans="1:8" x14ac:dyDescent="0.35">
      <c r="A319">
        <v>103408398</v>
      </c>
      <c r="B319" t="s">
        <v>4076</v>
      </c>
      <c r="C319" s="2">
        <v>44748</v>
      </c>
      <c r="D319">
        <v>1566.55</v>
      </c>
      <c r="E319">
        <v>1</v>
      </c>
      <c r="F319">
        <v>1</v>
      </c>
      <c r="G319">
        <v>1566.55</v>
      </c>
      <c r="H319">
        <v>1566.55</v>
      </c>
    </row>
    <row r="320" spans="1:8" x14ac:dyDescent="0.35">
      <c r="A320">
        <v>103408401</v>
      </c>
      <c r="B320" t="s">
        <v>4076</v>
      </c>
      <c r="C320" s="2">
        <v>44748</v>
      </c>
      <c r="D320">
        <v>369.55</v>
      </c>
      <c r="E320">
        <v>1</v>
      </c>
      <c r="F320">
        <v>1</v>
      </c>
      <c r="G320">
        <v>369.55</v>
      </c>
      <c r="H320">
        <v>369.55</v>
      </c>
    </row>
    <row r="321" spans="1:8" x14ac:dyDescent="0.35">
      <c r="A321">
        <v>103408407</v>
      </c>
      <c r="B321" t="s">
        <v>4076</v>
      </c>
      <c r="C321" s="2">
        <v>44748</v>
      </c>
      <c r="D321">
        <v>3149</v>
      </c>
      <c r="E321">
        <v>1</v>
      </c>
      <c r="F321">
        <v>1</v>
      </c>
      <c r="G321">
        <v>3149</v>
      </c>
      <c r="H321">
        <v>3149</v>
      </c>
    </row>
    <row r="322" spans="1:8" x14ac:dyDescent="0.35">
      <c r="A322">
        <v>103408414</v>
      </c>
      <c r="B322" t="s">
        <v>4076</v>
      </c>
      <c r="C322" s="2">
        <v>44748</v>
      </c>
      <c r="D322">
        <v>987.05</v>
      </c>
      <c r="E322">
        <v>1</v>
      </c>
      <c r="F322">
        <v>1</v>
      </c>
      <c r="G322">
        <v>987.05</v>
      </c>
      <c r="H322">
        <v>987.05</v>
      </c>
    </row>
    <row r="323" spans="1:8" x14ac:dyDescent="0.35">
      <c r="A323">
        <v>103408415</v>
      </c>
      <c r="B323" t="s">
        <v>4076</v>
      </c>
      <c r="C323" s="2">
        <v>44748</v>
      </c>
      <c r="D323">
        <v>3133.1</v>
      </c>
      <c r="E323">
        <v>2</v>
      </c>
      <c r="F323">
        <v>1</v>
      </c>
      <c r="G323">
        <v>1566.55</v>
      </c>
      <c r="H323">
        <v>3133.1</v>
      </c>
    </row>
    <row r="324" spans="1:8" x14ac:dyDescent="0.35">
      <c r="A324">
        <v>103408416</v>
      </c>
      <c r="B324" t="s">
        <v>4076</v>
      </c>
      <c r="C324" s="2">
        <v>44748</v>
      </c>
      <c r="D324">
        <v>1799.1</v>
      </c>
      <c r="E324">
        <v>1</v>
      </c>
      <c r="F324">
        <v>1</v>
      </c>
      <c r="G324">
        <v>1799.1</v>
      </c>
      <c r="H324">
        <v>1799.1</v>
      </c>
    </row>
    <row r="325" spans="1:8" x14ac:dyDescent="0.35">
      <c r="A325">
        <v>103408417</v>
      </c>
      <c r="B325" t="s">
        <v>4076</v>
      </c>
      <c r="C325" s="2">
        <v>44748</v>
      </c>
      <c r="D325">
        <v>1538.05</v>
      </c>
      <c r="E325">
        <v>1</v>
      </c>
      <c r="F325">
        <v>1</v>
      </c>
      <c r="G325">
        <v>1538.05</v>
      </c>
      <c r="H325">
        <v>1538.05</v>
      </c>
    </row>
    <row r="326" spans="1:8" x14ac:dyDescent="0.35">
      <c r="A326">
        <v>103408418</v>
      </c>
      <c r="B326" t="s">
        <v>4076</v>
      </c>
      <c r="C326" s="2">
        <v>44748</v>
      </c>
      <c r="D326">
        <v>2991.55</v>
      </c>
      <c r="E326">
        <v>1</v>
      </c>
      <c r="F326">
        <v>1</v>
      </c>
      <c r="G326">
        <v>2991.55</v>
      </c>
      <c r="H326">
        <v>2991.55</v>
      </c>
    </row>
    <row r="327" spans="1:8" x14ac:dyDescent="0.35">
      <c r="A327">
        <v>103408419</v>
      </c>
      <c r="B327" t="s">
        <v>4076</v>
      </c>
      <c r="C327" s="2">
        <v>44748</v>
      </c>
      <c r="D327">
        <v>969</v>
      </c>
      <c r="E327">
        <v>1</v>
      </c>
      <c r="F327">
        <v>1</v>
      </c>
      <c r="G327">
        <v>969</v>
      </c>
      <c r="H327">
        <v>969</v>
      </c>
    </row>
    <row r="328" spans="1:8" x14ac:dyDescent="0.35">
      <c r="A328">
        <v>103408425</v>
      </c>
      <c r="B328" t="s">
        <v>4076</v>
      </c>
      <c r="C328" s="2">
        <v>44748</v>
      </c>
      <c r="D328">
        <v>1435.54</v>
      </c>
      <c r="E328">
        <v>1</v>
      </c>
      <c r="F328">
        <v>1</v>
      </c>
      <c r="G328">
        <v>1435.54</v>
      </c>
      <c r="H328">
        <v>1435.54</v>
      </c>
    </row>
    <row r="329" spans="1:8" x14ac:dyDescent="0.35">
      <c r="A329">
        <v>103408432</v>
      </c>
      <c r="B329" t="s">
        <v>4076</v>
      </c>
      <c r="C329" s="2">
        <v>44748</v>
      </c>
      <c r="D329">
        <v>3019</v>
      </c>
      <c r="E329">
        <v>1</v>
      </c>
      <c r="F329">
        <v>1</v>
      </c>
      <c r="G329">
        <v>3019</v>
      </c>
      <c r="H329">
        <v>3019</v>
      </c>
    </row>
    <row r="330" spans="1:8" x14ac:dyDescent="0.35">
      <c r="A330">
        <v>103408436</v>
      </c>
      <c r="B330" t="s">
        <v>4076</v>
      </c>
      <c r="C330" s="2">
        <v>44748</v>
      </c>
      <c r="D330">
        <v>969</v>
      </c>
      <c r="E330">
        <v>1</v>
      </c>
      <c r="F330">
        <v>1</v>
      </c>
      <c r="G330">
        <v>969</v>
      </c>
      <c r="H330">
        <v>969</v>
      </c>
    </row>
    <row r="331" spans="1:8" x14ac:dyDescent="0.35">
      <c r="A331">
        <v>103408437</v>
      </c>
      <c r="B331" t="s">
        <v>4076</v>
      </c>
      <c r="C331" s="2">
        <v>44748</v>
      </c>
      <c r="D331">
        <v>1423.1</v>
      </c>
      <c r="E331">
        <v>2</v>
      </c>
      <c r="F331">
        <v>1</v>
      </c>
      <c r="G331">
        <v>711.55</v>
      </c>
      <c r="H331">
        <v>1423.1</v>
      </c>
    </row>
    <row r="332" spans="1:8" x14ac:dyDescent="0.35">
      <c r="A332">
        <v>103408439</v>
      </c>
      <c r="B332" t="s">
        <v>4076</v>
      </c>
      <c r="C332" s="2">
        <v>44748</v>
      </c>
      <c r="D332">
        <v>369</v>
      </c>
      <c r="E332">
        <v>1</v>
      </c>
      <c r="F332">
        <v>1</v>
      </c>
      <c r="G332">
        <v>369</v>
      </c>
      <c r="H332">
        <v>369</v>
      </c>
    </row>
    <row r="333" spans="1:8" x14ac:dyDescent="0.35">
      <c r="A333">
        <v>103408447</v>
      </c>
      <c r="B333" t="s">
        <v>4076</v>
      </c>
      <c r="C333" s="2">
        <v>44748</v>
      </c>
      <c r="D333">
        <v>1110.55</v>
      </c>
      <c r="E333">
        <v>1</v>
      </c>
      <c r="F333">
        <v>1</v>
      </c>
      <c r="G333">
        <v>1110.55</v>
      </c>
      <c r="H333">
        <v>1110.55</v>
      </c>
    </row>
    <row r="334" spans="1:8" x14ac:dyDescent="0.35">
      <c r="A334">
        <v>103408458</v>
      </c>
      <c r="B334" t="s">
        <v>4076</v>
      </c>
      <c r="C334" s="2">
        <v>44748</v>
      </c>
      <c r="D334">
        <v>969</v>
      </c>
      <c r="E334">
        <v>1</v>
      </c>
      <c r="F334">
        <v>1</v>
      </c>
      <c r="G334">
        <v>969</v>
      </c>
      <c r="H334">
        <v>969</v>
      </c>
    </row>
    <row r="335" spans="1:8" x14ac:dyDescent="0.35">
      <c r="A335">
        <v>103408462</v>
      </c>
      <c r="B335" t="s">
        <v>4076</v>
      </c>
      <c r="C335" s="2">
        <v>44748</v>
      </c>
      <c r="D335">
        <v>969</v>
      </c>
      <c r="E335">
        <v>1</v>
      </c>
      <c r="F335">
        <v>1</v>
      </c>
      <c r="G335">
        <v>969</v>
      </c>
      <c r="H335">
        <v>969</v>
      </c>
    </row>
    <row r="336" spans="1:8" x14ac:dyDescent="0.35">
      <c r="A336">
        <v>103408465</v>
      </c>
      <c r="B336" t="s">
        <v>4076</v>
      </c>
      <c r="C336" s="2">
        <v>44748</v>
      </c>
      <c r="D336">
        <v>1794.64</v>
      </c>
      <c r="E336">
        <v>1</v>
      </c>
      <c r="F336">
        <v>1</v>
      </c>
      <c r="G336">
        <v>1794.64</v>
      </c>
      <c r="H336">
        <v>1794.64</v>
      </c>
    </row>
    <row r="337" spans="1:8" x14ac:dyDescent="0.35">
      <c r="A337">
        <v>103408470</v>
      </c>
      <c r="B337" t="s">
        <v>4076</v>
      </c>
      <c r="C337" s="2">
        <v>44748</v>
      </c>
      <c r="D337">
        <v>4999</v>
      </c>
      <c r="E337">
        <v>1</v>
      </c>
      <c r="F337">
        <v>1</v>
      </c>
      <c r="G337">
        <v>4999</v>
      </c>
      <c r="H337">
        <v>4999</v>
      </c>
    </row>
    <row r="338" spans="1:8" x14ac:dyDescent="0.35">
      <c r="A338">
        <v>103408472</v>
      </c>
      <c r="B338" t="s">
        <v>4076</v>
      </c>
      <c r="C338" s="2">
        <v>44748</v>
      </c>
      <c r="D338">
        <v>2495.7399999999998</v>
      </c>
      <c r="E338">
        <v>1</v>
      </c>
      <c r="F338">
        <v>1</v>
      </c>
      <c r="G338">
        <v>2495.7399999999998</v>
      </c>
      <c r="H338">
        <v>2495.7399999999998</v>
      </c>
    </row>
    <row r="339" spans="1:8" x14ac:dyDescent="0.35">
      <c r="A339">
        <v>103408473</v>
      </c>
      <c r="B339" t="s">
        <v>4076</v>
      </c>
      <c r="C339" s="2">
        <v>44748</v>
      </c>
      <c r="D339">
        <v>549</v>
      </c>
      <c r="E339">
        <v>1</v>
      </c>
      <c r="F339">
        <v>1</v>
      </c>
      <c r="G339">
        <v>549</v>
      </c>
      <c r="H339">
        <v>549</v>
      </c>
    </row>
    <row r="340" spans="1:8" x14ac:dyDescent="0.35">
      <c r="A340">
        <v>103408475</v>
      </c>
      <c r="B340" t="s">
        <v>4076</v>
      </c>
      <c r="C340" s="2">
        <v>44748</v>
      </c>
      <c r="D340">
        <v>2398</v>
      </c>
      <c r="E340">
        <v>2</v>
      </c>
      <c r="F340">
        <v>1</v>
      </c>
      <c r="G340">
        <v>1199</v>
      </c>
      <c r="H340">
        <v>2398</v>
      </c>
    </row>
    <row r="341" spans="1:8" x14ac:dyDescent="0.35">
      <c r="A341">
        <v>103408479</v>
      </c>
      <c r="B341" t="s">
        <v>4076</v>
      </c>
      <c r="C341" s="2">
        <v>44748</v>
      </c>
      <c r="D341">
        <v>4558.1000000000004</v>
      </c>
      <c r="E341">
        <v>2</v>
      </c>
      <c r="F341">
        <v>1</v>
      </c>
      <c r="G341">
        <v>2279.0500000000002</v>
      </c>
      <c r="H341">
        <v>4558.1000000000004</v>
      </c>
    </row>
    <row r="342" spans="1:8" x14ac:dyDescent="0.35">
      <c r="A342">
        <v>103408482</v>
      </c>
      <c r="B342" t="s">
        <v>4076</v>
      </c>
      <c r="C342" s="2">
        <v>44748</v>
      </c>
      <c r="D342">
        <v>1025.05</v>
      </c>
      <c r="E342">
        <v>1</v>
      </c>
      <c r="F342">
        <v>1</v>
      </c>
      <c r="G342">
        <v>1025.05</v>
      </c>
      <c r="H342">
        <v>1025.05</v>
      </c>
    </row>
    <row r="343" spans="1:8" x14ac:dyDescent="0.35">
      <c r="A343">
        <v>103408488</v>
      </c>
      <c r="B343" t="s">
        <v>4076</v>
      </c>
      <c r="C343" s="2">
        <v>44748</v>
      </c>
      <c r="D343">
        <v>1649</v>
      </c>
      <c r="E343">
        <v>1</v>
      </c>
      <c r="F343">
        <v>1</v>
      </c>
      <c r="G343">
        <v>1649</v>
      </c>
      <c r="H343">
        <v>1649</v>
      </c>
    </row>
    <row r="344" spans="1:8" x14ac:dyDescent="0.35">
      <c r="A344">
        <v>103408489</v>
      </c>
      <c r="B344" t="s">
        <v>4076</v>
      </c>
      <c r="C344" s="2">
        <v>44748</v>
      </c>
      <c r="D344">
        <v>2093.89</v>
      </c>
      <c r="E344">
        <v>1</v>
      </c>
      <c r="F344">
        <v>1</v>
      </c>
      <c r="G344">
        <v>2093.89</v>
      </c>
      <c r="H344">
        <v>2093.89</v>
      </c>
    </row>
    <row r="345" spans="1:8" x14ac:dyDescent="0.35">
      <c r="A345">
        <v>103408492</v>
      </c>
      <c r="B345" t="s">
        <v>4076</v>
      </c>
      <c r="C345" s="2">
        <v>44748</v>
      </c>
      <c r="D345">
        <v>1259</v>
      </c>
      <c r="E345">
        <v>1</v>
      </c>
      <c r="F345">
        <v>1</v>
      </c>
      <c r="G345">
        <v>1259</v>
      </c>
      <c r="H345">
        <v>1259</v>
      </c>
    </row>
    <row r="346" spans="1:8" x14ac:dyDescent="0.35">
      <c r="A346">
        <v>103408495</v>
      </c>
      <c r="B346" t="s">
        <v>4076</v>
      </c>
      <c r="C346" s="2">
        <v>44748</v>
      </c>
      <c r="D346">
        <v>1709.05</v>
      </c>
      <c r="E346">
        <v>1</v>
      </c>
      <c r="F346">
        <v>1</v>
      </c>
      <c r="G346">
        <v>1709.05</v>
      </c>
      <c r="H346">
        <v>1709.05</v>
      </c>
    </row>
    <row r="347" spans="1:8" x14ac:dyDescent="0.35">
      <c r="A347">
        <v>103408497</v>
      </c>
      <c r="B347" t="s">
        <v>4076</v>
      </c>
      <c r="C347" s="2">
        <v>44748</v>
      </c>
      <c r="D347">
        <v>2849.05</v>
      </c>
      <c r="E347">
        <v>1</v>
      </c>
      <c r="F347">
        <v>1</v>
      </c>
      <c r="G347">
        <v>2849.05</v>
      </c>
      <c r="H347">
        <v>2849.05</v>
      </c>
    </row>
    <row r="348" spans="1:8" x14ac:dyDescent="0.35">
      <c r="A348">
        <v>103408502</v>
      </c>
      <c r="B348" t="s">
        <v>4076</v>
      </c>
      <c r="C348" s="2">
        <v>44748</v>
      </c>
      <c r="D348">
        <v>3149</v>
      </c>
      <c r="E348">
        <v>1</v>
      </c>
      <c r="F348">
        <v>1</v>
      </c>
      <c r="G348">
        <v>3149</v>
      </c>
      <c r="H348">
        <v>3149</v>
      </c>
    </row>
    <row r="349" spans="1:8" x14ac:dyDescent="0.35">
      <c r="A349">
        <v>103408507</v>
      </c>
      <c r="B349" t="s">
        <v>4076</v>
      </c>
      <c r="C349" s="2">
        <v>44748</v>
      </c>
      <c r="D349">
        <v>2519.1</v>
      </c>
      <c r="E349">
        <v>1</v>
      </c>
      <c r="F349">
        <v>1</v>
      </c>
      <c r="G349">
        <v>2519.1</v>
      </c>
      <c r="H349">
        <v>2519.1</v>
      </c>
    </row>
    <row r="350" spans="1:8" x14ac:dyDescent="0.35">
      <c r="A350">
        <v>103408508</v>
      </c>
      <c r="B350" t="s">
        <v>4076</v>
      </c>
      <c r="C350" s="2">
        <v>44748</v>
      </c>
      <c r="D350">
        <v>2461.54</v>
      </c>
      <c r="E350">
        <v>1</v>
      </c>
      <c r="F350">
        <v>1</v>
      </c>
      <c r="G350">
        <v>2461.54</v>
      </c>
      <c r="H350">
        <v>2461.54</v>
      </c>
    </row>
    <row r="351" spans="1:8" x14ac:dyDescent="0.35">
      <c r="A351">
        <v>103408511</v>
      </c>
      <c r="B351" t="s">
        <v>4076</v>
      </c>
      <c r="C351" s="2">
        <v>44748</v>
      </c>
      <c r="D351">
        <v>969</v>
      </c>
      <c r="E351">
        <v>1</v>
      </c>
      <c r="F351">
        <v>1</v>
      </c>
      <c r="G351">
        <v>969</v>
      </c>
      <c r="H351">
        <v>969</v>
      </c>
    </row>
    <row r="352" spans="1:8" x14ac:dyDescent="0.35">
      <c r="A352">
        <v>103408521</v>
      </c>
      <c r="B352" t="s">
        <v>4076</v>
      </c>
      <c r="C352" s="2">
        <v>44748</v>
      </c>
      <c r="D352">
        <v>5399</v>
      </c>
      <c r="E352">
        <v>1</v>
      </c>
      <c r="F352">
        <v>1</v>
      </c>
      <c r="G352">
        <v>5399</v>
      </c>
      <c r="H352">
        <v>5399</v>
      </c>
    </row>
    <row r="353" spans="1:8" x14ac:dyDescent="0.35">
      <c r="A353">
        <v>103408526</v>
      </c>
      <c r="B353" t="s">
        <v>4076</v>
      </c>
      <c r="C353" s="2">
        <v>44748</v>
      </c>
      <c r="D353">
        <v>4999</v>
      </c>
      <c r="E353">
        <v>1</v>
      </c>
      <c r="F353">
        <v>1</v>
      </c>
      <c r="G353">
        <v>4999</v>
      </c>
      <c r="H353">
        <v>4999</v>
      </c>
    </row>
    <row r="354" spans="1:8" x14ac:dyDescent="0.35">
      <c r="A354">
        <v>103408531</v>
      </c>
      <c r="B354" t="s">
        <v>4076</v>
      </c>
      <c r="C354" s="2">
        <v>44748</v>
      </c>
      <c r="D354">
        <v>3247.29</v>
      </c>
      <c r="E354">
        <v>2</v>
      </c>
      <c r="F354">
        <v>1</v>
      </c>
      <c r="G354">
        <v>1623.645</v>
      </c>
      <c r="H354">
        <v>3247.29</v>
      </c>
    </row>
    <row r="355" spans="1:8" x14ac:dyDescent="0.35">
      <c r="A355">
        <v>103408532</v>
      </c>
      <c r="B355" t="s">
        <v>4076</v>
      </c>
      <c r="C355" s="2">
        <v>44748</v>
      </c>
      <c r="D355">
        <v>3599</v>
      </c>
      <c r="E355">
        <v>1</v>
      </c>
      <c r="F355">
        <v>1</v>
      </c>
      <c r="G355">
        <v>3599</v>
      </c>
      <c r="H355">
        <v>3599</v>
      </c>
    </row>
    <row r="356" spans="1:8" x14ac:dyDescent="0.35">
      <c r="A356">
        <v>103408537</v>
      </c>
      <c r="B356" t="s">
        <v>4076</v>
      </c>
      <c r="C356" s="2">
        <v>44748</v>
      </c>
      <c r="D356">
        <v>853.1</v>
      </c>
      <c r="E356">
        <v>2</v>
      </c>
      <c r="F356">
        <v>1</v>
      </c>
      <c r="G356">
        <v>426.55</v>
      </c>
      <c r="H356">
        <v>853.1</v>
      </c>
    </row>
    <row r="357" spans="1:8" x14ac:dyDescent="0.35">
      <c r="A357">
        <v>103408541</v>
      </c>
      <c r="B357" t="s">
        <v>4076</v>
      </c>
      <c r="C357" s="2">
        <v>44748</v>
      </c>
      <c r="D357">
        <v>1661.55</v>
      </c>
      <c r="E357">
        <v>1</v>
      </c>
      <c r="F357">
        <v>1</v>
      </c>
      <c r="G357">
        <v>1661.55</v>
      </c>
      <c r="H357">
        <v>1661.55</v>
      </c>
    </row>
    <row r="358" spans="1:8" x14ac:dyDescent="0.35">
      <c r="A358">
        <v>103408542</v>
      </c>
      <c r="B358" t="s">
        <v>4076</v>
      </c>
      <c r="C358" s="2">
        <v>44748</v>
      </c>
      <c r="D358">
        <v>2849.05</v>
      </c>
      <c r="E358">
        <v>1</v>
      </c>
      <c r="F358">
        <v>1</v>
      </c>
      <c r="G358">
        <v>2849.05</v>
      </c>
      <c r="H358">
        <v>2849.05</v>
      </c>
    </row>
    <row r="359" spans="1:8" x14ac:dyDescent="0.35">
      <c r="A359">
        <v>103408546</v>
      </c>
      <c r="B359" t="s">
        <v>4076</v>
      </c>
      <c r="C359" s="2">
        <v>44748</v>
      </c>
      <c r="D359">
        <v>1939.99</v>
      </c>
      <c r="E359">
        <v>1</v>
      </c>
      <c r="F359">
        <v>1</v>
      </c>
      <c r="G359">
        <v>1939.99</v>
      </c>
      <c r="H359">
        <v>1939.99</v>
      </c>
    </row>
    <row r="360" spans="1:8" x14ac:dyDescent="0.35">
      <c r="A360">
        <v>103408550</v>
      </c>
      <c r="B360" t="s">
        <v>4076</v>
      </c>
      <c r="C360" s="2">
        <v>44748</v>
      </c>
      <c r="D360">
        <v>2393.14</v>
      </c>
      <c r="E360">
        <v>1</v>
      </c>
      <c r="F360">
        <v>1</v>
      </c>
      <c r="G360">
        <v>2393.14</v>
      </c>
      <c r="H360">
        <v>2393.14</v>
      </c>
    </row>
    <row r="361" spans="1:8" x14ac:dyDescent="0.35">
      <c r="A361">
        <v>103408556</v>
      </c>
      <c r="B361" t="s">
        <v>4076</v>
      </c>
      <c r="C361" s="2">
        <v>44748</v>
      </c>
      <c r="D361">
        <v>5129.1400000000003</v>
      </c>
      <c r="E361">
        <v>1</v>
      </c>
      <c r="F361">
        <v>1</v>
      </c>
      <c r="G361">
        <v>5129.1400000000003</v>
      </c>
      <c r="H361">
        <v>5129.1400000000003</v>
      </c>
    </row>
    <row r="362" spans="1:8" x14ac:dyDescent="0.35">
      <c r="A362">
        <v>103408560</v>
      </c>
      <c r="B362" t="s">
        <v>4076</v>
      </c>
      <c r="C362" s="2">
        <v>44748</v>
      </c>
      <c r="D362">
        <v>579</v>
      </c>
      <c r="E362">
        <v>1</v>
      </c>
      <c r="F362">
        <v>1</v>
      </c>
      <c r="G362">
        <v>579</v>
      </c>
      <c r="H362">
        <v>579</v>
      </c>
    </row>
    <row r="363" spans="1:8" x14ac:dyDescent="0.35">
      <c r="A363">
        <v>103408561</v>
      </c>
      <c r="B363" t="s">
        <v>4076</v>
      </c>
      <c r="C363" s="2">
        <v>44748</v>
      </c>
      <c r="D363">
        <v>1079</v>
      </c>
      <c r="E363">
        <v>1</v>
      </c>
      <c r="F363">
        <v>1</v>
      </c>
      <c r="G363">
        <v>1079</v>
      </c>
      <c r="H363">
        <v>1079</v>
      </c>
    </row>
    <row r="364" spans="1:8" x14ac:dyDescent="0.35">
      <c r="A364">
        <v>103408565</v>
      </c>
      <c r="B364" t="s">
        <v>4076</v>
      </c>
      <c r="C364" s="2">
        <v>44748</v>
      </c>
      <c r="D364">
        <v>1424.05</v>
      </c>
      <c r="E364">
        <v>1</v>
      </c>
      <c r="F364">
        <v>1</v>
      </c>
      <c r="G364">
        <v>1424.05</v>
      </c>
      <c r="H364">
        <v>1424.05</v>
      </c>
    </row>
    <row r="365" spans="1:8" x14ac:dyDescent="0.35">
      <c r="A365">
        <v>103408566</v>
      </c>
      <c r="B365" t="s">
        <v>4076</v>
      </c>
      <c r="C365" s="2">
        <v>44748</v>
      </c>
      <c r="D365">
        <v>1798</v>
      </c>
      <c r="E365">
        <v>2</v>
      </c>
      <c r="F365">
        <v>1</v>
      </c>
      <c r="G365">
        <v>899</v>
      </c>
      <c r="H365">
        <v>1798</v>
      </c>
    </row>
    <row r="366" spans="1:8" x14ac:dyDescent="0.35">
      <c r="A366">
        <v>103408569</v>
      </c>
      <c r="B366" t="s">
        <v>4076</v>
      </c>
      <c r="C366" s="2">
        <v>44748</v>
      </c>
      <c r="D366">
        <v>939.55</v>
      </c>
      <c r="E366">
        <v>1</v>
      </c>
      <c r="F366">
        <v>1</v>
      </c>
      <c r="G366">
        <v>939.55</v>
      </c>
      <c r="H366">
        <v>939.55</v>
      </c>
    </row>
    <row r="367" spans="1:8" x14ac:dyDescent="0.35">
      <c r="A367">
        <v>103408572</v>
      </c>
      <c r="B367" t="s">
        <v>4076</v>
      </c>
      <c r="C367" s="2">
        <v>44748</v>
      </c>
      <c r="D367">
        <v>2547</v>
      </c>
      <c r="E367">
        <v>3</v>
      </c>
      <c r="F367">
        <v>1</v>
      </c>
      <c r="G367">
        <v>849</v>
      </c>
      <c r="H367">
        <v>2547</v>
      </c>
    </row>
    <row r="368" spans="1:8" x14ac:dyDescent="0.35">
      <c r="A368">
        <v>103408573</v>
      </c>
      <c r="B368" t="s">
        <v>4076</v>
      </c>
      <c r="C368" s="2">
        <v>44748</v>
      </c>
      <c r="D368">
        <v>1352.85</v>
      </c>
      <c r="E368">
        <v>1</v>
      </c>
      <c r="F368">
        <v>1</v>
      </c>
      <c r="G368">
        <v>1352.85</v>
      </c>
      <c r="H368">
        <v>1352.85</v>
      </c>
    </row>
    <row r="369" spans="1:8" x14ac:dyDescent="0.35">
      <c r="A369">
        <v>103408574</v>
      </c>
      <c r="B369" t="s">
        <v>4076</v>
      </c>
      <c r="C369" s="2">
        <v>44748</v>
      </c>
      <c r="D369">
        <v>2564.14</v>
      </c>
      <c r="E369">
        <v>1</v>
      </c>
      <c r="F369">
        <v>1</v>
      </c>
      <c r="G369">
        <v>2564.14</v>
      </c>
      <c r="H369">
        <v>2564.14</v>
      </c>
    </row>
    <row r="370" spans="1:8" x14ac:dyDescent="0.35">
      <c r="A370">
        <v>103408581</v>
      </c>
      <c r="B370" t="s">
        <v>4076</v>
      </c>
      <c r="C370" s="2">
        <v>44748</v>
      </c>
      <c r="D370">
        <v>1922.89</v>
      </c>
      <c r="E370">
        <v>1</v>
      </c>
      <c r="F370">
        <v>1</v>
      </c>
      <c r="G370">
        <v>1922.89</v>
      </c>
      <c r="H370">
        <v>1922.89</v>
      </c>
    </row>
    <row r="371" spans="1:8" x14ac:dyDescent="0.35">
      <c r="A371">
        <v>103408583</v>
      </c>
      <c r="B371" t="s">
        <v>4076</v>
      </c>
      <c r="C371" s="2">
        <v>44748</v>
      </c>
      <c r="D371">
        <v>854.14</v>
      </c>
      <c r="E371">
        <v>1</v>
      </c>
      <c r="F371">
        <v>1</v>
      </c>
      <c r="G371">
        <v>854.14</v>
      </c>
      <c r="H371">
        <v>854.14</v>
      </c>
    </row>
    <row r="372" spans="1:8" x14ac:dyDescent="0.35">
      <c r="A372">
        <v>103408591</v>
      </c>
      <c r="B372" t="s">
        <v>4076</v>
      </c>
      <c r="C372" s="2">
        <v>44748</v>
      </c>
      <c r="D372">
        <v>519</v>
      </c>
      <c r="E372">
        <v>1</v>
      </c>
      <c r="F372">
        <v>1</v>
      </c>
      <c r="G372">
        <v>519</v>
      </c>
      <c r="H372">
        <v>519</v>
      </c>
    </row>
    <row r="373" spans="1:8" x14ac:dyDescent="0.35">
      <c r="A373">
        <v>103408593</v>
      </c>
      <c r="B373" t="s">
        <v>4076</v>
      </c>
      <c r="C373" s="2">
        <v>44748</v>
      </c>
      <c r="D373">
        <v>5000.8900000000003</v>
      </c>
      <c r="E373">
        <v>1</v>
      </c>
      <c r="F373">
        <v>1</v>
      </c>
      <c r="G373">
        <v>5000.8900000000003</v>
      </c>
      <c r="H373">
        <v>5000.8900000000003</v>
      </c>
    </row>
    <row r="374" spans="1:8" x14ac:dyDescent="0.35">
      <c r="A374">
        <v>103408603</v>
      </c>
      <c r="B374" t="s">
        <v>4076</v>
      </c>
      <c r="C374" s="2">
        <v>44748</v>
      </c>
      <c r="D374">
        <v>1329.05</v>
      </c>
      <c r="E374">
        <v>1</v>
      </c>
      <c r="F374">
        <v>1</v>
      </c>
      <c r="G374">
        <v>1329.05</v>
      </c>
      <c r="H374">
        <v>1329.05</v>
      </c>
    </row>
    <row r="375" spans="1:8" x14ac:dyDescent="0.35">
      <c r="A375">
        <v>103408604</v>
      </c>
      <c r="B375" t="s">
        <v>4076</v>
      </c>
      <c r="C375" s="2">
        <v>44748</v>
      </c>
      <c r="D375">
        <v>1880.14</v>
      </c>
      <c r="E375">
        <v>1</v>
      </c>
      <c r="F375">
        <v>1</v>
      </c>
      <c r="G375">
        <v>1880.14</v>
      </c>
      <c r="H375">
        <v>1880.14</v>
      </c>
    </row>
    <row r="376" spans="1:8" x14ac:dyDescent="0.35">
      <c r="A376">
        <v>103408609</v>
      </c>
      <c r="B376" t="s">
        <v>4076</v>
      </c>
      <c r="C376" s="2">
        <v>44748</v>
      </c>
      <c r="D376">
        <v>629</v>
      </c>
      <c r="E376">
        <v>1</v>
      </c>
      <c r="F376">
        <v>1</v>
      </c>
      <c r="G376">
        <v>629</v>
      </c>
      <c r="H376">
        <v>629</v>
      </c>
    </row>
    <row r="377" spans="1:8" x14ac:dyDescent="0.35">
      <c r="A377">
        <v>103408615</v>
      </c>
      <c r="B377" t="s">
        <v>4076</v>
      </c>
      <c r="C377" s="2">
        <v>44748</v>
      </c>
      <c r="D377">
        <v>2350.39</v>
      </c>
      <c r="E377">
        <v>1</v>
      </c>
      <c r="F377">
        <v>1</v>
      </c>
      <c r="G377">
        <v>2350.39</v>
      </c>
      <c r="H377">
        <v>2350.39</v>
      </c>
    </row>
    <row r="378" spans="1:8" x14ac:dyDescent="0.35">
      <c r="A378">
        <v>103408623</v>
      </c>
      <c r="B378" t="s">
        <v>4076</v>
      </c>
      <c r="C378" s="2">
        <v>44748</v>
      </c>
      <c r="D378">
        <v>2449</v>
      </c>
      <c r="E378">
        <v>1</v>
      </c>
      <c r="F378">
        <v>1</v>
      </c>
      <c r="G378">
        <v>2449</v>
      </c>
      <c r="H378">
        <v>2449</v>
      </c>
    </row>
    <row r="379" spans="1:8" x14ac:dyDescent="0.35">
      <c r="A379">
        <v>103408630</v>
      </c>
      <c r="B379" t="s">
        <v>4076</v>
      </c>
      <c r="C379" s="2">
        <v>44748</v>
      </c>
      <c r="D379">
        <v>4549</v>
      </c>
      <c r="E379">
        <v>1</v>
      </c>
      <c r="F379">
        <v>1</v>
      </c>
      <c r="G379">
        <v>4549</v>
      </c>
      <c r="H379">
        <v>4549</v>
      </c>
    </row>
    <row r="380" spans="1:8" x14ac:dyDescent="0.35">
      <c r="A380">
        <v>103408636</v>
      </c>
      <c r="B380" t="s">
        <v>4076</v>
      </c>
      <c r="C380" s="2">
        <v>44748</v>
      </c>
      <c r="D380">
        <v>1999</v>
      </c>
      <c r="E380">
        <v>1</v>
      </c>
      <c r="F380">
        <v>1</v>
      </c>
      <c r="G380">
        <v>1999</v>
      </c>
      <c r="H380">
        <v>1999</v>
      </c>
    </row>
    <row r="381" spans="1:8" x14ac:dyDescent="0.35">
      <c r="A381">
        <v>103408640</v>
      </c>
      <c r="B381" t="s">
        <v>4076</v>
      </c>
      <c r="C381" s="2">
        <v>44748</v>
      </c>
      <c r="D381">
        <v>299</v>
      </c>
      <c r="E381">
        <v>1</v>
      </c>
      <c r="F381">
        <v>1</v>
      </c>
      <c r="G381">
        <v>299</v>
      </c>
      <c r="H381">
        <v>299</v>
      </c>
    </row>
    <row r="382" spans="1:8" x14ac:dyDescent="0.35">
      <c r="A382">
        <v>103408644</v>
      </c>
      <c r="B382" t="s">
        <v>4076</v>
      </c>
      <c r="C382" s="2">
        <v>44748</v>
      </c>
      <c r="D382">
        <v>3299</v>
      </c>
      <c r="E382">
        <v>1</v>
      </c>
      <c r="F382">
        <v>1</v>
      </c>
      <c r="G382">
        <v>3299</v>
      </c>
      <c r="H382">
        <v>3299</v>
      </c>
    </row>
    <row r="383" spans="1:8" x14ac:dyDescent="0.35">
      <c r="A383">
        <v>103408648</v>
      </c>
      <c r="B383" t="s">
        <v>4076</v>
      </c>
      <c r="C383" s="2">
        <v>44748</v>
      </c>
      <c r="D383">
        <v>2849.05</v>
      </c>
      <c r="E383">
        <v>1</v>
      </c>
      <c r="F383">
        <v>1</v>
      </c>
      <c r="G383">
        <v>2849.05</v>
      </c>
      <c r="H383">
        <v>2849.05</v>
      </c>
    </row>
    <row r="384" spans="1:8" x14ac:dyDescent="0.35">
      <c r="A384">
        <v>103408672</v>
      </c>
      <c r="B384" t="s">
        <v>4076</v>
      </c>
      <c r="C384" s="2">
        <v>44748</v>
      </c>
      <c r="D384">
        <v>2228</v>
      </c>
      <c r="E384">
        <v>2</v>
      </c>
      <c r="F384">
        <v>1</v>
      </c>
      <c r="G384">
        <v>1114</v>
      </c>
      <c r="H384">
        <v>2228</v>
      </c>
    </row>
    <row r="385" spans="1:8" x14ac:dyDescent="0.35">
      <c r="A385">
        <v>103408675</v>
      </c>
      <c r="B385" t="s">
        <v>4076</v>
      </c>
      <c r="C385" s="2">
        <v>44748</v>
      </c>
      <c r="D385">
        <v>1199</v>
      </c>
      <c r="E385">
        <v>1</v>
      </c>
      <c r="F385">
        <v>1</v>
      </c>
      <c r="G385">
        <v>1199</v>
      </c>
      <c r="H385">
        <v>1199</v>
      </c>
    </row>
    <row r="386" spans="1:8" x14ac:dyDescent="0.35">
      <c r="A386">
        <v>103408676</v>
      </c>
      <c r="B386" t="s">
        <v>4076</v>
      </c>
      <c r="C386" s="2">
        <v>44748</v>
      </c>
      <c r="D386">
        <v>1709.05</v>
      </c>
      <c r="E386">
        <v>1</v>
      </c>
      <c r="F386">
        <v>1</v>
      </c>
      <c r="G386">
        <v>1709.05</v>
      </c>
      <c r="H386">
        <v>1709.05</v>
      </c>
    </row>
    <row r="387" spans="1:8" x14ac:dyDescent="0.35">
      <c r="A387">
        <v>103408677</v>
      </c>
      <c r="B387" t="s">
        <v>4076</v>
      </c>
      <c r="C387" s="2">
        <v>44748</v>
      </c>
      <c r="D387">
        <v>2449.1</v>
      </c>
      <c r="E387">
        <v>2</v>
      </c>
      <c r="F387">
        <v>1</v>
      </c>
      <c r="G387">
        <v>1224.55</v>
      </c>
      <c r="H387">
        <v>2449.1</v>
      </c>
    </row>
    <row r="388" spans="1:8" x14ac:dyDescent="0.35">
      <c r="A388">
        <v>103408680</v>
      </c>
      <c r="B388" t="s">
        <v>4076</v>
      </c>
      <c r="C388" s="2">
        <v>44748</v>
      </c>
      <c r="D388">
        <v>2834.1</v>
      </c>
      <c r="E388">
        <v>1</v>
      </c>
      <c r="F388">
        <v>1</v>
      </c>
      <c r="G388">
        <v>2834.1</v>
      </c>
      <c r="H388">
        <v>2834.1</v>
      </c>
    </row>
    <row r="389" spans="1:8" x14ac:dyDescent="0.35">
      <c r="A389">
        <v>103408686</v>
      </c>
      <c r="B389" t="s">
        <v>4076</v>
      </c>
      <c r="C389" s="2">
        <v>44748</v>
      </c>
      <c r="D389">
        <v>1457.1</v>
      </c>
      <c r="E389">
        <v>1</v>
      </c>
      <c r="F389">
        <v>1</v>
      </c>
      <c r="G389">
        <v>1457.1</v>
      </c>
      <c r="H389">
        <v>1457.1</v>
      </c>
    </row>
    <row r="390" spans="1:8" x14ac:dyDescent="0.35">
      <c r="A390">
        <v>103408687</v>
      </c>
      <c r="B390" t="s">
        <v>4076</v>
      </c>
      <c r="C390" s="2">
        <v>44748</v>
      </c>
      <c r="D390">
        <v>3991.99</v>
      </c>
      <c r="E390">
        <v>1</v>
      </c>
      <c r="F390">
        <v>1</v>
      </c>
      <c r="G390">
        <v>3991.99</v>
      </c>
      <c r="H390">
        <v>3991.99</v>
      </c>
    </row>
    <row r="391" spans="1:8" x14ac:dyDescent="0.35">
      <c r="A391">
        <v>103408688</v>
      </c>
      <c r="B391" t="s">
        <v>4076</v>
      </c>
      <c r="C391" s="2">
        <v>44748</v>
      </c>
      <c r="D391">
        <v>4749.05</v>
      </c>
      <c r="E391">
        <v>1</v>
      </c>
      <c r="F391">
        <v>1</v>
      </c>
      <c r="G391">
        <v>4749.05</v>
      </c>
      <c r="H391">
        <v>4749.05</v>
      </c>
    </row>
    <row r="392" spans="1:8" x14ac:dyDescent="0.35">
      <c r="A392">
        <v>103408691</v>
      </c>
      <c r="B392" t="s">
        <v>4076</v>
      </c>
      <c r="C392" s="2">
        <v>44748</v>
      </c>
      <c r="D392">
        <v>8964.2000000000007</v>
      </c>
      <c r="E392">
        <v>4</v>
      </c>
      <c r="F392">
        <v>1</v>
      </c>
      <c r="G392">
        <v>2241.0500000000002</v>
      </c>
      <c r="H392">
        <v>8964.2000000000007</v>
      </c>
    </row>
    <row r="393" spans="1:8" x14ac:dyDescent="0.35">
      <c r="A393">
        <v>103408703</v>
      </c>
      <c r="B393" t="s">
        <v>4076</v>
      </c>
      <c r="C393" s="2">
        <v>44748</v>
      </c>
      <c r="D393">
        <v>3227.1499999999901</v>
      </c>
      <c r="E393">
        <v>3</v>
      </c>
      <c r="F393">
        <v>1</v>
      </c>
      <c r="G393">
        <v>1075.7166666666601</v>
      </c>
      <c r="H393">
        <v>3227.1499999999901</v>
      </c>
    </row>
    <row r="394" spans="1:8" x14ac:dyDescent="0.35">
      <c r="A394">
        <v>103408712</v>
      </c>
      <c r="B394" t="s">
        <v>4076</v>
      </c>
      <c r="C394" s="2">
        <v>44748</v>
      </c>
      <c r="D394">
        <v>2374.0500000000002</v>
      </c>
      <c r="E394">
        <v>1</v>
      </c>
      <c r="F394">
        <v>1</v>
      </c>
      <c r="G394">
        <v>2374.0500000000002</v>
      </c>
      <c r="H394">
        <v>2374.0500000000002</v>
      </c>
    </row>
    <row r="395" spans="1:8" x14ac:dyDescent="0.35">
      <c r="A395">
        <v>103408714</v>
      </c>
      <c r="B395" t="s">
        <v>4076</v>
      </c>
      <c r="C395" s="2">
        <v>44748</v>
      </c>
      <c r="D395">
        <v>5199</v>
      </c>
      <c r="E395">
        <v>1</v>
      </c>
      <c r="F395">
        <v>1</v>
      </c>
      <c r="G395">
        <v>5199</v>
      </c>
      <c r="H395">
        <v>5199</v>
      </c>
    </row>
    <row r="396" spans="1:8" x14ac:dyDescent="0.35">
      <c r="A396">
        <v>103408715</v>
      </c>
      <c r="B396" t="s">
        <v>4076</v>
      </c>
      <c r="C396" s="2">
        <v>44748</v>
      </c>
      <c r="D396">
        <v>1499</v>
      </c>
      <c r="E396">
        <v>1</v>
      </c>
      <c r="F396">
        <v>1</v>
      </c>
      <c r="G396">
        <v>1499</v>
      </c>
      <c r="H396">
        <v>1499</v>
      </c>
    </row>
    <row r="397" spans="1:8" x14ac:dyDescent="0.35">
      <c r="A397">
        <v>103408719</v>
      </c>
      <c r="B397" t="s">
        <v>4076</v>
      </c>
      <c r="C397" s="2">
        <v>44748</v>
      </c>
      <c r="D397">
        <v>2598.34</v>
      </c>
      <c r="E397">
        <v>1</v>
      </c>
      <c r="F397">
        <v>1</v>
      </c>
      <c r="G397">
        <v>2598.34</v>
      </c>
      <c r="H397">
        <v>2598.34</v>
      </c>
    </row>
    <row r="398" spans="1:8" x14ac:dyDescent="0.35">
      <c r="A398">
        <v>103408723</v>
      </c>
      <c r="B398" t="s">
        <v>4076</v>
      </c>
      <c r="C398" s="2">
        <v>44748</v>
      </c>
      <c r="D398">
        <v>959</v>
      </c>
      <c r="E398">
        <v>1</v>
      </c>
      <c r="F398">
        <v>1</v>
      </c>
      <c r="G398">
        <v>959</v>
      </c>
      <c r="H398">
        <v>959</v>
      </c>
    </row>
    <row r="399" spans="1:8" x14ac:dyDescent="0.35">
      <c r="A399">
        <v>103408725</v>
      </c>
      <c r="B399" t="s">
        <v>4076</v>
      </c>
      <c r="C399" s="2">
        <v>44748</v>
      </c>
      <c r="D399">
        <v>2126.1</v>
      </c>
      <c r="E399">
        <v>2</v>
      </c>
      <c r="F399">
        <v>1</v>
      </c>
      <c r="G399">
        <v>1063.05</v>
      </c>
      <c r="H399">
        <v>2126.1</v>
      </c>
    </row>
    <row r="400" spans="1:8" x14ac:dyDescent="0.35">
      <c r="A400">
        <v>103408732</v>
      </c>
      <c r="B400" t="s">
        <v>4076</v>
      </c>
      <c r="C400" s="2">
        <v>44748</v>
      </c>
      <c r="D400">
        <v>6410.6</v>
      </c>
      <c r="E400">
        <v>2</v>
      </c>
      <c r="F400">
        <v>1</v>
      </c>
      <c r="G400">
        <v>3205.3</v>
      </c>
      <c r="H400">
        <v>6410.6</v>
      </c>
    </row>
    <row r="401" spans="1:8" x14ac:dyDescent="0.35">
      <c r="A401">
        <v>103408736</v>
      </c>
      <c r="B401" t="s">
        <v>4076</v>
      </c>
      <c r="C401" s="2">
        <v>44748</v>
      </c>
      <c r="D401">
        <v>332.59</v>
      </c>
      <c r="E401">
        <v>1</v>
      </c>
      <c r="F401">
        <v>1</v>
      </c>
      <c r="G401">
        <v>332.59</v>
      </c>
      <c r="H401">
        <v>332.59</v>
      </c>
    </row>
    <row r="402" spans="1:8" x14ac:dyDescent="0.35">
      <c r="A402">
        <v>103408740</v>
      </c>
      <c r="B402" t="s">
        <v>4076</v>
      </c>
      <c r="C402" s="2">
        <v>44748</v>
      </c>
      <c r="D402">
        <v>8964.2000000000007</v>
      </c>
      <c r="E402">
        <v>4</v>
      </c>
      <c r="F402">
        <v>1</v>
      </c>
      <c r="G402">
        <v>2241.0500000000002</v>
      </c>
      <c r="H402">
        <v>8964.2000000000007</v>
      </c>
    </row>
    <row r="403" spans="1:8" x14ac:dyDescent="0.35">
      <c r="A403">
        <v>103408741</v>
      </c>
      <c r="B403" t="s">
        <v>4076</v>
      </c>
      <c r="C403" s="2">
        <v>44748</v>
      </c>
      <c r="D403">
        <v>5556.64</v>
      </c>
      <c r="E403">
        <v>1</v>
      </c>
      <c r="F403">
        <v>1</v>
      </c>
      <c r="G403">
        <v>5556.64</v>
      </c>
      <c r="H403">
        <v>5556.64</v>
      </c>
    </row>
    <row r="404" spans="1:8" x14ac:dyDescent="0.35">
      <c r="A404">
        <v>103408742</v>
      </c>
      <c r="B404" t="s">
        <v>4076</v>
      </c>
      <c r="C404" s="2">
        <v>44748</v>
      </c>
      <c r="D404">
        <v>3324.05</v>
      </c>
      <c r="E404">
        <v>1</v>
      </c>
      <c r="F404">
        <v>1</v>
      </c>
      <c r="G404">
        <v>3324.05</v>
      </c>
      <c r="H404">
        <v>3324.05</v>
      </c>
    </row>
    <row r="405" spans="1:8" x14ac:dyDescent="0.35">
      <c r="A405">
        <v>103408747</v>
      </c>
      <c r="B405" t="s">
        <v>4076</v>
      </c>
      <c r="C405" s="2">
        <v>44748</v>
      </c>
      <c r="D405">
        <v>2193.5500000000002</v>
      </c>
      <c r="E405">
        <v>1</v>
      </c>
      <c r="F405">
        <v>1</v>
      </c>
      <c r="G405">
        <v>2193.5500000000002</v>
      </c>
      <c r="H405">
        <v>2193.5500000000002</v>
      </c>
    </row>
    <row r="406" spans="1:8" x14ac:dyDescent="0.35">
      <c r="A406">
        <v>103408753</v>
      </c>
      <c r="B406" t="s">
        <v>4076</v>
      </c>
      <c r="C406" s="2">
        <v>44748</v>
      </c>
      <c r="D406">
        <v>6789.65</v>
      </c>
      <c r="E406">
        <v>3</v>
      </c>
      <c r="F406">
        <v>1</v>
      </c>
      <c r="G406">
        <v>2263.2166666666599</v>
      </c>
      <c r="H406">
        <v>6789.65</v>
      </c>
    </row>
    <row r="407" spans="1:8" x14ac:dyDescent="0.35">
      <c r="A407">
        <v>103408756</v>
      </c>
      <c r="B407" t="s">
        <v>4076</v>
      </c>
      <c r="C407" s="2">
        <v>44748</v>
      </c>
      <c r="D407">
        <v>2886.1</v>
      </c>
      <c r="E407">
        <v>2</v>
      </c>
      <c r="F407">
        <v>1</v>
      </c>
      <c r="G407">
        <v>1443.05</v>
      </c>
      <c r="H407">
        <v>2886.1</v>
      </c>
    </row>
    <row r="408" spans="1:8" x14ac:dyDescent="0.35">
      <c r="A408">
        <v>103408757</v>
      </c>
      <c r="B408" t="s">
        <v>4076</v>
      </c>
      <c r="C408" s="2">
        <v>44748</v>
      </c>
      <c r="D408">
        <v>1099</v>
      </c>
      <c r="E408">
        <v>1</v>
      </c>
      <c r="F408">
        <v>1</v>
      </c>
      <c r="G408">
        <v>1099</v>
      </c>
      <c r="H408">
        <v>1099</v>
      </c>
    </row>
    <row r="409" spans="1:8" x14ac:dyDescent="0.35">
      <c r="A409">
        <v>103408761</v>
      </c>
      <c r="B409" t="s">
        <v>4076</v>
      </c>
      <c r="C409" s="2">
        <v>44748</v>
      </c>
      <c r="D409">
        <v>3134.05</v>
      </c>
      <c r="E409">
        <v>1</v>
      </c>
      <c r="F409">
        <v>1</v>
      </c>
      <c r="G409">
        <v>3134.05</v>
      </c>
      <c r="H409">
        <v>3134.05</v>
      </c>
    </row>
    <row r="410" spans="1:8" x14ac:dyDescent="0.35">
      <c r="A410">
        <v>103408767</v>
      </c>
      <c r="B410" t="s">
        <v>4076</v>
      </c>
      <c r="C410" s="2">
        <v>44748</v>
      </c>
      <c r="D410">
        <v>849</v>
      </c>
      <c r="E410">
        <v>1</v>
      </c>
      <c r="F410">
        <v>1</v>
      </c>
      <c r="G410">
        <v>849</v>
      </c>
      <c r="H410">
        <v>849</v>
      </c>
    </row>
    <row r="411" spans="1:8" x14ac:dyDescent="0.35">
      <c r="A411">
        <v>103408768</v>
      </c>
      <c r="B411" t="s">
        <v>4076</v>
      </c>
      <c r="C411" s="2">
        <v>44748</v>
      </c>
      <c r="D411">
        <v>1063.05</v>
      </c>
      <c r="E411">
        <v>1</v>
      </c>
      <c r="F411">
        <v>1</v>
      </c>
      <c r="G411">
        <v>1063.05</v>
      </c>
      <c r="H411">
        <v>1063.05</v>
      </c>
    </row>
    <row r="412" spans="1:8" x14ac:dyDescent="0.35">
      <c r="A412">
        <v>103408776</v>
      </c>
      <c r="B412" t="s">
        <v>4076</v>
      </c>
      <c r="C412" s="2">
        <v>44748</v>
      </c>
      <c r="D412">
        <v>2834.1</v>
      </c>
      <c r="E412">
        <v>1</v>
      </c>
      <c r="F412">
        <v>1</v>
      </c>
      <c r="G412">
        <v>2834.1</v>
      </c>
      <c r="H412">
        <v>2834.1</v>
      </c>
    </row>
    <row r="413" spans="1:8" x14ac:dyDescent="0.35">
      <c r="A413">
        <v>103408778</v>
      </c>
      <c r="B413" t="s">
        <v>4076</v>
      </c>
      <c r="C413" s="2">
        <v>44748</v>
      </c>
      <c r="D413">
        <v>709</v>
      </c>
      <c r="E413">
        <v>1</v>
      </c>
      <c r="F413">
        <v>1</v>
      </c>
      <c r="G413">
        <v>709</v>
      </c>
      <c r="H413">
        <v>709</v>
      </c>
    </row>
    <row r="414" spans="1:8" x14ac:dyDescent="0.35">
      <c r="A414">
        <v>103408780</v>
      </c>
      <c r="B414" t="s">
        <v>4076</v>
      </c>
      <c r="C414" s="2">
        <v>44748</v>
      </c>
      <c r="D414">
        <v>4329.1499999999996</v>
      </c>
      <c r="E414">
        <v>3</v>
      </c>
      <c r="F414">
        <v>1</v>
      </c>
      <c r="G414">
        <v>1443.05</v>
      </c>
      <c r="H414">
        <v>4329.1499999999996</v>
      </c>
    </row>
    <row r="415" spans="1:8" x14ac:dyDescent="0.35">
      <c r="A415">
        <v>103408785</v>
      </c>
      <c r="B415" t="s">
        <v>4076</v>
      </c>
      <c r="C415" s="2">
        <v>44748</v>
      </c>
      <c r="D415">
        <v>1999</v>
      </c>
      <c r="E415">
        <v>1</v>
      </c>
      <c r="F415">
        <v>1</v>
      </c>
      <c r="G415">
        <v>1999</v>
      </c>
      <c r="H415">
        <v>1999</v>
      </c>
    </row>
    <row r="416" spans="1:8" x14ac:dyDescent="0.35">
      <c r="A416">
        <v>103408789</v>
      </c>
      <c r="B416" t="s">
        <v>4076</v>
      </c>
      <c r="C416" s="2">
        <v>44748</v>
      </c>
      <c r="D416">
        <v>1869</v>
      </c>
      <c r="E416">
        <v>1</v>
      </c>
      <c r="F416">
        <v>1</v>
      </c>
      <c r="G416">
        <v>1869</v>
      </c>
      <c r="H416">
        <v>1869</v>
      </c>
    </row>
    <row r="417" spans="1:8" x14ac:dyDescent="0.35">
      <c r="A417">
        <v>103408791</v>
      </c>
      <c r="B417" t="s">
        <v>4076</v>
      </c>
      <c r="C417" s="2">
        <v>44748</v>
      </c>
      <c r="D417">
        <v>2019</v>
      </c>
      <c r="E417">
        <v>1</v>
      </c>
      <c r="F417">
        <v>1</v>
      </c>
      <c r="G417">
        <v>2019</v>
      </c>
      <c r="H417">
        <v>2019</v>
      </c>
    </row>
    <row r="418" spans="1:8" x14ac:dyDescent="0.35">
      <c r="A418">
        <v>103408796</v>
      </c>
      <c r="B418" t="s">
        <v>4076</v>
      </c>
      <c r="C418" s="2">
        <v>44748</v>
      </c>
      <c r="D418">
        <v>4034.74</v>
      </c>
      <c r="E418">
        <v>3</v>
      </c>
      <c r="F418">
        <v>1</v>
      </c>
      <c r="G418">
        <v>1344.91333333333</v>
      </c>
      <c r="H418">
        <v>4034.74</v>
      </c>
    </row>
    <row r="419" spans="1:8" x14ac:dyDescent="0.35">
      <c r="A419">
        <v>103408799</v>
      </c>
      <c r="B419" t="s">
        <v>4076</v>
      </c>
      <c r="C419" s="2">
        <v>44748</v>
      </c>
      <c r="D419">
        <v>3779.1</v>
      </c>
      <c r="E419">
        <v>1</v>
      </c>
      <c r="F419">
        <v>1</v>
      </c>
      <c r="G419">
        <v>3779.1</v>
      </c>
      <c r="H419">
        <v>3779.1</v>
      </c>
    </row>
    <row r="420" spans="1:8" x14ac:dyDescent="0.35">
      <c r="A420">
        <v>103408802</v>
      </c>
      <c r="B420" t="s">
        <v>4076</v>
      </c>
      <c r="C420" s="2">
        <v>44748</v>
      </c>
      <c r="D420">
        <v>6839.05</v>
      </c>
      <c r="E420">
        <v>1</v>
      </c>
      <c r="F420">
        <v>1</v>
      </c>
      <c r="G420">
        <v>6839.05</v>
      </c>
      <c r="H420">
        <v>6839.05</v>
      </c>
    </row>
    <row r="421" spans="1:8" x14ac:dyDescent="0.35">
      <c r="A421">
        <v>103408810</v>
      </c>
      <c r="B421" t="s">
        <v>4076</v>
      </c>
      <c r="C421" s="2">
        <v>44748</v>
      </c>
      <c r="D421">
        <v>2029.72</v>
      </c>
      <c r="E421">
        <v>1</v>
      </c>
      <c r="F421">
        <v>1</v>
      </c>
      <c r="G421">
        <v>2029.72</v>
      </c>
      <c r="H421">
        <v>2029.72</v>
      </c>
    </row>
    <row r="422" spans="1:8" x14ac:dyDescent="0.35">
      <c r="A422">
        <v>103408814</v>
      </c>
      <c r="B422" t="s">
        <v>4076</v>
      </c>
      <c r="C422" s="2">
        <v>44748</v>
      </c>
      <c r="D422">
        <v>2269</v>
      </c>
      <c r="E422">
        <v>1</v>
      </c>
      <c r="F422">
        <v>1</v>
      </c>
      <c r="G422">
        <v>2269</v>
      </c>
      <c r="H422">
        <v>2269</v>
      </c>
    </row>
    <row r="423" spans="1:8" x14ac:dyDescent="0.35">
      <c r="A423">
        <v>103408816</v>
      </c>
      <c r="B423" t="s">
        <v>4076</v>
      </c>
      <c r="C423" s="2">
        <v>44748</v>
      </c>
      <c r="D423">
        <v>1749</v>
      </c>
      <c r="E423">
        <v>1</v>
      </c>
      <c r="F423">
        <v>1</v>
      </c>
      <c r="G423">
        <v>1749</v>
      </c>
      <c r="H423">
        <v>1749</v>
      </c>
    </row>
    <row r="424" spans="1:8" x14ac:dyDescent="0.35">
      <c r="A424">
        <v>103408821</v>
      </c>
      <c r="B424" t="s">
        <v>4076</v>
      </c>
      <c r="C424" s="2">
        <v>44748</v>
      </c>
      <c r="D424">
        <v>1661.55</v>
      </c>
      <c r="E424">
        <v>1</v>
      </c>
      <c r="F424">
        <v>1</v>
      </c>
      <c r="G424">
        <v>1661.55</v>
      </c>
      <c r="H424">
        <v>1661.55</v>
      </c>
    </row>
    <row r="425" spans="1:8" x14ac:dyDescent="0.35">
      <c r="A425">
        <v>103408827</v>
      </c>
      <c r="B425" t="s">
        <v>4076</v>
      </c>
      <c r="C425" s="2">
        <v>44748</v>
      </c>
      <c r="D425">
        <v>1169</v>
      </c>
      <c r="E425">
        <v>1</v>
      </c>
      <c r="F425">
        <v>1</v>
      </c>
      <c r="G425">
        <v>1169</v>
      </c>
      <c r="H425">
        <v>1169</v>
      </c>
    </row>
    <row r="426" spans="1:8" x14ac:dyDescent="0.35">
      <c r="A426">
        <v>103408836</v>
      </c>
      <c r="B426" t="s">
        <v>4076</v>
      </c>
      <c r="C426" s="2">
        <v>44748</v>
      </c>
      <c r="D426">
        <v>3779.1</v>
      </c>
      <c r="E426">
        <v>1</v>
      </c>
      <c r="F426">
        <v>1</v>
      </c>
      <c r="G426">
        <v>3779.1</v>
      </c>
      <c r="H426">
        <v>3779.1</v>
      </c>
    </row>
    <row r="427" spans="1:8" x14ac:dyDescent="0.35">
      <c r="A427">
        <v>103408847</v>
      </c>
      <c r="B427" t="s">
        <v>4076</v>
      </c>
      <c r="C427" s="2">
        <v>44748</v>
      </c>
      <c r="D427">
        <v>1129.55</v>
      </c>
      <c r="E427">
        <v>1</v>
      </c>
      <c r="F427">
        <v>1</v>
      </c>
      <c r="G427">
        <v>1129.55</v>
      </c>
      <c r="H427">
        <v>1129.55</v>
      </c>
    </row>
    <row r="428" spans="1:8" x14ac:dyDescent="0.35">
      <c r="A428">
        <v>103408849</v>
      </c>
      <c r="B428" t="s">
        <v>4076</v>
      </c>
      <c r="C428" s="2">
        <v>44748</v>
      </c>
      <c r="D428">
        <v>2820.64</v>
      </c>
      <c r="E428">
        <v>1</v>
      </c>
      <c r="F428">
        <v>1</v>
      </c>
      <c r="G428">
        <v>2820.64</v>
      </c>
      <c r="H428">
        <v>2820.64</v>
      </c>
    </row>
    <row r="429" spans="1:8" x14ac:dyDescent="0.35">
      <c r="A429">
        <v>103408850</v>
      </c>
      <c r="B429" t="s">
        <v>4076</v>
      </c>
      <c r="C429" s="2">
        <v>44748</v>
      </c>
      <c r="D429">
        <v>1594.1</v>
      </c>
      <c r="E429">
        <v>2</v>
      </c>
      <c r="F429">
        <v>1</v>
      </c>
      <c r="G429">
        <v>797.05</v>
      </c>
      <c r="H429">
        <v>1594.1</v>
      </c>
    </row>
    <row r="430" spans="1:8" x14ac:dyDescent="0.35">
      <c r="A430">
        <v>103408855</v>
      </c>
      <c r="B430" t="s">
        <v>4076</v>
      </c>
      <c r="C430" s="2">
        <v>44748</v>
      </c>
      <c r="D430">
        <v>1007.19</v>
      </c>
      <c r="E430">
        <v>2</v>
      </c>
      <c r="F430">
        <v>1</v>
      </c>
      <c r="G430">
        <v>503.59500000000003</v>
      </c>
      <c r="H430">
        <v>1007.19</v>
      </c>
    </row>
    <row r="431" spans="1:8" x14ac:dyDescent="0.35">
      <c r="A431">
        <v>103408857</v>
      </c>
      <c r="B431" t="s">
        <v>4076</v>
      </c>
      <c r="C431" s="2">
        <v>44748</v>
      </c>
      <c r="D431">
        <v>1880.14</v>
      </c>
      <c r="E431">
        <v>1</v>
      </c>
      <c r="F431">
        <v>1</v>
      </c>
      <c r="G431">
        <v>1880.14</v>
      </c>
      <c r="H431">
        <v>1880.14</v>
      </c>
    </row>
    <row r="432" spans="1:8" x14ac:dyDescent="0.35">
      <c r="A432">
        <v>103408862</v>
      </c>
      <c r="B432" t="s">
        <v>4076</v>
      </c>
      <c r="C432" s="2">
        <v>44749</v>
      </c>
      <c r="D432">
        <v>2773.05</v>
      </c>
      <c r="E432">
        <v>1</v>
      </c>
      <c r="F432">
        <v>1</v>
      </c>
      <c r="G432">
        <v>2773.05</v>
      </c>
      <c r="H432">
        <v>2773.05</v>
      </c>
    </row>
    <row r="433" spans="1:8" x14ac:dyDescent="0.35">
      <c r="A433">
        <v>103408865</v>
      </c>
      <c r="B433" t="s">
        <v>4076</v>
      </c>
      <c r="C433" s="2">
        <v>44748</v>
      </c>
      <c r="D433">
        <v>5230.03</v>
      </c>
      <c r="E433">
        <v>3</v>
      </c>
      <c r="F433">
        <v>1</v>
      </c>
      <c r="G433">
        <v>1743.3433333333301</v>
      </c>
      <c r="H433">
        <v>5230.03</v>
      </c>
    </row>
    <row r="434" spans="1:8" x14ac:dyDescent="0.35">
      <c r="A434">
        <v>103408867</v>
      </c>
      <c r="B434" t="s">
        <v>4076</v>
      </c>
      <c r="C434" s="2">
        <v>44748</v>
      </c>
      <c r="D434">
        <v>2611.5500000000002</v>
      </c>
      <c r="E434">
        <v>1</v>
      </c>
      <c r="F434">
        <v>1</v>
      </c>
      <c r="G434">
        <v>2611.5500000000002</v>
      </c>
      <c r="H434">
        <v>2611.5500000000002</v>
      </c>
    </row>
    <row r="435" spans="1:8" x14ac:dyDescent="0.35">
      <c r="A435">
        <v>103408878</v>
      </c>
      <c r="B435" t="s">
        <v>4076</v>
      </c>
      <c r="C435" s="2">
        <v>44748</v>
      </c>
      <c r="D435">
        <v>2659.05</v>
      </c>
      <c r="E435">
        <v>1</v>
      </c>
      <c r="F435">
        <v>1</v>
      </c>
      <c r="G435">
        <v>2659.05</v>
      </c>
      <c r="H435">
        <v>2659.05</v>
      </c>
    </row>
    <row r="436" spans="1:8" x14ac:dyDescent="0.35">
      <c r="A436">
        <v>103408883</v>
      </c>
      <c r="B436" t="s">
        <v>4076</v>
      </c>
      <c r="C436" s="2">
        <v>44748</v>
      </c>
      <c r="D436">
        <v>4499</v>
      </c>
      <c r="E436">
        <v>1</v>
      </c>
      <c r="F436">
        <v>1</v>
      </c>
      <c r="G436">
        <v>4499</v>
      </c>
      <c r="H436">
        <v>4499</v>
      </c>
    </row>
    <row r="437" spans="1:8" x14ac:dyDescent="0.35">
      <c r="A437">
        <v>103408898</v>
      </c>
      <c r="B437" t="s">
        <v>4076</v>
      </c>
      <c r="C437" s="2">
        <v>44748</v>
      </c>
      <c r="D437">
        <v>2735.1</v>
      </c>
      <c r="E437">
        <v>1</v>
      </c>
      <c r="F437">
        <v>1</v>
      </c>
      <c r="G437">
        <v>2735.1</v>
      </c>
      <c r="H437">
        <v>2735.1</v>
      </c>
    </row>
    <row r="438" spans="1:8" x14ac:dyDescent="0.35">
      <c r="A438">
        <v>103408901</v>
      </c>
      <c r="B438" t="s">
        <v>4076</v>
      </c>
      <c r="C438" s="2">
        <v>44748</v>
      </c>
      <c r="D438">
        <v>3656.55</v>
      </c>
      <c r="E438">
        <v>1</v>
      </c>
      <c r="F438">
        <v>1</v>
      </c>
      <c r="G438">
        <v>3656.55</v>
      </c>
      <c r="H438">
        <v>3656.55</v>
      </c>
    </row>
    <row r="439" spans="1:8" x14ac:dyDescent="0.35">
      <c r="A439">
        <v>103408902</v>
      </c>
      <c r="B439" t="s">
        <v>4076</v>
      </c>
      <c r="C439" s="2">
        <v>44748</v>
      </c>
      <c r="D439">
        <v>969</v>
      </c>
      <c r="E439">
        <v>1</v>
      </c>
      <c r="F439">
        <v>1</v>
      </c>
      <c r="G439">
        <v>969</v>
      </c>
      <c r="H439">
        <v>969</v>
      </c>
    </row>
    <row r="440" spans="1:8" x14ac:dyDescent="0.35">
      <c r="A440">
        <v>103408910</v>
      </c>
      <c r="B440" t="s">
        <v>4076</v>
      </c>
      <c r="C440" s="2">
        <v>44748</v>
      </c>
      <c r="D440">
        <v>2042.1</v>
      </c>
      <c r="E440">
        <v>1</v>
      </c>
      <c r="F440">
        <v>1</v>
      </c>
      <c r="G440">
        <v>2042.1</v>
      </c>
      <c r="H440">
        <v>2042.1</v>
      </c>
    </row>
    <row r="441" spans="1:8" x14ac:dyDescent="0.35">
      <c r="A441">
        <v>103408913</v>
      </c>
      <c r="B441" t="s">
        <v>4076</v>
      </c>
      <c r="C441" s="2">
        <v>44748</v>
      </c>
      <c r="D441">
        <v>1259</v>
      </c>
      <c r="E441">
        <v>1</v>
      </c>
      <c r="F441">
        <v>1</v>
      </c>
      <c r="G441">
        <v>1259</v>
      </c>
      <c r="H441">
        <v>1259</v>
      </c>
    </row>
    <row r="442" spans="1:8" x14ac:dyDescent="0.35">
      <c r="A442">
        <v>103408916</v>
      </c>
      <c r="B442" t="s">
        <v>4076</v>
      </c>
      <c r="C442" s="2">
        <v>44748</v>
      </c>
      <c r="D442">
        <v>2047.77</v>
      </c>
      <c r="E442">
        <v>1</v>
      </c>
      <c r="F442">
        <v>1</v>
      </c>
      <c r="G442">
        <v>2047.77</v>
      </c>
      <c r="H442">
        <v>2047.77</v>
      </c>
    </row>
    <row r="443" spans="1:8" x14ac:dyDescent="0.35">
      <c r="A443">
        <v>103408917</v>
      </c>
      <c r="B443" t="s">
        <v>4076</v>
      </c>
      <c r="C443" s="2">
        <v>44748</v>
      </c>
      <c r="D443">
        <v>8278.2000000000007</v>
      </c>
      <c r="E443">
        <v>2</v>
      </c>
      <c r="F443">
        <v>1</v>
      </c>
      <c r="G443">
        <v>4139.1000000000004</v>
      </c>
      <c r="H443">
        <v>8278.2000000000007</v>
      </c>
    </row>
    <row r="444" spans="1:8" x14ac:dyDescent="0.35">
      <c r="A444">
        <v>103408919</v>
      </c>
      <c r="B444" t="s">
        <v>4076</v>
      </c>
      <c r="C444" s="2">
        <v>44748</v>
      </c>
      <c r="D444">
        <v>2199</v>
      </c>
      <c r="E444">
        <v>1</v>
      </c>
      <c r="F444">
        <v>1</v>
      </c>
      <c r="G444">
        <v>2199</v>
      </c>
      <c r="H444">
        <v>2199</v>
      </c>
    </row>
    <row r="445" spans="1:8" x14ac:dyDescent="0.35">
      <c r="A445">
        <v>103408926</v>
      </c>
      <c r="B445" t="s">
        <v>4076</v>
      </c>
      <c r="C445" s="2">
        <v>44748</v>
      </c>
      <c r="D445">
        <v>3419.14</v>
      </c>
      <c r="E445">
        <v>1</v>
      </c>
      <c r="F445">
        <v>1</v>
      </c>
      <c r="G445">
        <v>3419.14</v>
      </c>
      <c r="H445">
        <v>3419.14</v>
      </c>
    </row>
    <row r="446" spans="1:8" x14ac:dyDescent="0.35">
      <c r="A446">
        <v>103408927</v>
      </c>
      <c r="B446" t="s">
        <v>4076</v>
      </c>
      <c r="C446" s="2">
        <v>44748</v>
      </c>
      <c r="D446">
        <v>2659.05</v>
      </c>
      <c r="E446">
        <v>1</v>
      </c>
      <c r="F446">
        <v>1</v>
      </c>
      <c r="G446">
        <v>2659.05</v>
      </c>
      <c r="H446">
        <v>2659.05</v>
      </c>
    </row>
    <row r="447" spans="1:8" x14ac:dyDescent="0.35">
      <c r="A447">
        <v>103408929</v>
      </c>
      <c r="B447" t="s">
        <v>4076</v>
      </c>
      <c r="C447" s="2">
        <v>44748</v>
      </c>
      <c r="D447">
        <v>1672.2</v>
      </c>
      <c r="E447">
        <v>2</v>
      </c>
      <c r="F447">
        <v>1</v>
      </c>
      <c r="G447">
        <v>836.1</v>
      </c>
      <c r="H447">
        <v>1672.2</v>
      </c>
    </row>
    <row r="448" spans="1:8" x14ac:dyDescent="0.35">
      <c r="A448">
        <v>103408942</v>
      </c>
      <c r="B448" t="s">
        <v>4076</v>
      </c>
      <c r="C448" s="2">
        <v>44748</v>
      </c>
      <c r="D448">
        <v>1076.44</v>
      </c>
      <c r="E448">
        <v>1</v>
      </c>
      <c r="F448">
        <v>1</v>
      </c>
      <c r="G448">
        <v>1076.44</v>
      </c>
      <c r="H448">
        <v>1076.44</v>
      </c>
    </row>
    <row r="449" spans="1:8" x14ac:dyDescent="0.35">
      <c r="A449">
        <v>103408944</v>
      </c>
      <c r="B449" t="s">
        <v>4076</v>
      </c>
      <c r="C449" s="2">
        <v>44749</v>
      </c>
      <c r="D449">
        <v>1367.05</v>
      </c>
      <c r="E449">
        <v>1</v>
      </c>
      <c r="F449">
        <v>1</v>
      </c>
      <c r="G449">
        <v>1367.05</v>
      </c>
      <c r="H449">
        <v>1367.05</v>
      </c>
    </row>
    <row r="450" spans="1:8" x14ac:dyDescent="0.35">
      <c r="A450">
        <v>103408951</v>
      </c>
      <c r="B450" t="s">
        <v>4076</v>
      </c>
      <c r="C450" s="2">
        <v>44749</v>
      </c>
      <c r="D450">
        <v>1349</v>
      </c>
      <c r="E450">
        <v>1</v>
      </c>
      <c r="F450">
        <v>1</v>
      </c>
      <c r="G450">
        <v>1349</v>
      </c>
      <c r="H450">
        <v>1349</v>
      </c>
    </row>
    <row r="451" spans="1:8" x14ac:dyDescent="0.35">
      <c r="A451">
        <v>103408953</v>
      </c>
      <c r="B451" t="s">
        <v>4076</v>
      </c>
      <c r="C451" s="2">
        <v>44749</v>
      </c>
      <c r="D451">
        <v>3134.05</v>
      </c>
      <c r="E451">
        <v>1</v>
      </c>
      <c r="F451">
        <v>1</v>
      </c>
      <c r="G451">
        <v>3134.05</v>
      </c>
      <c r="H451">
        <v>3134.05</v>
      </c>
    </row>
    <row r="452" spans="1:8" x14ac:dyDescent="0.35">
      <c r="A452">
        <v>103408955</v>
      </c>
      <c r="B452" t="s">
        <v>4076</v>
      </c>
      <c r="C452" s="2">
        <v>44749</v>
      </c>
      <c r="D452">
        <v>1186.55</v>
      </c>
      <c r="E452">
        <v>1</v>
      </c>
      <c r="F452">
        <v>1</v>
      </c>
      <c r="G452">
        <v>1186.55</v>
      </c>
      <c r="H452">
        <v>1186.55</v>
      </c>
    </row>
    <row r="453" spans="1:8" x14ac:dyDescent="0.35">
      <c r="A453">
        <v>103408958</v>
      </c>
      <c r="B453" t="s">
        <v>4076</v>
      </c>
      <c r="C453" s="2">
        <v>44749</v>
      </c>
      <c r="D453">
        <v>3743.5699999999902</v>
      </c>
      <c r="E453">
        <v>2</v>
      </c>
      <c r="F453">
        <v>1</v>
      </c>
      <c r="G453">
        <v>1871.7849999999901</v>
      </c>
      <c r="H453">
        <v>3743.5699999999902</v>
      </c>
    </row>
    <row r="454" spans="1:8" x14ac:dyDescent="0.35">
      <c r="A454">
        <v>103408963</v>
      </c>
      <c r="B454" t="s">
        <v>4076</v>
      </c>
      <c r="C454" s="2">
        <v>44749</v>
      </c>
      <c r="D454">
        <v>1599</v>
      </c>
      <c r="E454">
        <v>1</v>
      </c>
      <c r="F454">
        <v>1</v>
      </c>
      <c r="G454">
        <v>1599</v>
      </c>
      <c r="H454">
        <v>1599</v>
      </c>
    </row>
    <row r="455" spans="1:8" x14ac:dyDescent="0.35">
      <c r="A455">
        <v>103408976</v>
      </c>
      <c r="B455" t="s">
        <v>4076</v>
      </c>
      <c r="C455" s="2">
        <v>44749</v>
      </c>
      <c r="D455">
        <v>2919</v>
      </c>
      <c r="E455">
        <v>1</v>
      </c>
      <c r="F455">
        <v>1</v>
      </c>
      <c r="G455">
        <v>2919</v>
      </c>
      <c r="H455">
        <v>2919</v>
      </c>
    </row>
    <row r="456" spans="1:8" x14ac:dyDescent="0.35">
      <c r="A456">
        <v>103408980</v>
      </c>
      <c r="B456" t="s">
        <v>4076</v>
      </c>
      <c r="C456" s="2">
        <v>44749</v>
      </c>
      <c r="D456">
        <v>1869</v>
      </c>
      <c r="E456">
        <v>1</v>
      </c>
      <c r="F456">
        <v>1</v>
      </c>
      <c r="G456">
        <v>1869</v>
      </c>
      <c r="H456">
        <v>1869</v>
      </c>
    </row>
    <row r="457" spans="1:8" x14ac:dyDescent="0.35">
      <c r="A457">
        <v>103408981</v>
      </c>
      <c r="B457" t="s">
        <v>4076</v>
      </c>
      <c r="C457" s="2">
        <v>44749</v>
      </c>
      <c r="D457">
        <v>3390.55</v>
      </c>
      <c r="E457">
        <v>1</v>
      </c>
      <c r="F457">
        <v>1</v>
      </c>
      <c r="G457">
        <v>3390.55</v>
      </c>
      <c r="H457">
        <v>3390.55</v>
      </c>
    </row>
    <row r="458" spans="1:8" x14ac:dyDescent="0.35">
      <c r="A458">
        <v>103408983</v>
      </c>
      <c r="B458" t="s">
        <v>4076</v>
      </c>
      <c r="C458" s="2">
        <v>44749</v>
      </c>
      <c r="D458">
        <v>2078</v>
      </c>
      <c r="E458">
        <v>2</v>
      </c>
      <c r="F458">
        <v>1</v>
      </c>
      <c r="G458">
        <v>1039</v>
      </c>
      <c r="H458">
        <v>2078</v>
      </c>
    </row>
    <row r="459" spans="1:8" x14ac:dyDescent="0.35">
      <c r="A459">
        <v>103408984</v>
      </c>
      <c r="B459" t="s">
        <v>4076</v>
      </c>
      <c r="C459" s="2">
        <v>44749</v>
      </c>
      <c r="D459">
        <v>5599</v>
      </c>
      <c r="E459">
        <v>1</v>
      </c>
      <c r="F459">
        <v>1</v>
      </c>
      <c r="G459">
        <v>5599</v>
      </c>
      <c r="H459">
        <v>5599</v>
      </c>
    </row>
    <row r="460" spans="1:8" x14ac:dyDescent="0.35">
      <c r="A460">
        <v>103408985</v>
      </c>
      <c r="B460" t="s">
        <v>4076</v>
      </c>
      <c r="C460" s="2">
        <v>44749</v>
      </c>
      <c r="D460">
        <v>1169</v>
      </c>
      <c r="E460">
        <v>1</v>
      </c>
      <c r="F460">
        <v>1</v>
      </c>
      <c r="G460">
        <v>1169</v>
      </c>
      <c r="H460">
        <v>1169</v>
      </c>
    </row>
    <row r="461" spans="1:8" x14ac:dyDescent="0.35">
      <c r="A461">
        <v>103408986</v>
      </c>
      <c r="B461" t="s">
        <v>4076</v>
      </c>
      <c r="C461" s="2">
        <v>44749</v>
      </c>
      <c r="D461">
        <v>920.55</v>
      </c>
      <c r="E461">
        <v>1</v>
      </c>
      <c r="F461">
        <v>1</v>
      </c>
      <c r="G461">
        <v>920.55</v>
      </c>
      <c r="H461">
        <v>920.55</v>
      </c>
    </row>
    <row r="462" spans="1:8" x14ac:dyDescent="0.35">
      <c r="A462">
        <v>103408989</v>
      </c>
      <c r="B462" t="s">
        <v>4076</v>
      </c>
      <c r="C462" s="2">
        <v>44749</v>
      </c>
      <c r="D462">
        <v>869</v>
      </c>
      <c r="E462">
        <v>1</v>
      </c>
      <c r="F462">
        <v>1</v>
      </c>
      <c r="G462">
        <v>869</v>
      </c>
      <c r="H462">
        <v>869</v>
      </c>
    </row>
    <row r="463" spans="1:8" x14ac:dyDescent="0.35">
      <c r="A463">
        <v>103408992</v>
      </c>
      <c r="B463" t="s">
        <v>4076</v>
      </c>
      <c r="C463" s="2">
        <v>44749</v>
      </c>
      <c r="D463">
        <v>1698.6</v>
      </c>
      <c r="E463">
        <v>2</v>
      </c>
      <c r="F463">
        <v>1</v>
      </c>
      <c r="G463">
        <v>849.3</v>
      </c>
      <c r="H463">
        <v>1698.6</v>
      </c>
    </row>
    <row r="464" spans="1:8" x14ac:dyDescent="0.35">
      <c r="A464">
        <v>103408996</v>
      </c>
      <c r="B464" t="s">
        <v>4076</v>
      </c>
      <c r="C464" s="2">
        <v>44749</v>
      </c>
      <c r="D464">
        <v>2279.0500000000002</v>
      </c>
      <c r="E464">
        <v>1</v>
      </c>
      <c r="F464">
        <v>1</v>
      </c>
      <c r="G464">
        <v>2279.0500000000002</v>
      </c>
      <c r="H464">
        <v>2279.0500000000002</v>
      </c>
    </row>
    <row r="465" spans="1:8" x14ac:dyDescent="0.35">
      <c r="A465">
        <v>103409003</v>
      </c>
      <c r="B465" t="s">
        <v>4076</v>
      </c>
      <c r="C465" s="2">
        <v>44749</v>
      </c>
      <c r="D465">
        <v>1310.05</v>
      </c>
      <c r="E465">
        <v>1</v>
      </c>
      <c r="F465">
        <v>1</v>
      </c>
      <c r="G465">
        <v>1310.05</v>
      </c>
      <c r="H465">
        <v>1310.05</v>
      </c>
    </row>
    <row r="466" spans="1:8" x14ac:dyDescent="0.35">
      <c r="A466">
        <v>103409009</v>
      </c>
      <c r="B466" t="s">
        <v>4076</v>
      </c>
      <c r="C466" s="2">
        <v>44749</v>
      </c>
      <c r="D466">
        <v>2868.05</v>
      </c>
      <c r="E466">
        <v>1</v>
      </c>
      <c r="F466">
        <v>1</v>
      </c>
      <c r="G466">
        <v>2868.05</v>
      </c>
      <c r="H466">
        <v>2868.05</v>
      </c>
    </row>
    <row r="467" spans="1:8" x14ac:dyDescent="0.35">
      <c r="A467">
        <v>103409017</v>
      </c>
      <c r="B467" t="s">
        <v>4076</v>
      </c>
      <c r="C467" s="2">
        <v>44749</v>
      </c>
      <c r="D467">
        <v>2278.1</v>
      </c>
      <c r="E467">
        <v>2</v>
      </c>
      <c r="F467">
        <v>1</v>
      </c>
      <c r="G467">
        <v>1139.05</v>
      </c>
      <c r="H467">
        <v>2278.1</v>
      </c>
    </row>
    <row r="468" spans="1:8" x14ac:dyDescent="0.35">
      <c r="A468">
        <v>103409018</v>
      </c>
      <c r="B468" t="s">
        <v>4076</v>
      </c>
      <c r="C468" s="2">
        <v>44749</v>
      </c>
      <c r="D468">
        <v>2469.0500000000002</v>
      </c>
      <c r="E468">
        <v>1</v>
      </c>
      <c r="F468">
        <v>1</v>
      </c>
      <c r="G468">
        <v>2469.0500000000002</v>
      </c>
      <c r="H468">
        <v>2469.0500000000002</v>
      </c>
    </row>
    <row r="469" spans="1:8" x14ac:dyDescent="0.35">
      <c r="A469">
        <v>103409020</v>
      </c>
      <c r="B469" t="s">
        <v>4076</v>
      </c>
      <c r="C469" s="2">
        <v>44749</v>
      </c>
      <c r="D469">
        <v>2239.2399999999998</v>
      </c>
      <c r="E469">
        <v>1</v>
      </c>
      <c r="F469">
        <v>1</v>
      </c>
      <c r="G469">
        <v>2239.2399999999998</v>
      </c>
      <c r="H469">
        <v>2239.2399999999998</v>
      </c>
    </row>
    <row r="470" spans="1:8" x14ac:dyDescent="0.35">
      <c r="A470">
        <v>103409021</v>
      </c>
      <c r="B470" t="s">
        <v>4076</v>
      </c>
      <c r="C470" s="2">
        <v>44749</v>
      </c>
      <c r="D470">
        <v>329</v>
      </c>
      <c r="E470">
        <v>1</v>
      </c>
      <c r="F470">
        <v>1</v>
      </c>
      <c r="G470">
        <v>329</v>
      </c>
      <c r="H470">
        <v>329</v>
      </c>
    </row>
    <row r="471" spans="1:8" x14ac:dyDescent="0.35">
      <c r="A471">
        <v>103409022</v>
      </c>
      <c r="B471" t="s">
        <v>4076</v>
      </c>
      <c r="C471" s="2">
        <v>44749</v>
      </c>
      <c r="D471">
        <v>3566</v>
      </c>
      <c r="E471">
        <v>4</v>
      </c>
      <c r="F471">
        <v>1</v>
      </c>
      <c r="G471">
        <v>891.5</v>
      </c>
      <c r="H471">
        <v>3566</v>
      </c>
    </row>
    <row r="472" spans="1:8" x14ac:dyDescent="0.35">
      <c r="A472">
        <v>103409034</v>
      </c>
      <c r="B472" t="s">
        <v>4076</v>
      </c>
      <c r="C472" s="2">
        <v>44749</v>
      </c>
      <c r="D472">
        <v>759.05</v>
      </c>
      <c r="E472">
        <v>1</v>
      </c>
      <c r="F472">
        <v>1</v>
      </c>
      <c r="G472">
        <v>759.05</v>
      </c>
      <c r="H472">
        <v>759.05</v>
      </c>
    </row>
    <row r="473" spans="1:8" x14ac:dyDescent="0.35">
      <c r="A473">
        <v>103409036</v>
      </c>
      <c r="B473" t="s">
        <v>4076</v>
      </c>
      <c r="C473" s="2">
        <v>44749</v>
      </c>
      <c r="D473">
        <v>2849.05</v>
      </c>
      <c r="E473">
        <v>1</v>
      </c>
      <c r="F473">
        <v>1</v>
      </c>
      <c r="G473">
        <v>2849.05</v>
      </c>
      <c r="H473">
        <v>2849.05</v>
      </c>
    </row>
    <row r="474" spans="1:8" x14ac:dyDescent="0.35">
      <c r="A474">
        <v>103409037</v>
      </c>
      <c r="B474" t="s">
        <v>4076</v>
      </c>
      <c r="C474" s="2">
        <v>44749</v>
      </c>
      <c r="D474">
        <v>2749</v>
      </c>
      <c r="E474">
        <v>1</v>
      </c>
      <c r="F474">
        <v>1</v>
      </c>
      <c r="G474">
        <v>2749</v>
      </c>
      <c r="H474">
        <v>2749</v>
      </c>
    </row>
    <row r="475" spans="1:8" x14ac:dyDescent="0.35">
      <c r="A475">
        <v>103409045</v>
      </c>
      <c r="B475" t="s">
        <v>4076</v>
      </c>
      <c r="C475" s="2">
        <v>44749</v>
      </c>
      <c r="D475">
        <v>3899</v>
      </c>
      <c r="E475">
        <v>1</v>
      </c>
      <c r="F475">
        <v>1</v>
      </c>
      <c r="G475">
        <v>3899</v>
      </c>
      <c r="H475">
        <v>3899</v>
      </c>
    </row>
    <row r="476" spans="1:8" x14ac:dyDescent="0.35">
      <c r="A476">
        <v>103409047</v>
      </c>
      <c r="B476" t="s">
        <v>4076</v>
      </c>
      <c r="C476" s="2">
        <v>44749</v>
      </c>
      <c r="D476">
        <v>1682.1</v>
      </c>
      <c r="E476">
        <v>1</v>
      </c>
      <c r="F476">
        <v>1</v>
      </c>
      <c r="G476">
        <v>1682.1</v>
      </c>
      <c r="H476">
        <v>1682.1</v>
      </c>
    </row>
    <row r="477" spans="1:8" x14ac:dyDescent="0.35">
      <c r="A477">
        <v>103409049</v>
      </c>
      <c r="B477" t="s">
        <v>4076</v>
      </c>
      <c r="C477" s="2">
        <v>44749</v>
      </c>
      <c r="D477">
        <v>3324.05</v>
      </c>
      <c r="E477">
        <v>1</v>
      </c>
      <c r="F477">
        <v>1</v>
      </c>
      <c r="G477">
        <v>3324.05</v>
      </c>
      <c r="H477">
        <v>3324.05</v>
      </c>
    </row>
    <row r="478" spans="1:8" x14ac:dyDescent="0.35">
      <c r="A478">
        <v>103409053</v>
      </c>
      <c r="B478" t="s">
        <v>4076</v>
      </c>
      <c r="C478" s="2">
        <v>44749</v>
      </c>
      <c r="D478">
        <v>3149.1</v>
      </c>
      <c r="E478">
        <v>1</v>
      </c>
      <c r="F478">
        <v>1</v>
      </c>
      <c r="G478">
        <v>3149.1</v>
      </c>
      <c r="H478">
        <v>3149.1</v>
      </c>
    </row>
    <row r="479" spans="1:8" x14ac:dyDescent="0.35">
      <c r="A479">
        <v>103409055</v>
      </c>
      <c r="B479" t="s">
        <v>4076</v>
      </c>
      <c r="C479" s="2">
        <v>44749</v>
      </c>
      <c r="D479">
        <v>3849</v>
      </c>
      <c r="E479">
        <v>1</v>
      </c>
      <c r="F479">
        <v>1</v>
      </c>
      <c r="G479">
        <v>3849</v>
      </c>
      <c r="H479">
        <v>3849</v>
      </c>
    </row>
    <row r="480" spans="1:8" x14ac:dyDescent="0.35">
      <c r="A480">
        <v>103409056</v>
      </c>
      <c r="B480" t="s">
        <v>4076</v>
      </c>
      <c r="C480" s="2">
        <v>44749</v>
      </c>
      <c r="D480">
        <v>519</v>
      </c>
      <c r="E480">
        <v>1</v>
      </c>
      <c r="F480">
        <v>1</v>
      </c>
      <c r="G480">
        <v>519</v>
      </c>
      <c r="H480">
        <v>519</v>
      </c>
    </row>
    <row r="481" spans="1:8" x14ac:dyDescent="0.35">
      <c r="A481">
        <v>103409059</v>
      </c>
      <c r="B481" t="s">
        <v>4076</v>
      </c>
      <c r="C481" s="2">
        <v>44749</v>
      </c>
      <c r="D481">
        <v>1799</v>
      </c>
      <c r="E481">
        <v>1</v>
      </c>
      <c r="F481">
        <v>1</v>
      </c>
      <c r="G481">
        <v>1799</v>
      </c>
      <c r="H481">
        <v>1799</v>
      </c>
    </row>
    <row r="482" spans="1:8" x14ac:dyDescent="0.35">
      <c r="A482">
        <v>103409064</v>
      </c>
      <c r="B482" t="s">
        <v>4076</v>
      </c>
      <c r="C482" s="2">
        <v>44749</v>
      </c>
      <c r="D482">
        <v>2099</v>
      </c>
      <c r="E482">
        <v>1</v>
      </c>
      <c r="F482">
        <v>1</v>
      </c>
      <c r="G482">
        <v>2099</v>
      </c>
      <c r="H482">
        <v>2099</v>
      </c>
    </row>
    <row r="483" spans="1:8" x14ac:dyDescent="0.35">
      <c r="A483">
        <v>103409065</v>
      </c>
      <c r="B483" t="s">
        <v>4076</v>
      </c>
      <c r="C483" s="2">
        <v>44749</v>
      </c>
      <c r="D483">
        <v>969</v>
      </c>
      <c r="E483">
        <v>1</v>
      </c>
      <c r="F483">
        <v>1</v>
      </c>
      <c r="G483">
        <v>969</v>
      </c>
      <c r="H483">
        <v>969</v>
      </c>
    </row>
    <row r="484" spans="1:8" x14ac:dyDescent="0.35">
      <c r="A484">
        <v>103409066</v>
      </c>
      <c r="B484" t="s">
        <v>4076</v>
      </c>
      <c r="C484" s="2">
        <v>44749</v>
      </c>
      <c r="D484">
        <v>559</v>
      </c>
      <c r="E484">
        <v>1</v>
      </c>
      <c r="F484">
        <v>1</v>
      </c>
      <c r="G484">
        <v>559</v>
      </c>
      <c r="H484">
        <v>559</v>
      </c>
    </row>
    <row r="485" spans="1:8" x14ac:dyDescent="0.35">
      <c r="A485">
        <v>103409067</v>
      </c>
      <c r="B485" t="s">
        <v>4076</v>
      </c>
      <c r="C485" s="2">
        <v>44749</v>
      </c>
      <c r="D485">
        <v>2041.55</v>
      </c>
      <c r="E485">
        <v>1</v>
      </c>
      <c r="F485">
        <v>1</v>
      </c>
      <c r="G485">
        <v>2041.55</v>
      </c>
      <c r="H485">
        <v>2041.55</v>
      </c>
    </row>
    <row r="486" spans="1:8" x14ac:dyDescent="0.35">
      <c r="A486">
        <v>103409074</v>
      </c>
      <c r="B486" t="s">
        <v>4076</v>
      </c>
      <c r="C486" s="2">
        <v>44749</v>
      </c>
      <c r="D486">
        <v>699</v>
      </c>
      <c r="E486">
        <v>1</v>
      </c>
      <c r="F486">
        <v>1</v>
      </c>
      <c r="G486">
        <v>699</v>
      </c>
      <c r="H486">
        <v>699</v>
      </c>
    </row>
    <row r="487" spans="1:8" x14ac:dyDescent="0.35">
      <c r="A487">
        <v>103409083</v>
      </c>
      <c r="B487" t="s">
        <v>4076</v>
      </c>
      <c r="C487" s="2">
        <v>44749</v>
      </c>
      <c r="D487">
        <v>779</v>
      </c>
      <c r="E487">
        <v>1</v>
      </c>
      <c r="F487">
        <v>1</v>
      </c>
      <c r="G487">
        <v>779</v>
      </c>
      <c r="H487">
        <v>779</v>
      </c>
    </row>
    <row r="488" spans="1:8" x14ac:dyDescent="0.35">
      <c r="A488">
        <v>103409089</v>
      </c>
      <c r="B488" t="s">
        <v>4076</v>
      </c>
      <c r="C488" s="2">
        <v>44749</v>
      </c>
      <c r="D488">
        <v>635.54999999999995</v>
      </c>
      <c r="E488">
        <v>1</v>
      </c>
      <c r="F488">
        <v>1</v>
      </c>
      <c r="G488">
        <v>635.54999999999995</v>
      </c>
      <c r="H488">
        <v>635.54999999999995</v>
      </c>
    </row>
    <row r="489" spans="1:8" x14ac:dyDescent="0.35">
      <c r="A489">
        <v>103409093</v>
      </c>
      <c r="B489" t="s">
        <v>4076</v>
      </c>
      <c r="C489" s="2">
        <v>44749</v>
      </c>
      <c r="D489">
        <v>1329.05</v>
      </c>
      <c r="E489">
        <v>1</v>
      </c>
      <c r="F489">
        <v>1</v>
      </c>
      <c r="G489">
        <v>1329.05</v>
      </c>
      <c r="H489">
        <v>1329.05</v>
      </c>
    </row>
    <row r="490" spans="1:8" x14ac:dyDescent="0.35">
      <c r="A490">
        <v>103409094</v>
      </c>
      <c r="B490" t="s">
        <v>4076</v>
      </c>
      <c r="C490" s="2">
        <v>44749</v>
      </c>
      <c r="D490">
        <v>768.55</v>
      </c>
      <c r="E490">
        <v>1</v>
      </c>
      <c r="F490">
        <v>1</v>
      </c>
      <c r="G490">
        <v>768.55</v>
      </c>
      <c r="H490">
        <v>768.55</v>
      </c>
    </row>
    <row r="491" spans="1:8" x14ac:dyDescent="0.35">
      <c r="A491">
        <v>103409100</v>
      </c>
      <c r="B491" t="s">
        <v>4076</v>
      </c>
      <c r="C491" s="2">
        <v>44749</v>
      </c>
      <c r="D491">
        <v>1499</v>
      </c>
      <c r="E491">
        <v>1</v>
      </c>
      <c r="F491">
        <v>1</v>
      </c>
      <c r="G491">
        <v>1499</v>
      </c>
      <c r="H491">
        <v>1499</v>
      </c>
    </row>
    <row r="492" spans="1:8" x14ac:dyDescent="0.35">
      <c r="A492">
        <v>103409104</v>
      </c>
      <c r="B492" t="s">
        <v>4076</v>
      </c>
      <c r="C492" s="2">
        <v>44749</v>
      </c>
      <c r="D492">
        <v>1310.05</v>
      </c>
      <c r="E492">
        <v>1</v>
      </c>
      <c r="F492">
        <v>1</v>
      </c>
      <c r="G492">
        <v>1310.05</v>
      </c>
      <c r="H492">
        <v>1310.05</v>
      </c>
    </row>
    <row r="493" spans="1:8" x14ac:dyDescent="0.35">
      <c r="A493">
        <v>103409105</v>
      </c>
      <c r="B493" t="s">
        <v>4076</v>
      </c>
      <c r="C493" s="2">
        <v>44749</v>
      </c>
      <c r="D493">
        <v>1851.55</v>
      </c>
      <c r="E493">
        <v>1</v>
      </c>
      <c r="F493">
        <v>1</v>
      </c>
      <c r="G493">
        <v>1851.55</v>
      </c>
      <c r="H493">
        <v>1851.55</v>
      </c>
    </row>
    <row r="494" spans="1:8" x14ac:dyDescent="0.35">
      <c r="A494">
        <v>103409113</v>
      </c>
      <c r="B494" t="s">
        <v>4076</v>
      </c>
      <c r="C494" s="2">
        <v>44749</v>
      </c>
      <c r="D494">
        <v>2990.6</v>
      </c>
      <c r="E494">
        <v>2</v>
      </c>
      <c r="F494">
        <v>1</v>
      </c>
      <c r="G494">
        <v>1495.3</v>
      </c>
      <c r="H494">
        <v>2990.6</v>
      </c>
    </row>
    <row r="495" spans="1:8" x14ac:dyDescent="0.35">
      <c r="A495">
        <v>103409114</v>
      </c>
      <c r="B495" t="s">
        <v>4076</v>
      </c>
      <c r="C495" s="2">
        <v>44749</v>
      </c>
      <c r="D495">
        <v>616.54999999999995</v>
      </c>
      <c r="E495">
        <v>1</v>
      </c>
      <c r="F495">
        <v>1</v>
      </c>
      <c r="G495">
        <v>616.54999999999995</v>
      </c>
      <c r="H495">
        <v>616.54999999999995</v>
      </c>
    </row>
    <row r="496" spans="1:8" x14ac:dyDescent="0.35">
      <c r="A496">
        <v>103409119</v>
      </c>
      <c r="B496" t="s">
        <v>4076</v>
      </c>
      <c r="C496" s="2">
        <v>44749</v>
      </c>
      <c r="D496">
        <v>5849</v>
      </c>
      <c r="E496">
        <v>1</v>
      </c>
      <c r="F496">
        <v>1</v>
      </c>
      <c r="G496">
        <v>5849</v>
      </c>
      <c r="H496">
        <v>5849</v>
      </c>
    </row>
    <row r="497" spans="1:8" x14ac:dyDescent="0.35">
      <c r="A497">
        <v>103409121</v>
      </c>
      <c r="B497" t="s">
        <v>4076</v>
      </c>
      <c r="C497" s="2">
        <v>44749</v>
      </c>
      <c r="D497">
        <v>1281.55</v>
      </c>
      <c r="E497">
        <v>1</v>
      </c>
      <c r="F497">
        <v>1</v>
      </c>
      <c r="G497">
        <v>1281.55</v>
      </c>
      <c r="H497">
        <v>1281.55</v>
      </c>
    </row>
    <row r="498" spans="1:8" x14ac:dyDescent="0.35">
      <c r="A498">
        <v>103409122</v>
      </c>
      <c r="B498" t="s">
        <v>4076</v>
      </c>
      <c r="C498" s="2">
        <v>44749</v>
      </c>
      <c r="D498">
        <v>4859.1000000000004</v>
      </c>
      <c r="E498">
        <v>1</v>
      </c>
      <c r="F498">
        <v>1</v>
      </c>
      <c r="G498">
        <v>4859.1000000000004</v>
      </c>
      <c r="H498">
        <v>4859.1000000000004</v>
      </c>
    </row>
    <row r="499" spans="1:8" x14ac:dyDescent="0.35">
      <c r="A499">
        <v>103409127</v>
      </c>
      <c r="B499" t="s">
        <v>4076</v>
      </c>
      <c r="C499" s="2">
        <v>44749</v>
      </c>
      <c r="D499">
        <v>1343.82</v>
      </c>
      <c r="E499">
        <v>1</v>
      </c>
      <c r="F499">
        <v>1</v>
      </c>
      <c r="G499">
        <v>1343.82</v>
      </c>
      <c r="H499">
        <v>1343.82</v>
      </c>
    </row>
    <row r="500" spans="1:8" x14ac:dyDescent="0.35">
      <c r="A500">
        <v>103409129</v>
      </c>
      <c r="B500" t="s">
        <v>4076</v>
      </c>
      <c r="C500" s="2">
        <v>44749</v>
      </c>
      <c r="D500">
        <v>819</v>
      </c>
      <c r="E500">
        <v>1</v>
      </c>
      <c r="F500">
        <v>1</v>
      </c>
      <c r="G500">
        <v>819</v>
      </c>
      <c r="H500">
        <v>819</v>
      </c>
    </row>
    <row r="501" spans="1:8" x14ac:dyDescent="0.35">
      <c r="A501">
        <v>103409131</v>
      </c>
      <c r="B501" t="s">
        <v>4076</v>
      </c>
      <c r="C501" s="2">
        <v>44749</v>
      </c>
      <c r="D501">
        <v>1499</v>
      </c>
      <c r="E501">
        <v>1</v>
      </c>
      <c r="F501">
        <v>1</v>
      </c>
      <c r="G501">
        <v>1499</v>
      </c>
      <c r="H501">
        <v>1499</v>
      </c>
    </row>
    <row r="502" spans="1:8" x14ac:dyDescent="0.35">
      <c r="A502">
        <v>103409135</v>
      </c>
      <c r="B502" t="s">
        <v>4076</v>
      </c>
      <c r="C502" s="2">
        <v>44749</v>
      </c>
      <c r="D502">
        <v>825.55</v>
      </c>
      <c r="E502">
        <v>1</v>
      </c>
      <c r="F502">
        <v>1</v>
      </c>
      <c r="G502">
        <v>825.55</v>
      </c>
      <c r="H502">
        <v>825.55</v>
      </c>
    </row>
    <row r="503" spans="1:8" x14ac:dyDescent="0.35">
      <c r="A503">
        <v>103409156</v>
      </c>
      <c r="B503" t="s">
        <v>4076</v>
      </c>
      <c r="C503" s="2">
        <v>44749</v>
      </c>
      <c r="D503">
        <v>1063.05</v>
      </c>
      <c r="E503">
        <v>1</v>
      </c>
      <c r="F503">
        <v>1</v>
      </c>
      <c r="G503">
        <v>1063.05</v>
      </c>
      <c r="H503">
        <v>1063.05</v>
      </c>
    </row>
    <row r="504" spans="1:8" x14ac:dyDescent="0.35">
      <c r="A504">
        <v>103409167</v>
      </c>
      <c r="B504" t="s">
        <v>4076</v>
      </c>
      <c r="C504" s="2">
        <v>44749</v>
      </c>
      <c r="D504">
        <v>2749.45</v>
      </c>
      <c r="E504">
        <v>1</v>
      </c>
      <c r="F504">
        <v>1</v>
      </c>
      <c r="G504">
        <v>2749.45</v>
      </c>
      <c r="H504">
        <v>2749.45</v>
      </c>
    </row>
    <row r="505" spans="1:8" x14ac:dyDescent="0.35">
      <c r="A505">
        <v>103409170</v>
      </c>
      <c r="B505" t="s">
        <v>4076</v>
      </c>
      <c r="C505" s="2">
        <v>44749</v>
      </c>
      <c r="D505">
        <v>1281.55</v>
      </c>
      <c r="E505">
        <v>1</v>
      </c>
      <c r="F505">
        <v>1</v>
      </c>
      <c r="G505">
        <v>1281.55</v>
      </c>
      <c r="H505">
        <v>1281.55</v>
      </c>
    </row>
    <row r="506" spans="1:8" x14ac:dyDescent="0.35">
      <c r="A506">
        <v>103409171</v>
      </c>
      <c r="B506" t="s">
        <v>4076</v>
      </c>
      <c r="C506" s="2">
        <v>44749</v>
      </c>
      <c r="D506">
        <v>4999</v>
      </c>
      <c r="E506">
        <v>1</v>
      </c>
      <c r="F506">
        <v>1</v>
      </c>
      <c r="G506">
        <v>4999</v>
      </c>
      <c r="H506">
        <v>4999</v>
      </c>
    </row>
    <row r="507" spans="1:8" x14ac:dyDescent="0.35">
      <c r="A507">
        <v>103409175</v>
      </c>
      <c r="B507" t="s">
        <v>4076</v>
      </c>
      <c r="C507" s="2">
        <v>44749</v>
      </c>
      <c r="D507">
        <v>1259</v>
      </c>
      <c r="E507">
        <v>1</v>
      </c>
      <c r="F507">
        <v>1</v>
      </c>
      <c r="G507">
        <v>1259</v>
      </c>
      <c r="H507">
        <v>1259</v>
      </c>
    </row>
    <row r="508" spans="1:8" x14ac:dyDescent="0.35">
      <c r="A508">
        <v>103409200</v>
      </c>
      <c r="B508" t="s">
        <v>4076</v>
      </c>
      <c r="C508" s="2">
        <v>44749</v>
      </c>
      <c r="D508">
        <v>2799</v>
      </c>
      <c r="E508">
        <v>1</v>
      </c>
      <c r="F508">
        <v>1</v>
      </c>
      <c r="G508">
        <v>2799</v>
      </c>
      <c r="H508">
        <v>2799</v>
      </c>
    </row>
    <row r="509" spans="1:8" x14ac:dyDescent="0.35">
      <c r="A509">
        <v>103409203</v>
      </c>
      <c r="B509" t="s">
        <v>4076</v>
      </c>
      <c r="C509" s="2">
        <v>44749</v>
      </c>
      <c r="D509">
        <v>5399.1</v>
      </c>
      <c r="E509">
        <v>1</v>
      </c>
      <c r="F509">
        <v>1</v>
      </c>
      <c r="G509">
        <v>5399.1</v>
      </c>
      <c r="H509">
        <v>5399.1</v>
      </c>
    </row>
    <row r="510" spans="1:8" x14ac:dyDescent="0.35">
      <c r="A510">
        <v>103409206</v>
      </c>
      <c r="B510" t="s">
        <v>4076</v>
      </c>
      <c r="C510" s="2">
        <v>44749</v>
      </c>
      <c r="D510">
        <v>3324.05</v>
      </c>
      <c r="E510">
        <v>1</v>
      </c>
      <c r="F510">
        <v>1</v>
      </c>
      <c r="G510">
        <v>3324.05</v>
      </c>
      <c r="H510">
        <v>3324.05</v>
      </c>
    </row>
    <row r="511" spans="1:8" x14ac:dyDescent="0.35">
      <c r="A511">
        <v>103409211</v>
      </c>
      <c r="B511" t="s">
        <v>4076</v>
      </c>
      <c r="C511" s="2">
        <v>44749</v>
      </c>
      <c r="D511">
        <v>3324.05</v>
      </c>
      <c r="E511">
        <v>1</v>
      </c>
      <c r="F511">
        <v>1</v>
      </c>
      <c r="G511">
        <v>3324.05</v>
      </c>
      <c r="H511">
        <v>3324.05</v>
      </c>
    </row>
    <row r="512" spans="1:8" x14ac:dyDescent="0.35">
      <c r="A512">
        <v>103409215</v>
      </c>
      <c r="B512" t="s">
        <v>4076</v>
      </c>
      <c r="C512" s="2">
        <v>44749</v>
      </c>
      <c r="D512">
        <v>2564.14</v>
      </c>
      <c r="E512">
        <v>1</v>
      </c>
      <c r="F512">
        <v>1</v>
      </c>
      <c r="G512">
        <v>2564.14</v>
      </c>
      <c r="H512">
        <v>2564.14</v>
      </c>
    </row>
    <row r="513" spans="1:8" x14ac:dyDescent="0.35">
      <c r="A513">
        <v>103409223</v>
      </c>
      <c r="B513" t="s">
        <v>4076</v>
      </c>
      <c r="C513" s="2">
        <v>44749</v>
      </c>
      <c r="D513">
        <v>4119</v>
      </c>
      <c r="E513">
        <v>1</v>
      </c>
      <c r="F513">
        <v>1</v>
      </c>
      <c r="G513">
        <v>4119</v>
      </c>
      <c r="H513">
        <v>4119</v>
      </c>
    </row>
    <row r="514" spans="1:8" x14ac:dyDescent="0.35">
      <c r="A514">
        <v>103409237</v>
      </c>
      <c r="B514" t="s">
        <v>4076</v>
      </c>
      <c r="C514" s="2">
        <v>44749</v>
      </c>
      <c r="D514">
        <v>2398</v>
      </c>
      <c r="E514">
        <v>2</v>
      </c>
      <c r="F514">
        <v>1</v>
      </c>
      <c r="G514">
        <v>1199</v>
      </c>
      <c r="H514">
        <v>2398</v>
      </c>
    </row>
    <row r="515" spans="1:8" x14ac:dyDescent="0.35">
      <c r="A515">
        <v>103409239</v>
      </c>
      <c r="B515" t="s">
        <v>4076</v>
      </c>
      <c r="C515" s="2">
        <v>44749</v>
      </c>
      <c r="D515">
        <v>1899.05</v>
      </c>
      <c r="E515">
        <v>1</v>
      </c>
      <c r="F515">
        <v>1</v>
      </c>
      <c r="G515">
        <v>1899.05</v>
      </c>
      <c r="H515">
        <v>1899.05</v>
      </c>
    </row>
    <row r="516" spans="1:8" x14ac:dyDescent="0.35">
      <c r="A516">
        <v>103409244</v>
      </c>
      <c r="B516" t="s">
        <v>4076</v>
      </c>
      <c r="C516" s="2">
        <v>44749</v>
      </c>
      <c r="D516">
        <v>1329.05</v>
      </c>
      <c r="E516">
        <v>1</v>
      </c>
      <c r="F516">
        <v>1</v>
      </c>
      <c r="G516">
        <v>1329.05</v>
      </c>
      <c r="H516">
        <v>1329.05</v>
      </c>
    </row>
    <row r="517" spans="1:8" x14ac:dyDescent="0.35">
      <c r="A517">
        <v>103409259</v>
      </c>
      <c r="B517" t="s">
        <v>4076</v>
      </c>
      <c r="C517" s="2">
        <v>44749</v>
      </c>
      <c r="D517">
        <v>1424.05</v>
      </c>
      <c r="E517">
        <v>1</v>
      </c>
      <c r="F517">
        <v>1</v>
      </c>
      <c r="G517">
        <v>1424.05</v>
      </c>
      <c r="H517">
        <v>1424.05</v>
      </c>
    </row>
    <row r="518" spans="1:8" x14ac:dyDescent="0.35">
      <c r="A518">
        <v>103409260</v>
      </c>
      <c r="B518" t="s">
        <v>4076</v>
      </c>
      <c r="C518" s="2">
        <v>44749</v>
      </c>
      <c r="D518">
        <v>5599</v>
      </c>
      <c r="E518">
        <v>1</v>
      </c>
      <c r="F518">
        <v>1</v>
      </c>
      <c r="G518">
        <v>5599</v>
      </c>
      <c r="H518">
        <v>5599</v>
      </c>
    </row>
    <row r="519" spans="1:8" x14ac:dyDescent="0.35">
      <c r="A519">
        <v>103409262</v>
      </c>
      <c r="B519" t="s">
        <v>4076</v>
      </c>
      <c r="C519" s="2">
        <v>44749</v>
      </c>
      <c r="D519">
        <v>599</v>
      </c>
      <c r="E519">
        <v>1</v>
      </c>
      <c r="F519">
        <v>1</v>
      </c>
      <c r="G519">
        <v>599</v>
      </c>
      <c r="H519">
        <v>599</v>
      </c>
    </row>
    <row r="520" spans="1:8" x14ac:dyDescent="0.35">
      <c r="A520">
        <v>103409267</v>
      </c>
      <c r="B520" t="s">
        <v>4076</v>
      </c>
      <c r="C520" s="2">
        <v>44749</v>
      </c>
      <c r="D520">
        <v>3599</v>
      </c>
      <c r="E520">
        <v>1</v>
      </c>
      <c r="F520">
        <v>1</v>
      </c>
      <c r="G520">
        <v>3599</v>
      </c>
      <c r="H520">
        <v>3599</v>
      </c>
    </row>
    <row r="521" spans="1:8" x14ac:dyDescent="0.35">
      <c r="A521">
        <v>103409271</v>
      </c>
      <c r="B521" t="s">
        <v>4076</v>
      </c>
      <c r="C521" s="2">
        <v>44749</v>
      </c>
      <c r="D521">
        <v>1949</v>
      </c>
      <c r="E521">
        <v>1</v>
      </c>
      <c r="F521">
        <v>1</v>
      </c>
      <c r="G521">
        <v>1949</v>
      </c>
      <c r="H521">
        <v>1949</v>
      </c>
    </row>
    <row r="522" spans="1:8" x14ac:dyDescent="0.35">
      <c r="A522">
        <v>103409273</v>
      </c>
      <c r="B522" t="s">
        <v>4076</v>
      </c>
      <c r="C522" s="2">
        <v>44749</v>
      </c>
      <c r="D522">
        <v>1709.05</v>
      </c>
      <c r="E522">
        <v>1</v>
      </c>
      <c r="F522">
        <v>1</v>
      </c>
      <c r="G522">
        <v>1709.05</v>
      </c>
      <c r="H522">
        <v>1709.05</v>
      </c>
    </row>
    <row r="523" spans="1:8" x14ac:dyDescent="0.35">
      <c r="A523">
        <v>103409277</v>
      </c>
      <c r="B523" t="s">
        <v>4076</v>
      </c>
      <c r="C523" s="2">
        <v>44749</v>
      </c>
      <c r="D523">
        <v>825.55</v>
      </c>
      <c r="E523">
        <v>1</v>
      </c>
      <c r="F523">
        <v>1</v>
      </c>
      <c r="G523">
        <v>825.55</v>
      </c>
      <c r="H523">
        <v>825.55</v>
      </c>
    </row>
    <row r="524" spans="1:8" x14ac:dyDescent="0.35">
      <c r="A524">
        <v>103409283</v>
      </c>
      <c r="B524" t="s">
        <v>4076</v>
      </c>
      <c r="C524" s="2">
        <v>44749</v>
      </c>
      <c r="D524">
        <v>2469</v>
      </c>
      <c r="E524">
        <v>1</v>
      </c>
      <c r="F524">
        <v>1</v>
      </c>
      <c r="G524">
        <v>2469</v>
      </c>
      <c r="H524">
        <v>2469</v>
      </c>
    </row>
    <row r="525" spans="1:8" x14ac:dyDescent="0.35">
      <c r="A525">
        <v>103409284</v>
      </c>
      <c r="B525" t="s">
        <v>4076</v>
      </c>
      <c r="C525" s="2">
        <v>44749</v>
      </c>
      <c r="D525">
        <v>8983.2000000000007</v>
      </c>
      <c r="E525">
        <v>4</v>
      </c>
      <c r="F525">
        <v>1</v>
      </c>
      <c r="G525">
        <v>2245.8000000000002</v>
      </c>
      <c r="H525">
        <v>8983.2000000000007</v>
      </c>
    </row>
    <row r="526" spans="1:8" x14ac:dyDescent="0.35">
      <c r="A526">
        <v>103409285</v>
      </c>
      <c r="B526" t="s">
        <v>4076</v>
      </c>
      <c r="C526" s="2">
        <v>44749</v>
      </c>
      <c r="D526">
        <v>999</v>
      </c>
      <c r="E526">
        <v>1</v>
      </c>
      <c r="F526">
        <v>1</v>
      </c>
      <c r="G526">
        <v>999</v>
      </c>
      <c r="H526">
        <v>999</v>
      </c>
    </row>
    <row r="527" spans="1:8" x14ac:dyDescent="0.35">
      <c r="A527">
        <v>103409287</v>
      </c>
      <c r="B527" t="s">
        <v>4076</v>
      </c>
      <c r="C527" s="2">
        <v>44749</v>
      </c>
      <c r="D527">
        <v>1804.1</v>
      </c>
      <c r="E527">
        <v>1</v>
      </c>
      <c r="F527">
        <v>1</v>
      </c>
      <c r="G527">
        <v>1804.1</v>
      </c>
      <c r="H527">
        <v>1804.1</v>
      </c>
    </row>
    <row r="528" spans="1:8" x14ac:dyDescent="0.35">
      <c r="A528">
        <v>103409289</v>
      </c>
      <c r="B528" t="s">
        <v>4076</v>
      </c>
      <c r="C528" s="2">
        <v>44749</v>
      </c>
      <c r="D528">
        <v>811.35</v>
      </c>
      <c r="E528">
        <v>1</v>
      </c>
      <c r="F528">
        <v>1</v>
      </c>
      <c r="G528">
        <v>811.35</v>
      </c>
      <c r="H528">
        <v>811.35</v>
      </c>
    </row>
    <row r="529" spans="1:8" x14ac:dyDescent="0.35">
      <c r="A529">
        <v>103409291</v>
      </c>
      <c r="B529" t="s">
        <v>4076</v>
      </c>
      <c r="C529" s="2">
        <v>44749</v>
      </c>
      <c r="D529">
        <v>464.55</v>
      </c>
      <c r="E529">
        <v>1</v>
      </c>
      <c r="F529">
        <v>1</v>
      </c>
      <c r="G529">
        <v>464.55</v>
      </c>
      <c r="H529">
        <v>464.55</v>
      </c>
    </row>
    <row r="530" spans="1:8" x14ac:dyDescent="0.35">
      <c r="A530">
        <v>103409294</v>
      </c>
      <c r="B530" t="s">
        <v>4076</v>
      </c>
      <c r="C530" s="2">
        <v>44749</v>
      </c>
      <c r="D530">
        <v>2849.05</v>
      </c>
      <c r="E530">
        <v>1</v>
      </c>
      <c r="F530">
        <v>1</v>
      </c>
      <c r="G530">
        <v>2849.05</v>
      </c>
      <c r="H530">
        <v>2849.05</v>
      </c>
    </row>
    <row r="531" spans="1:8" x14ac:dyDescent="0.35">
      <c r="A531">
        <v>103409297</v>
      </c>
      <c r="B531" t="s">
        <v>4076</v>
      </c>
      <c r="C531" s="2">
        <v>44749</v>
      </c>
      <c r="D531">
        <v>5556.55</v>
      </c>
      <c r="E531">
        <v>1</v>
      </c>
      <c r="F531">
        <v>1</v>
      </c>
      <c r="G531">
        <v>5556.55</v>
      </c>
      <c r="H531">
        <v>5556.55</v>
      </c>
    </row>
    <row r="532" spans="1:8" x14ac:dyDescent="0.35">
      <c r="A532">
        <v>103409298</v>
      </c>
      <c r="B532" t="s">
        <v>4076</v>
      </c>
      <c r="C532" s="2">
        <v>44749</v>
      </c>
      <c r="D532">
        <v>2991.55</v>
      </c>
      <c r="E532">
        <v>1</v>
      </c>
      <c r="F532">
        <v>1</v>
      </c>
      <c r="G532">
        <v>2991.55</v>
      </c>
      <c r="H532">
        <v>2991.55</v>
      </c>
    </row>
    <row r="533" spans="1:8" x14ac:dyDescent="0.35">
      <c r="A533">
        <v>103409306</v>
      </c>
      <c r="B533" t="s">
        <v>4076</v>
      </c>
      <c r="C533" s="2">
        <v>44749</v>
      </c>
      <c r="D533">
        <v>1498</v>
      </c>
      <c r="E533">
        <v>2</v>
      </c>
      <c r="F533">
        <v>1</v>
      </c>
      <c r="G533">
        <v>749</v>
      </c>
      <c r="H533">
        <v>1498</v>
      </c>
    </row>
    <row r="534" spans="1:8" x14ac:dyDescent="0.35">
      <c r="A534">
        <v>103409307</v>
      </c>
      <c r="B534" t="s">
        <v>4076</v>
      </c>
      <c r="C534" s="2">
        <v>44749</v>
      </c>
      <c r="D534">
        <v>1499</v>
      </c>
      <c r="E534">
        <v>1</v>
      </c>
      <c r="F534">
        <v>1</v>
      </c>
      <c r="G534">
        <v>1499</v>
      </c>
      <c r="H534">
        <v>1499</v>
      </c>
    </row>
    <row r="535" spans="1:8" x14ac:dyDescent="0.35">
      <c r="A535">
        <v>103409310</v>
      </c>
      <c r="B535" t="s">
        <v>4076</v>
      </c>
      <c r="C535" s="2">
        <v>44749</v>
      </c>
      <c r="D535">
        <v>2692.39</v>
      </c>
      <c r="E535">
        <v>1</v>
      </c>
      <c r="F535">
        <v>1</v>
      </c>
      <c r="G535">
        <v>2692.39</v>
      </c>
      <c r="H535">
        <v>2692.39</v>
      </c>
    </row>
    <row r="536" spans="1:8" x14ac:dyDescent="0.35">
      <c r="A536">
        <v>103409315</v>
      </c>
      <c r="B536" t="s">
        <v>4076</v>
      </c>
      <c r="C536" s="2">
        <v>44749</v>
      </c>
      <c r="D536">
        <v>6198</v>
      </c>
      <c r="E536">
        <v>2</v>
      </c>
      <c r="F536">
        <v>1</v>
      </c>
      <c r="G536">
        <v>3099</v>
      </c>
      <c r="H536">
        <v>6198</v>
      </c>
    </row>
    <row r="537" spans="1:8" x14ac:dyDescent="0.35">
      <c r="A537">
        <v>103409320</v>
      </c>
      <c r="B537" t="s">
        <v>4076</v>
      </c>
      <c r="C537" s="2">
        <v>44749</v>
      </c>
      <c r="D537">
        <v>3039.05</v>
      </c>
      <c r="E537">
        <v>1</v>
      </c>
      <c r="F537">
        <v>1</v>
      </c>
      <c r="G537">
        <v>3039.05</v>
      </c>
      <c r="H537">
        <v>3039.05</v>
      </c>
    </row>
    <row r="538" spans="1:8" x14ac:dyDescent="0.35">
      <c r="A538">
        <v>103409321</v>
      </c>
      <c r="B538" t="s">
        <v>4076</v>
      </c>
      <c r="C538" s="2">
        <v>44749</v>
      </c>
      <c r="D538">
        <v>8808</v>
      </c>
      <c r="E538">
        <v>2</v>
      </c>
      <c r="F538">
        <v>1</v>
      </c>
      <c r="G538">
        <v>4404</v>
      </c>
      <c r="H538">
        <v>8808</v>
      </c>
    </row>
    <row r="539" spans="1:8" x14ac:dyDescent="0.35">
      <c r="A539">
        <v>103409324</v>
      </c>
      <c r="B539" t="s">
        <v>4076</v>
      </c>
      <c r="C539" s="2">
        <v>44749</v>
      </c>
      <c r="D539">
        <v>4048.5</v>
      </c>
      <c r="E539">
        <v>2</v>
      </c>
      <c r="F539">
        <v>1</v>
      </c>
      <c r="G539">
        <v>2024.25</v>
      </c>
      <c r="H539">
        <v>4048.5</v>
      </c>
    </row>
    <row r="540" spans="1:8" x14ac:dyDescent="0.35">
      <c r="A540">
        <v>103409325</v>
      </c>
      <c r="B540" t="s">
        <v>4076</v>
      </c>
      <c r="C540" s="2">
        <v>44749</v>
      </c>
      <c r="D540">
        <v>819</v>
      </c>
      <c r="E540">
        <v>1</v>
      </c>
      <c r="F540">
        <v>1</v>
      </c>
      <c r="G540">
        <v>819</v>
      </c>
      <c r="H540">
        <v>819</v>
      </c>
    </row>
    <row r="541" spans="1:8" x14ac:dyDescent="0.35">
      <c r="A541">
        <v>103409331</v>
      </c>
      <c r="B541" t="s">
        <v>4076</v>
      </c>
      <c r="C541" s="2">
        <v>44749</v>
      </c>
      <c r="D541">
        <v>4274.1400000000003</v>
      </c>
      <c r="E541">
        <v>1</v>
      </c>
      <c r="F541">
        <v>1</v>
      </c>
      <c r="G541">
        <v>4274.1400000000003</v>
      </c>
      <c r="H541">
        <v>4274.1400000000003</v>
      </c>
    </row>
    <row r="542" spans="1:8" x14ac:dyDescent="0.35">
      <c r="A542">
        <v>103409334</v>
      </c>
      <c r="B542" t="s">
        <v>4076</v>
      </c>
      <c r="C542" s="2">
        <v>44749</v>
      </c>
      <c r="D542">
        <v>4474</v>
      </c>
      <c r="E542">
        <v>6</v>
      </c>
      <c r="F542">
        <v>1</v>
      </c>
      <c r="G542">
        <v>745.66666666666595</v>
      </c>
      <c r="H542">
        <v>4474</v>
      </c>
    </row>
    <row r="543" spans="1:8" x14ac:dyDescent="0.35">
      <c r="A543">
        <v>103409337</v>
      </c>
      <c r="B543" t="s">
        <v>4076</v>
      </c>
      <c r="C543" s="2">
        <v>44749</v>
      </c>
      <c r="D543">
        <v>3419.14</v>
      </c>
      <c r="E543">
        <v>1</v>
      </c>
      <c r="F543">
        <v>1</v>
      </c>
      <c r="G543">
        <v>3419.14</v>
      </c>
      <c r="H543">
        <v>3419.14</v>
      </c>
    </row>
    <row r="544" spans="1:8" x14ac:dyDescent="0.35">
      <c r="A544">
        <v>103409339</v>
      </c>
      <c r="B544" t="s">
        <v>4076</v>
      </c>
      <c r="C544" s="2">
        <v>44749</v>
      </c>
      <c r="D544">
        <v>2799</v>
      </c>
      <c r="E544">
        <v>1</v>
      </c>
      <c r="F544">
        <v>1</v>
      </c>
      <c r="G544">
        <v>2799</v>
      </c>
      <c r="H544">
        <v>2799</v>
      </c>
    </row>
    <row r="545" spans="1:8" x14ac:dyDescent="0.35">
      <c r="A545">
        <v>103409353</v>
      </c>
      <c r="B545" t="s">
        <v>4076</v>
      </c>
      <c r="C545" s="2">
        <v>44749</v>
      </c>
      <c r="D545">
        <v>1169</v>
      </c>
      <c r="E545">
        <v>1</v>
      </c>
      <c r="F545">
        <v>1</v>
      </c>
      <c r="G545">
        <v>1169</v>
      </c>
      <c r="H545">
        <v>1169</v>
      </c>
    </row>
    <row r="546" spans="1:8" x14ac:dyDescent="0.35">
      <c r="A546">
        <v>103409354</v>
      </c>
      <c r="B546" t="s">
        <v>4076</v>
      </c>
      <c r="C546" s="2">
        <v>44749</v>
      </c>
      <c r="D546">
        <v>1649.29</v>
      </c>
      <c r="E546">
        <v>1</v>
      </c>
      <c r="F546">
        <v>1</v>
      </c>
      <c r="G546">
        <v>1649.29</v>
      </c>
      <c r="H546">
        <v>1649.29</v>
      </c>
    </row>
    <row r="547" spans="1:8" x14ac:dyDescent="0.35">
      <c r="A547">
        <v>103409358</v>
      </c>
      <c r="B547" t="s">
        <v>4076</v>
      </c>
      <c r="C547" s="2">
        <v>44749</v>
      </c>
      <c r="D547">
        <v>1269</v>
      </c>
      <c r="E547">
        <v>1</v>
      </c>
      <c r="F547">
        <v>1</v>
      </c>
      <c r="G547">
        <v>1269</v>
      </c>
      <c r="H547">
        <v>1269</v>
      </c>
    </row>
    <row r="548" spans="1:8" x14ac:dyDescent="0.35">
      <c r="A548">
        <v>103409359</v>
      </c>
      <c r="B548" t="s">
        <v>4076</v>
      </c>
      <c r="C548" s="2">
        <v>44749</v>
      </c>
      <c r="D548">
        <v>6839.05</v>
      </c>
      <c r="E548">
        <v>1</v>
      </c>
      <c r="F548">
        <v>1</v>
      </c>
      <c r="G548">
        <v>6839.05</v>
      </c>
      <c r="H548">
        <v>6839.05</v>
      </c>
    </row>
    <row r="549" spans="1:8" x14ac:dyDescent="0.35">
      <c r="A549">
        <v>103409366</v>
      </c>
      <c r="B549" t="s">
        <v>4076</v>
      </c>
      <c r="C549" s="2">
        <v>44749</v>
      </c>
      <c r="D549">
        <v>1199</v>
      </c>
      <c r="E549">
        <v>1</v>
      </c>
      <c r="F549">
        <v>1</v>
      </c>
      <c r="G549">
        <v>1199</v>
      </c>
      <c r="H549">
        <v>1199</v>
      </c>
    </row>
    <row r="550" spans="1:8" x14ac:dyDescent="0.35">
      <c r="A550">
        <v>103409369</v>
      </c>
      <c r="B550" t="s">
        <v>4076</v>
      </c>
      <c r="C550" s="2">
        <v>44749</v>
      </c>
      <c r="D550">
        <v>969</v>
      </c>
      <c r="E550">
        <v>1</v>
      </c>
      <c r="F550">
        <v>1</v>
      </c>
      <c r="G550">
        <v>969</v>
      </c>
      <c r="H550">
        <v>969</v>
      </c>
    </row>
    <row r="551" spans="1:8" x14ac:dyDescent="0.35">
      <c r="A551">
        <v>103409373</v>
      </c>
      <c r="B551" t="s">
        <v>4076</v>
      </c>
      <c r="C551" s="2">
        <v>44749</v>
      </c>
      <c r="D551">
        <v>3067</v>
      </c>
      <c r="E551">
        <v>3</v>
      </c>
      <c r="F551">
        <v>1</v>
      </c>
      <c r="G551">
        <v>1022.33333333333</v>
      </c>
      <c r="H551">
        <v>3067</v>
      </c>
    </row>
    <row r="552" spans="1:8" x14ac:dyDescent="0.35">
      <c r="A552">
        <v>103409383</v>
      </c>
      <c r="B552" t="s">
        <v>4076</v>
      </c>
      <c r="C552" s="2">
        <v>44749</v>
      </c>
      <c r="D552">
        <v>1379</v>
      </c>
      <c r="E552">
        <v>1</v>
      </c>
      <c r="F552">
        <v>1</v>
      </c>
      <c r="G552">
        <v>1379</v>
      </c>
      <c r="H552">
        <v>1379</v>
      </c>
    </row>
    <row r="553" spans="1:8" x14ac:dyDescent="0.35">
      <c r="A553">
        <v>103409386</v>
      </c>
      <c r="B553" t="s">
        <v>4076</v>
      </c>
      <c r="C553" s="2">
        <v>44749</v>
      </c>
      <c r="D553">
        <v>4504.1399999999903</v>
      </c>
      <c r="E553">
        <v>2</v>
      </c>
      <c r="F553">
        <v>1</v>
      </c>
      <c r="G553">
        <v>2252.0699999999902</v>
      </c>
      <c r="H553">
        <v>4504.1399999999903</v>
      </c>
    </row>
    <row r="554" spans="1:8" x14ac:dyDescent="0.35">
      <c r="A554">
        <v>103409387</v>
      </c>
      <c r="B554" t="s">
        <v>4076</v>
      </c>
      <c r="C554" s="2">
        <v>44749</v>
      </c>
      <c r="D554">
        <v>4549</v>
      </c>
      <c r="E554">
        <v>1</v>
      </c>
      <c r="F554">
        <v>1</v>
      </c>
      <c r="G554">
        <v>4549</v>
      </c>
      <c r="H554">
        <v>4549</v>
      </c>
    </row>
    <row r="555" spans="1:8" x14ac:dyDescent="0.35">
      <c r="A555">
        <v>103409390</v>
      </c>
      <c r="B555" t="s">
        <v>4076</v>
      </c>
      <c r="C555" s="2">
        <v>44749</v>
      </c>
      <c r="D555">
        <v>1199</v>
      </c>
      <c r="E555">
        <v>1</v>
      </c>
      <c r="F555">
        <v>1</v>
      </c>
      <c r="G555">
        <v>1199</v>
      </c>
      <c r="H555">
        <v>1199</v>
      </c>
    </row>
    <row r="556" spans="1:8" x14ac:dyDescent="0.35">
      <c r="A556">
        <v>103409394</v>
      </c>
      <c r="B556" t="s">
        <v>4076</v>
      </c>
      <c r="C556" s="2">
        <v>44749</v>
      </c>
      <c r="D556">
        <v>3324.05</v>
      </c>
      <c r="E556">
        <v>1</v>
      </c>
      <c r="F556">
        <v>1</v>
      </c>
      <c r="G556">
        <v>3324.05</v>
      </c>
      <c r="H556">
        <v>3324.05</v>
      </c>
    </row>
    <row r="557" spans="1:8" x14ac:dyDescent="0.35">
      <c r="A557">
        <v>103409403</v>
      </c>
      <c r="B557" t="s">
        <v>4076</v>
      </c>
      <c r="C557" s="2">
        <v>44749</v>
      </c>
      <c r="D557">
        <v>3761.14</v>
      </c>
      <c r="E557">
        <v>1</v>
      </c>
      <c r="F557">
        <v>1</v>
      </c>
      <c r="G557">
        <v>3761.14</v>
      </c>
      <c r="H557">
        <v>3761.14</v>
      </c>
    </row>
    <row r="558" spans="1:8" x14ac:dyDescent="0.35">
      <c r="A558">
        <v>103409407</v>
      </c>
      <c r="B558" t="s">
        <v>4076</v>
      </c>
      <c r="C558" s="2">
        <v>44749</v>
      </c>
      <c r="D558">
        <v>426.55</v>
      </c>
      <c r="E558">
        <v>1</v>
      </c>
      <c r="F558">
        <v>1</v>
      </c>
      <c r="G558">
        <v>426.55</v>
      </c>
      <c r="H558">
        <v>426.55</v>
      </c>
    </row>
    <row r="559" spans="1:8" x14ac:dyDescent="0.35">
      <c r="A559">
        <v>103409416</v>
      </c>
      <c r="B559" t="s">
        <v>4076</v>
      </c>
      <c r="C559" s="2">
        <v>44749</v>
      </c>
      <c r="D559">
        <v>3988.1</v>
      </c>
      <c r="E559">
        <v>2</v>
      </c>
      <c r="F559">
        <v>1</v>
      </c>
      <c r="G559">
        <v>1994.05</v>
      </c>
      <c r="H559">
        <v>3988.1</v>
      </c>
    </row>
    <row r="560" spans="1:8" x14ac:dyDescent="0.35">
      <c r="A560">
        <v>103409418</v>
      </c>
      <c r="B560" t="s">
        <v>4076</v>
      </c>
      <c r="C560" s="2">
        <v>44749</v>
      </c>
      <c r="D560">
        <v>1169</v>
      </c>
      <c r="E560">
        <v>1</v>
      </c>
      <c r="F560">
        <v>1</v>
      </c>
      <c r="G560">
        <v>1169</v>
      </c>
      <c r="H560">
        <v>1169</v>
      </c>
    </row>
    <row r="561" spans="1:8" x14ac:dyDescent="0.35">
      <c r="A561">
        <v>103409421</v>
      </c>
      <c r="B561" t="s">
        <v>4076</v>
      </c>
      <c r="C561" s="2">
        <v>44749</v>
      </c>
      <c r="D561">
        <v>2977.35</v>
      </c>
      <c r="E561">
        <v>1</v>
      </c>
      <c r="F561">
        <v>1</v>
      </c>
      <c r="G561">
        <v>2977.35</v>
      </c>
      <c r="H561">
        <v>2977.35</v>
      </c>
    </row>
    <row r="562" spans="1:8" x14ac:dyDescent="0.35">
      <c r="A562">
        <v>103409422</v>
      </c>
      <c r="B562" t="s">
        <v>4076</v>
      </c>
      <c r="C562" s="2">
        <v>44749</v>
      </c>
      <c r="D562">
        <v>6353</v>
      </c>
      <c r="E562">
        <v>7</v>
      </c>
      <c r="F562">
        <v>1</v>
      </c>
      <c r="G562">
        <v>907.57142857142799</v>
      </c>
      <c r="H562">
        <v>6353</v>
      </c>
    </row>
    <row r="563" spans="1:8" x14ac:dyDescent="0.35">
      <c r="A563">
        <v>103409432</v>
      </c>
      <c r="B563" t="s">
        <v>4076</v>
      </c>
      <c r="C563" s="2">
        <v>44749</v>
      </c>
      <c r="D563">
        <v>1025.1400000000001</v>
      </c>
      <c r="E563">
        <v>1</v>
      </c>
      <c r="F563">
        <v>1</v>
      </c>
      <c r="G563">
        <v>1025.1400000000001</v>
      </c>
      <c r="H563">
        <v>1025.1400000000001</v>
      </c>
    </row>
    <row r="564" spans="1:8" x14ac:dyDescent="0.35">
      <c r="A564">
        <v>103409437</v>
      </c>
      <c r="B564" t="s">
        <v>4076</v>
      </c>
      <c r="C564" s="2">
        <v>44749</v>
      </c>
      <c r="D564">
        <v>2773.05</v>
      </c>
      <c r="E564">
        <v>1</v>
      </c>
      <c r="F564">
        <v>1</v>
      </c>
      <c r="G564">
        <v>2773.05</v>
      </c>
      <c r="H564">
        <v>2773.05</v>
      </c>
    </row>
    <row r="565" spans="1:8" x14ac:dyDescent="0.35">
      <c r="A565">
        <v>103409439</v>
      </c>
      <c r="B565" t="s">
        <v>4076</v>
      </c>
      <c r="C565" s="2">
        <v>44749</v>
      </c>
      <c r="D565">
        <v>2773.05</v>
      </c>
      <c r="E565">
        <v>1</v>
      </c>
      <c r="F565">
        <v>1</v>
      </c>
      <c r="G565">
        <v>2773.05</v>
      </c>
      <c r="H565">
        <v>2773.05</v>
      </c>
    </row>
    <row r="566" spans="1:8" x14ac:dyDescent="0.35">
      <c r="A566">
        <v>103409442</v>
      </c>
      <c r="B566" t="s">
        <v>4076</v>
      </c>
      <c r="C566" s="2">
        <v>44749</v>
      </c>
      <c r="D566">
        <v>1517.1499999999901</v>
      </c>
      <c r="E566">
        <v>3</v>
      </c>
      <c r="F566">
        <v>1</v>
      </c>
      <c r="G566">
        <v>505.71666666666601</v>
      </c>
      <c r="H566">
        <v>1517.1499999999901</v>
      </c>
    </row>
    <row r="567" spans="1:8" x14ac:dyDescent="0.35">
      <c r="A567">
        <v>103409443</v>
      </c>
      <c r="B567" t="s">
        <v>4076</v>
      </c>
      <c r="C567" s="2">
        <v>44749</v>
      </c>
      <c r="D567">
        <v>2339.1</v>
      </c>
      <c r="E567">
        <v>1</v>
      </c>
      <c r="F567">
        <v>1</v>
      </c>
      <c r="G567">
        <v>2339.1</v>
      </c>
      <c r="H567">
        <v>2339.1</v>
      </c>
    </row>
    <row r="568" spans="1:8" x14ac:dyDescent="0.35">
      <c r="A568">
        <v>103409449</v>
      </c>
      <c r="B568" t="s">
        <v>4076</v>
      </c>
      <c r="C568" s="2">
        <v>44749</v>
      </c>
      <c r="D568">
        <v>3656.55</v>
      </c>
      <c r="E568">
        <v>1</v>
      </c>
      <c r="F568">
        <v>1</v>
      </c>
      <c r="G568">
        <v>3656.55</v>
      </c>
      <c r="H568">
        <v>3656.55</v>
      </c>
    </row>
    <row r="569" spans="1:8" x14ac:dyDescent="0.35">
      <c r="A569">
        <v>103409457</v>
      </c>
      <c r="B569" t="s">
        <v>4076</v>
      </c>
      <c r="C569" s="2">
        <v>44749</v>
      </c>
      <c r="D569">
        <v>92.15</v>
      </c>
      <c r="E569">
        <v>3</v>
      </c>
      <c r="F569">
        <v>1</v>
      </c>
      <c r="G569">
        <v>30.716666666666601</v>
      </c>
      <c r="H569">
        <v>92.15</v>
      </c>
    </row>
    <row r="570" spans="1:8" x14ac:dyDescent="0.35">
      <c r="A570">
        <v>103409458</v>
      </c>
      <c r="B570" t="s">
        <v>4076</v>
      </c>
      <c r="C570" s="2">
        <v>44749</v>
      </c>
      <c r="D570">
        <v>113.05</v>
      </c>
      <c r="E570">
        <v>1</v>
      </c>
      <c r="F570">
        <v>1</v>
      </c>
      <c r="G570">
        <v>113.05</v>
      </c>
      <c r="H570">
        <v>113.05</v>
      </c>
    </row>
    <row r="571" spans="1:8" x14ac:dyDescent="0.35">
      <c r="A571">
        <v>103409460</v>
      </c>
      <c r="B571" t="s">
        <v>4076</v>
      </c>
      <c r="C571" s="2">
        <v>44749</v>
      </c>
      <c r="D571">
        <v>639</v>
      </c>
      <c r="E571">
        <v>1</v>
      </c>
      <c r="F571">
        <v>1</v>
      </c>
      <c r="G571">
        <v>639</v>
      </c>
      <c r="H571">
        <v>639</v>
      </c>
    </row>
    <row r="572" spans="1:8" x14ac:dyDescent="0.35">
      <c r="A572">
        <v>103409461</v>
      </c>
      <c r="B572" t="s">
        <v>4076</v>
      </c>
      <c r="C572" s="2">
        <v>44749</v>
      </c>
      <c r="D572">
        <v>1347.1</v>
      </c>
      <c r="E572">
        <v>2</v>
      </c>
      <c r="F572">
        <v>1</v>
      </c>
      <c r="G572">
        <v>673.55</v>
      </c>
      <c r="H572">
        <v>1347.1</v>
      </c>
    </row>
    <row r="573" spans="1:8" x14ac:dyDescent="0.35">
      <c r="A573">
        <v>103409465</v>
      </c>
      <c r="B573" t="s">
        <v>4076</v>
      </c>
      <c r="C573" s="2">
        <v>44749</v>
      </c>
      <c r="D573">
        <v>799</v>
      </c>
      <c r="E573">
        <v>1</v>
      </c>
      <c r="F573">
        <v>1</v>
      </c>
      <c r="G573">
        <v>799</v>
      </c>
      <c r="H573">
        <v>799</v>
      </c>
    </row>
    <row r="574" spans="1:8" x14ac:dyDescent="0.35">
      <c r="A574">
        <v>103409469</v>
      </c>
      <c r="B574" t="s">
        <v>4076</v>
      </c>
      <c r="C574" s="2">
        <v>44749</v>
      </c>
      <c r="D574">
        <v>899</v>
      </c>
      <c r="E574">
        <v>1</v>
      </c>
      <c r="F574">
        <v>1</v>
      </c>
      <c r="G574">
        <v>899</v>
      </c>
      <c r="H574">
        <v>899</v>
      </c>
    </row>
    <row r="575" spans="1:8" x14ac:dyDescent="0.35">
      <c r="A575">
        <v>103409474</v>
      </c>
      <c r="B575" t="s">
        <v>4076</v>
      </c>
      <c r="C575" s="2">
        <v>44749</v>
      </c>
      <c r="D575">
        <v>1499</v>
      </c>
      <c r="E575">
        <v>1</v>
      </c>
      <c r="F575">
        <v>1</v>
      </c>
      <c r="G575">
        <v>1499</v>
      </c>
      <c r="H575">
        <v>1499</v>
      </c>
    </row>
    <row r="576" spans="1:8" x14ac:dyDescent="0.35">
      <c r="A576">
        <v>103409487</v>
      </c>
      <c r="B576" t="s">
        <v>4076</v>
      </c>
      <c r="C576" s="2">
        <v>44749</v>
      </c>
      <c r="D576">
        <v>2350.39</v>
      </c>
      <c r="E576">
        <v>1</v>
      </c>
      <c r="F576">
        <v>1</v>
      </c>
      <c r="G576">
        <v>2350.39</v>
      </c>
      <c r="H576">
        <v>2350.39</v>
      </c>
    </row>
    <row r="577" spans="1:8" x14ac:dyDescent="0.35">
      <c r="A577">
        <v>103409500</v>
      </c>
      <c r="B577" t="s">
        <v>4076</v>
      </c>
      <c r="C577" s="2">
        <v>44749</v>
      </c>
      <c r="D577">
        <v>2611.5500000000002</v>
      </c>
      <c r="E577">
        <v>1</v>
      </c>
      <c r="F577">
        <v>1</v>
      </c>
      <c r="G577">
        <v>2611.5500000000002</v>
      </c>
      <c r="H577">
        <v>2611.5500000000002</v>
      </c>
    </row>
    <row r="578" spans="1:8" x14ac:dyDescent="0.35">
      <c r="A578">
        <v>103409508</v>
      </c>
      <c r="B578" t="s">
        <v>4076</v>
      </c>
      <c r="C578" s="2">
        <v>44749</v>
      </c>
      <c r="D578">
        <v>5735.15</v>
      </c>
      <c r="E578">
        <v>3</v>
      </c>
      <c r="F578">
        <v>1</v>
      </c>
      <c r="G578">
        <v>1911.7166666666601</v>
      </c>
      <c r="H578">
        <v>5735.15</v>
      </c>
    </row>
    <row r="579" spans="1:8" x14ac:dyDescent="0.35">
      <c r="A579">
        <v>103409509</v>
      </c>
      <c r="B579" t="s">
        <v>4076</v>
      </c>
      <c r="C579" s="2">
        <v>44749</v>
      </c>
      <c r="D579">
        <v>1617</v>
      </c>
      <c r="E579">
        <v>3</v>
      </c>
      <c r="F579">
        <v>1</v>
      </c>
      <c r="G579">
        <v>539</v>
      </c>
      <c r="H579">
        <v>1617</v>
      </c>
    </row>
    <row r="580" spans="1:8" x14ac:dyDescent="0.35">
      <c r="A580">
        <v>103409514</v>
      </c>
      <c r="B580" t="s">
        <v>4076</v>
      </c>
      <c r="C580" s="2">
        <v>44749</v>
      </c>
      <c r="D580">
        <v>369</v>
      </c>
      <c r="E580">
        <v>1</v>
      </c>
      <c r="F580">
        <v>1</v>
      </c>
      <c r="G580">
        <v>369</v>
      </c>
      <c r="H580">
        <v>369</v>
      </c>
    </row>
    <row r="581" spans="1:8" x14ac:dyDescent="0.35">
      <c r="A581">
        <v>103409517</v>
      </c>
      <c r="B581" t="s">
        <v>4076</v>
      </c>
      <c r="C581" s="2">
        <v>44749</v>
      </c>
      <c r="D581">
        <v>489</v>
      </c>
      <c r="E581">
        <v>1</v>
      </c>
      <c r="F581">
        <v>1</v>
      </c>
      <c r="G581">
        <v>489</v>
      </c>
      <c r="H581">
        <v>489</v>
      </c>
    </row>
    <row r="582" spans="1:8" x14ac:dyDescent="0.35">
      <c r="A582">
        <v>103409521</v>
      </c>
      <c r="B582" t="s">
        <v>4076</v>
      </c>
      <c r="C582" s="2">
        <v>44749</v>
      </c>
      <c r="D582">
        <v>2249</v>
      </c>
      <c r="E582">
        <v>1</v>
      </c>
      <c r="F582">
        <v>1</v>
      </c>
      <c r="G582">
        <v>2249</v>
      </c>
      <c r="H582">
        <v>2249</v>
      </c>
    </row>
    <row r="583" spans="1:8" x14ac:dyDescent="0.35">
      <c r="A583">
        <v>103409537</v>
      </c>
      <c r="B583" t="s">
        <v>4076</v>
      </c>
      <c r="C583" s="2">
        <v>44749</v>
      </c>
      <c r="D583">
        <v>6636.7</v>
      </c>
      <c r="E583">
        <v>4</v>
      </c>
      <c r="F583">
        <v>1</v>
      </c>
      <c r="G583">
        <v>1659.175</v>
      </c>
      <c r="H583">
        <v>6636.7</v>
      </c>
    </row>
    <row r="584" spans="1:8" x14ac:dyDescent="0.35">
      <c r="A584">
        <v>103409538</v>
      </c>
      <c r="B584" t="s">
        <v>4076</v>
      </c>
      <c r="C584" s="2">
        <v>44749</v>
      </c>
      <c r="D584">
        <v>669</v>
      </c>
      <c r="E584">
        <v>1</v>
      </c>
      <c r="F584">
        <v>1</v>
      </c>
      <c r="G584">
        <v>669</v>
      </c>
      <c r="H584">
        <v>669</v>
      </c>
    </row>
    <row r="585" spans="1:8" x14ac:dyDescent="0.35">
      <c r="A585">
        <v>103409548</v>
      </c>
      <c r="B585" t="s">
        <v>4076</v>
      </c>
      <c r="C585" s="2">
        <v>44749</v>
      </c>
      <c r="D585">
        <v>2749</v>
      </c>
      <c r="E585">
        <v>1</v>
      </c>
      <c r="F585">
        <v>1</v>
      </c>
      <c r="G585">
        <v>2749</v>
      </c>
      <c r="H585">
        <v>2749</v>
      </c>
    </row>
    <row r="586" spans="1:8" x14ac:dyDescent="0.35">
      <c r="A586">
        <v>103409549</v>
      </c>
      <c r="B586" t="s">
        <v>4076</v>
      </c>
      <c r="C586" s="2">
        <v>44749</v>
      </c>
      <c r="D586">
        <v>1169</v>
      </c>
      <c r="E586">
        <v>1</v>
      </c>
      <c r="F586">
        <v>1</v>
      </c>
      <c r="G586">
        <v>1169</v>
      </c>
      <c r="H586">
        <v>1169</v>
      </c>
    </row>
    <row r="587" spans="1:8" x14ac:dyDescent="0.35">
      <c r="A587">
        <v>103409557</v>
      </c>
      <c r="B587" t="s">
        <v>4076</v>
      </c>
      <c r="C587" s="2">
        <v>44749</v>
      </c>
      <c r="D587">
        <v>675.97</v>
      </c>
      <c r="E587">
        <v>1</v>
      </c>
      <c r="F587">
        <v>1</v>
      </c>
      <c r="G587">
        <v>675.97</v>
      </c>
      <c r="H587">
        <v>675.97</v>
      </c>
    </row>
    <row r="588" spans="1:8" x14ac:dyDescent="0.35">
      <c r="A588">
        <v>103409579</v>
      </c>
      <c r="B588" t="s">
        <v>4076</v>
      </c>
      <c r="C588" s="2">
        <v>44749</v>
      </c>
      <c r="D588">
        <v>495.04</v>
      </c>
      <c r="E588">
        <v>1</v>
      </c>
      <c r="F588">
        <v>1</v>
      </c>
      <c r="G588">
        <v>495.04</v>
      </c>
      <c r="H588">
        <v>495.04</v>
      </c>
    </row>
    <row r="589" spans="1:8" x14ac:dyDescent="0.35">
      <c r="A589">
        <v>103409585</v>
      </c>
      <c r="B589" t="s">
        <v>4076</v>
      </c>
      <c r="C589" s="2">
        <v>44749</v>
      </c>
      <c r="D589">
        <v>1234.05</v>
      </c>
      <c r="E589">
        <v>1</v>
      </c>
      <c r="F589">
        <v>1</v>
      </c>
      <c r="G589">
        <v>1234.05</v>
      </c>
      <c r="H589">
        <v>1234.05</v>
      </c>
    </row>
    <row r="590" spans="1:8" x14ac:dyDescent="0.35">
      <c r="A590">
        <v>103409594</v>
      </c>
      <c r="B590" t="s">
        <v>4076</v>
      </c>
      <c r="C590" s="2">
        <v>44749</v>
      </c>
      <c r="D590">
        <v>2051.14</v>
      </c>
      <c r="E590">
        <v>1</v>
      </c>
      <c r="F590">
        <v>1</v>
      </c>
      <c r="G590">
        <v>2051.14</v>
      </c>
      <c r="H590">
        <v>2051.14</v>
      </c>
    </row>
    <row r="591" spans="1:8" x14ac:dyDescent="0.35">
      <c r="A591">
        <v>103409604</v>
      </c>
      <c r="B591" t="s">
        <v>4076</v>
      </c>
      <c r="C591" s="2">
        <v>44749</v>
      </c>
      <c r="D591">
        <v>2041.55</v>
      </c>
      <c r="E591">
        <v>1</v>
      </c>
      <c r="F591">
        <v>1</v>
      </c>
      <c r="G591">
        <v>2041.55</v>
      </c>
      <c r="H591">
        <v>2041.55</v>
      </c>
    </row>
    <row r="592" spans="1:8" x14ac:dyDescent="0.35">
      <c r="A592">
        <v>103409608</v>
      </c>
      <c r="B592" t="s">
        <v>4076</v>
      </c>
      <c r="C592" s="2">
        <v>44749</v>
      </c>
      <c r="D592">
        <v>1349</v>
      </c>
      <c r="E592">
        <v>1</v>
      </c>
      <c r="F592">
        <v>1</v>
      </c>
      <c r="G592">
        <v>1349</v>
      </c>
      <c r="H592">
        <v>1349</v>
      </c>
    </row>
    <row r="593" spans="1:8" x14ac:dyDescent="0.35">
      <c r="A593">
        <v>103409615</v>
      </c>
      <c r="B593" t="s">
        <v>4076</v>
      </c>
      <c r="C593" s="2">
        <v>44749</v>
      </c>
      <c r="D593">
        <v>2960.2</v>
      </c>
      <c r="E593">
        <v>4</v>
      </c>
      <c r="F593">
        <v>1</v>
      </c>
      <c r="G593">
        <v>740.05</v>
      </c>
      <c r="H593">
        <v>2960.2</v>
      </c>
    </row>
    <row r="594" spans="1:8" x14ac:dyDescent="0.35">
      <c r="A594">
        <v>103409616</v>
      </c>
      <c r="B594" t="s">
        <v>4076</v>
      </c>
      <c r="C594" s="2">
        <v>44749</v>
      </c>
      <c r="D594">
        <v>3490.87</v>
      </c>
      <c r="E594">
        <v>2</v>
      </c>
      <c r="F594">
        <v>1</v>
      </c>
      <c r="G594">
        <v>1745.4349999999999</v>
      </c>
      <c r="H594">
        <v>3490.87</v>
      </c>
    </row>
    <row r="595" spans="1:8" x14ac:dyDescent="0.35">
      <c r="A595">
        <v>103409635</v>
      </c>
      <c r="B595" t="s">
        <v>4076</v>
      </c>
      <c r="C595" s="2">
        <v>44749</v>
      </c>
      <c r="D595">
        <v>937.7</v>
      </c>
      <c r="E595">
        <v>1</v>
      </c>
      <c r="F595">
        <v>1</v>
      </c>
      <c r="G595">
        <v>937.7</v>
      </c>
      <c r="H595">
        <v>937.7</v>
      </c>
    </row>
    <row r="596" spans="1:8" x14ac:dyDescent="0.35">
      <c r="A596">
        <v>103409637</v>
      </c>
      <c r="B596" t="s">
        <v>4076</v>
      </c>
      <c r="C596" s="2">
        <v>44749</v>
      </c>
      <c r="D596">
        <v>4102.1000000000004</v>
      </c>
      <c r="E596">
        <v>2</v>
      </c>
      <c r="F596">
        <v>1</v>
      </c>
      <c r="G596">
        <v>2051.0500000000002</v>
      </c>
      <c r="H596">
        <v>4102.1000000000004</v>
      </c>
    </row>
    <row r="597" spans="1:8" x14ac:dyDescent="0.35">
      <c r="A597">
        <v>103409639</v>
      </c>
      <c r="B597" t="s">
        <v>4076</v>
      </c>
      <c r="C597" s="2">
        <v>44749</v>
      </c>
      <c r="D597">
        <v>3599</v>
      </c>
      <c r="E597">
        <v>1</v>
      </c>
      <c r="F597">
        <v>1</v>
      </c>
      <c r="G597">
        <v>3599</v>
      </c>
      <c r="H597">
        <v>3599</v>
      </c>
    </row>
    <row r="598" spans="1:8" x14ac:dyDescent="0.35">
      <c r="A598">
        <v>103409644</v>
      </c>
      <c r="B598" t="s">
        <v>4076</v>
      </c>
      <c r="C598" s="2">
        <v>44749</v>
      </c>
      <c r="D598">
        <v>3656.55</v>
      </c>
      <c r="E598">
        <v>1</v>
      </c>
      <c r="F598">
        <v>1</v>
      </c>
      <c r="G598">
        <v>3656.55</v>
      </c>
      <c r="H598">
        <v>3656.55</v>
      </c>
    </row>
    <row r="599" spans="1:8" x14ac:dyDescent="0.35">
      <c r="A599">
        <v>103409647</v>
      </c>
      <c r="B599" t="s">
        <v>4076</v>
      </c>
      <c r="C599" s="2">
        <v>44749</v>
      </c>
      <c r="D599">
        <v>2991.64</v>
      </c>
      <c r="E599">
        <v>1</v>
      </c>
      <c r="F599">
        <v>1</v>
      </c>
      <c r="G599">
        <v>2991.64</v>
      </c>
      <c r="H599">
        <v>2991.64</v>
      </c>
    </row>
    <row r="600" spans="1:8" x14ac:dyDescent="0.35">
      <c r="A600">
        <v>103409650</v>
      </c>
      <c r="B600" t="s">
        <v>4076</v>
      </c>
      <c r="C600" s="2">
        <v>44749</v>
      </c>
      <c r="D600">
        <v>1448.1</v>
      </c>
      <c r="E600">
        <v>1</v>
      </c>
      <c r="F600">
        <v>1</v>
      </c>
      <c r="G600">
        <v>1448.1</v>
      </c>
      <c r="H600">
        <v>1448.1</v>
      </c>
    </row>
    <row r="601" spans="1:8" x14ac:dyDescent="0.35">
      <c r="A601">
        <v>103409651</v>
      </c>
      <c r="B601" t="s">
        <v>4076</v>
      </c>
      <c r="C601" s="2">
        <v>44749</v>
      </c>
      <c r="D601">
        <v>3889.39</v>
      </c>
      <c r="E601">
        <v>1</v>
      </c>
      <c r="F601">
        <v>1</v>
      </c>
      <c r="G601">
        <v>3889.39</v>
      </c>
      <c r="H601">
        <v>3889.39</v>
      </c>
    </row>
    <row r="602" spans="1:8" x14ac:dyDescent="0.35">
      <c r="A602">
        <v>103409653</v>
      </c>
      <c r="B602" t="s">
        <v>4076</v>
      </c>
      <c r="C602" s="2">
        <v>44749</v>
      </c>
      <c r="D602">
        <v>559</v>
      </c>
      <c r="E602">
        <v>1</v>
      </c>
      <c r="F602">
        <v>1</v>
      </c>
      <c r="G602">
        <v>559</v>
      </c>
      <c r="H602">
        <v>559</v>
      </c>
    </row>
    <row r="603" spans="1:8" x14ac:dyDescent="0.35">
      <c r="A603">
        <v>103409656</v>
      </c>
      <c r="B603" t="s">
        <v>4076</v>
      </c>
      <c r="C603" s="2">
        <v>44749</v>
      </c>
      <c r="D603">
        <v>4899</v>
      </c>
      <c r="E603">
        <v>1</v>
      </c>
      <c r="F603">
        <v>1</v>
      </c>
      <c r="G603">
        <v>4899</v>
      </c>
      <c r="H603">
        <v>4899</v>
      </c>
    </row>
    <row r="604" spans="1:8" x14ac:dyDescent="0.35">
      <c r="A604">
        <v>103409657</v>
      </c>
      <c r="B604" t="s">
        <v>4076</v>
      </c>
      <c r="C604" s="2">
        <v>44749</v>
      </c>
      <c r="D604">
        <v>3499</v>
      </c>
      <c r="E604">
        <v>1</v>
      </c>
      <c r="F604">
        <v>1</v>
      </c>
      <c r="G604">
        <v>3499</v>
      </c>
      <c r="H604">
        <v>3499</v>
      </c>
    </row>
    <row r="605" spans="1:8" x14ac:dyDescent="0.35">
      <c r="A605">
        <v>103409661</v>
      </c>
      <c r="B605" t="s">
        <v>4076</v>
      </c>
      <c r="C605" s="2">
        <v>44749</v>
      </c>
      <c r="D605">
        <v>329</v>
      </c>
      <c r="E605">
        <v>1</v>
      </c>
      <c r="F605">
        <v>1</v>
      </c>
      <c r="G605">
        <v>329</v>
      </c>
      <c r="H605">
        <v>329</v>
      </c>
    </row>
    <row r="606" spans="1:8" x14ac:dyDescent="0.35">
      <c r="A606">
        <v>103409673</v>
      </c>
      <c r="B606" t="s">
        <v>4076</v>
      </c>
      <c r="C606" s="2">
        <v>44749</v>
      </c>
      <c r="D606">
        <v>3899</v>
      </c>
      <c r="E606">
        <v>1</v>
      </c>
      <c r="F606">
        <v>1</v>
      </c>
      <c r="G606">
        <v>3899</v>
      </c>
      <c r="H606">
        <v>3899</v>
      </c>
    </row>
    <row r="607" spans="1:8" x14ac:dyDescent="0.35">
      <c r="A607">
        <v>103409678</v>
      </c>
      <c r="B607" t="s">
        <v>4076</v>
      </c>
      <c r="C607" s="2">
        <v>44749</v>
      </c>
      <c r="D607">
        <v>2849.05</v>
      </c>
      <c r="E607">
        <v>1</v>
      </c>
      <c r="F607">
        <v>1</v>
      </c>
      <c r="G607">
        <v>2849.05</v>
      </c>
      <c r="H607">
        <v>2849.05</v>
      </c>
    </row>
    <row r="608" spans="1:8" x14ac:dyDescent="0.35">
      <c r="A608">
        <v>103409681</v>
      </c>
      <c r="B608" t="s">
        <v>4076</v>
      </c>
      <c r="C608" s="2">
        <v>44749</v>
      </c>
      <c r="D608">
        <v>2048</v>
      </c>
      <c r="E608">
        <v>2</v>
      </c>
      <c r="F608">
        <v>1</v>
      </c>
      <c r="G608">
        <v>1024</v>
      </c>
      <c r="H608">
        <v>2048</v>
      </c>
    </row>
    <row r="609" spans="1:8" x14ac:dyDescent="0.35">
      <c r="A609">
        <v>103409688</v>
      </c>
      <c r="B609" t="s">
        <v>4076</v>
      </c>
      <c r="C609" s="2">
        <v>44749</v>
      </c>
      <c r="D609">
        <v>4998</v>
      </c>
      <c r="E609">
        <v>2</v>
      </c>
      <c r="F609">
        <v>1</v>
      </c>
      <c r="G609">
        <v>2499</v>
      </c>
      <c r="H609">
        <v>4998</v>
      </c>
    </row>
    <row r="610" spans="1:8" x14ac:dyDescent="0.35">
      <c r="A610">
        <v>103409690</v>
      </c>
      <c r="B610" t="s">
        <v>4076</v>
      </c>
      <c r="C610" s="2">
        <v>44749</v>
      </c>
      <c r="D610">
        <v>579</v>
      </c>
      <c r="E610">
        <v>1</v>
      </c>
      <c r="F610">
        <v>1</v>
      </c>
      <c r="G610">
        <v>579</v>
      </c>
      <c r="H610">
        <v>579</v>
      </c>
    </row>
    <row r="611" spans="1:8" x14ac:dyDescent="0.35">
      <c r="A611">
        <v>103409691</v>
      </c>
      <c r="B611" t="s">
        <v>4076</v>
      </c>
      <c r="C611" s="2">
        <v>44749</v>
      </c>
      <c r="D611">
        <v>1414.55</v>
      </c>
      <c r="E611">
        <v>1</v>
      </c>
      <c r="F611">
        <v>1</v>
      </c>
      <c r="G611">
        <v>1414.55</v>
      </c>
      <c r="H611">
        <v>1414.55</v>
      </c>
    </row>
    <row r="612" spans="1:8" x14ac:dyDescent="0.35">
      <c r="A612">
        <v>103409697</v>
      </c>
      <c r="B612" t="s">
        <v>4076</v>
      </c>
      <c r="C612" s="2">
        <v>44749</v>
      </c>
      <c r="D612">
        <v>2345.6</v>
      </c>
      <c r="E612">
        <v>1</v>
      </c>
      <c r="F612">
        <v>1</v>
      </c>
      <c r="G612">
        <v>2345.6</v>
      </c>
      <c r="H612">
        <v>2345.6</v>
      </c>
    </row>
    <row r="613" spans="1:8" x14ac:dyDescent="0.35">
      <c r="A613">
        <v>103409698</v>
      </c>
      <c r="B613" t="s">
        <v>4076</v>
      </c>
      <c r="C613" s="2">
        <v>44749</v>
      </c>
      <c r="D613">
        <v>1499</v>
      </c>
      <c r="E613">
        <v>1</v>
      </c>
      <c r="F613">
        <v>1</v>
      </c>
      <c r="G613">
        <v>1499</v>
      </c>
      <c r="H613">
        <v>1499</v>
      </c>
    </row>
    <row r="614" spans="1:8" x14ac:dyDescent="0.35">
      <c r="A614">
        <v>103409699</v>
      </c>
      <c r="B614" t="s">
        <v>4076</v>
      </c>
      <c r="C614" s="2">
        <v>44749</v>
      </c>
      <c r="D614">
        <v>2089.0500000000002</v>
      </c>
      <c r="E614">
        <v>1</v>
      </c>
      <c r="F614">
        <v>1</v>
      </c>
      <c r="G614">
        <v>2089.0500000000002</v>
      </c>
      <c r="H614">
        <v>2089.0500000000002</v>
      </c>
    </row>
    <row r="615" spans="1:8" x14ac:dyDescent="0.35">
      <c r="A615">
        <v>103409706</v>
      </c>
      <c r="B615" t="s">
        <v>4076</v>
      </c>
      <c r="C615" s="2">
        <v>44749</v>
      </c>
      <c r="D615">
        <v>269</v>
      </c>
      <c r="E615">
        <v>1</v>
      </c>
      <c r="F615">
        <v>1</v>
      </c>
      <c r="G615">
        <v>269</v>
      </c>
      <c r="H615">
        <v>269</v>
      </c>
    </row>
    <row r="616" spans="1:8" x14ac:dyDescent="0.35">
      <c r="A616">
        <v>103409709</v>
      </c>
      <c r="B616" t="s">
        <v>4076</v>
      </c>
      <c r="C616" s="2">
        <v>44749</v>
      </c>
      <c r="D616">
        <v>2279.0500000000002</v>
      </c>
      <c r="E616">
        <v>1</v>
      </c>
      <c r="F616">
        <v>1</v>
      </c>
      <c r="G616">
        <v>2279.0500000000002</v>
      </c>
      <c r="H616">
        <v>2279.0500000000002</v>
      </c>
    </row>
    <row r="617" spans="1:8" x14ac:dyDescent="0.35">
      <c r="A617">
        <v>103409715</v>
      </c>
      <c r="B617" t="s">
        <v>4076</v>
      </c>
      <c r="C617" s="2">
        <v>44749</v>
      </c>
      <c r="D617">
        <v>1299</v>
      </c>
      <c r="E617">
        <v>1</v>
      </c>
      <c r="F617">
        <v>1</v>
      </c>
      <c r="G617">
        <v>1299</v>
      </c>
      <c r="H617">
        <v>1299</v>
      </c>
    </row>
    <row r="618" spans="1:8" x14ac:dyDescent="0.35">
      <c r="A618">
        <v>103409718</v>
      </c>
      <c r="B618" t="s">
        <v>4076</v>
      </c>
      <c r="C618" s="2">
        <v>44749</v>
      </c>
      <c r="D618">
        <v>1189</v>
      </c>
      <c r="E618">
        <v>1</v>
      </c>
      <c r="F618">
        <v>1</v>
      </c>
      <c r="G618">
        <v>1189</v>
      </c>
      <c r="H618">
        <v>1189</v>
      </c>
    </row>
    <row r="619" spans="1:8" x14ac:dyDescent="0.35">
      <c r="A619">
        <v>103409720</v>
      </c>
      <c r="B619" t="s">
        <v>4076</v>
      </c>
      <c r="C619" s="2">
        <v>44749</v>
      </c>
      <c r="D619">
        <v>3532.1</v>
      </c>
      <c r="E619">
        <v>2</v>
      </c>
      <c r="F619">
        <v>1</v>
      </c>
      <c r="G619">
        <v>1766.05</v>
      </c>
      <c r="H619">
        <v>3532.1</v>
      </c>
    </row>
    <row r="620" spans="1:8" x14ac:dyDescent="0.35">
      <c r="A620">
        <v>103409721</v>
      </c>
      <c r="B620" t="s">
        <v>4076</v>
      </c>
      <c r="C620" s="2">
        <v>44749</v>
      </c>
      <c r="D620">
        <v>1868</v>
      </c>
      <c r="E620">
        <v>2</v>
      </c>
      <c r="F620">
        <v>1</v>
      </c>
      <c r="G620">
        <v>934</v>
      </c>
      <c r="H620">
        <v>1868</v>
      </c>
    </row>
    <row r="621" spans="1:8" x14ac:dyDescent="0.35">
      <c r="A621">
        <v>103409722</v>
      </c>
      <c r="B621" t="s">
        <v>4076</v>
      </c>
      <c r="C621" s="2">
        <v>44749</v>
      </c>
      <c r="D621">
        <v>674.1</v>
      </c>
      <c r="E621">
        <v>1</v>
      </c>
      <c r="F621">
        <v>1</v>
      </c>
      <c r="G621">
        <v>674.1</v>
      </c>
      <c r="H621">
        <v>674.1</v>
      </c>
    </row>
    <row r="622" spans="1:8" x14ac:dyDescent="0.35">
      <c r="A622">
        <v>103409729</v>
      </c>
      <c r="B622" t="s">
        <v>4076</v>
      </c>
      <c r="C622" s="2">
        <v>44749</v>
      </c>
      <c r="D622">
        <v>4799</v>
      </c>
      <c r="E622">
        <v>1</v>
      </c>
      <c r="F622">
        <v>1</v>
      </c>
      <c r="G622">
        <v>4799</v>
      </c>
      <c r="H622">
        <v>4799</v>
      </c>
    </row>
    <row r="623" spans="1:8" x14ac:dyDescent="0.35">
      <c r="A623">
        <v>103409739</v>
      </c>
      <c r="B623" t="s">
        <v>4076</v>
      </c>
      <c r="C623" s="2">
        <v>44749</v>
      </c>
      <c r="D623">
        <v>6839.05</v>
      </c>
      <c r="E623">
        <v>1</v>
      </c>
      <c r="F623">
        <v>1</v>
      </c>
      <c r="G623">
        <v>6839.05</v>
      </c>
      <c r="H623">
        <v>6839.05</v>
      </c>
    </row>
    <row r="624" spans="1:8" x14ac:dyDescent="0.35">
      <c r="A624">
        <v>103409741</v>
      </c>
      <c r="B624" t="s">
        <v>4076</v>
      </c>
      <c r="C624" s="2">
        <v>44749</v>
      </c>
      <c r="D624">
        <v>1259</v>
      </c>
      <c r="E624">
        <v>1</v>
      </c>
      <c r="F624">
        <v>1</v>
      </c>
      <c r="G624">
        <v>1259</v>
      </c>
      <c r="H624">
        <v>1259</v>
      </c>
    </row>
    <row r="625" spans="1:8" x14ac:dyDescent="0.35">
      <c r="A625">
        <v>103409744</v>
      </c>
      <c r="B625" t="s">
        <v>4076</v>
      </c>
      <c r="C625" s="2">
        <v>44749</v>
      </c>
      <c r="D625">
        <v>3324.05</v>
      </c>
      <c r="E625">
        <v>1</v>
      </c>
      <c r="F625">
        <v>1</v>
      </c>
      <c r="G625">
        <v>3324.05</v>
      </c>
      <c r="H625">
        <v>3324.05</v>
      </c>
    </row>
    <row r="626" spans="1:8" x14ac:dyDescent="0.35">
      <c r="A626">
        <v>103409746</v>
      </c>
      <c r="B626" t="s">
        <v>4076</v>
      </c>
      <c r="C626" s="2">
        <v>44749</v>
      </c>
      <c r="D626">
        <v>797.05</v>
      </c>
      <c r="E626">
        <v>1</v>
      </c>
      <c r="F626">
        <v>1</v>
      </c>
      <c r="G626">
        <v>797.05</v>
      </c>
      <c r="H626">
        <v>797.05</v>
      </c>
    </row>
    <row r="627" spans="1:8" x14ac:dyDescent="0.35">
      <c r="A627">
        <v>103409748</v>
      </c>
      <c r="B627" t="s">
        <v>4076</v>
      </c>
      <c r="C627" s="2">
        <v>44749</v>
      </c>
      <c r="D627">
        <v>4616.1400000000003</v>
      </c>
      <c r="E627">
        <v>1</v>
      </c>
      <c r="F627">
        <v>1</v>
      </c>
      <c r="G627">
        <v>4616.1400000000003</v>
      </c>
      <c r="H627">
        <v>4616.1400000000003</v>
      </c>
    </row>
    <row r="628" spans="1:8" x14ac:dyDescent="0.35">
      <c r="A628">
        <v>103409749</v>
      </c>
      <c r="B628" t="s">
        <v>4076</v>
      </c>
      <c r="C628" s="2">
        <v>44749</v>
      </c>
      <c r="D628">
        <v>2634.4</v>
      </c>
      <c r="E628">
        <v>1</v>
      </c>
      <c r="F628">
        <v>1</v>
      </c>
      <c r="G628">
        <v>2634.4</v>
      </c>
      <c r="H628">
        <v>2634.4</v>
      </c>
    </row>
    <row r="629" spans="1:8" x14ac:dyDescent="0.35">
      <c r="A629">
        <v>103409752</v>
      </c>
      <c r="B629" t="s">
        <v>4076</v>
      </c>
      <c r="C629" s="2">
        <v>44749</v>
      </c>
      <c r="D629">
        <v>3134.05</v>
      </c>
      <c r="E629">
        <v>1</v>
      </c>
      <c r="F629">
        <v>1</v>
      </c>
      <c r="G629">
        <v>3134.05</v>
      </c>
      <c r="H629">
        <v>3134.05</v>
      </c>
    </row>
    <row r="630" spans="1:8" x14ac:dyDescent="0.35">
      <c r="A630">
        <v>103409754</v>
      </c>
      <c r="B630" t="s">
        <v>4076</v>
      </c>
      <c r="C630" s="2">
        <v>44749</v>
      </c>
      <c r="D630">
        <v>1994.05</v>
      </c>
      <c r="E630">
        <v>1</v>
      </c>
      <c r="F630">
        <v>1</v>
      </c>
      <c r="G630">
        <v>1994.05</v>
      </c>
      <c r="H630">
        <v>1994.05</v>
      </c>
    </row>
    <row r="631" spans="1:8" x14ac:dyDescent="0.35">
      <c r="A631">
        <v>103409755</v>
      </c>
      <c r="B631" t="s">
        <v>4076</v>
      </c>
      <c r="C631" s="2">
        <v>44749</v>
      </c>
      <c r="D631">
        <v>1539</v>
      </c>
      <c r="E631">
        <v>1</v>
      </c>
      <c r="F631">
        <v>1</v>
      </c>
      <c r="G631">
        <v>1539</v>
      </c>
      <c r="H631">
        <v>1539</v>
      </c>
    </row>
    <row r="632" spans="1:8" x14ac:dyDescent="0.35">
      <c r="A632">
        <v>103409757</v>
      </c>
      <c r="B632" t="s">
        <v>4076</v>
      </c>
      <c r="C632" s="2">
        <v>44749</v>
      </c>
      <c r="D632">
        <v>4008.05</v>
      </c>
      <c r="E632">
        <v>1</v>
      </c>
      <c r="F632">
        <v>1</v>
      </c>
      <c r="G632">
        <v>4008.05</v>
      </c>
      <c r="H632">
        <v>4008.05</v>
      </c>
    </row>
    <row r="633" spans="1:8" x14ac:dyDescent="0.35">
      <c r="A633">
        <v>103409762</v>
      </c>
      <c r="B633" t="s">
        <v>4076</v>
      </c>
      <c r="C633" s="2">
        <v>44749</v>
      </c>
      <c r="D633">
        <v>417.05</v>
      </c>
      <c r="E633">
        <v>1</v>
      </c>
      <c r="F633">
        <v>1</v>
      </c>
      <c r="G633">
        <v>417.05</v>
      </c>
      <c r="H633">
        <v>417.05</v>
      </c>
    </row>
    <row r="634" spans="1:8" x14ac:dyDescent="0.35">
      <c r="A634">
        <v>103409769</v>
      </c>
      <c r="B634" t="s">
        <v>4076</v>
      </c>
      <c r="C634" s="2">
        <v>44749</v>
      </c>
      <c r="D634">
        <v>493.05</v>
      </c>
      <c r="E634">
        <v>1</v>
      </c>
      <c r="F634">
        <v>1</v>
      </c>
      <c r="G634">
        <v>493.05</v>
      </c>
      <c r="H634">
        <v>493.05</v>
      </c>
    </row>
    <row r="635" spans="1:8" x14ac:dyDescent="0.35">
      <c r="A635">
        <v>103409775</v>
      </c>
      <c r="B635" t="s">
        <v>4076</v>
      </c>
      <c r="C635" s="2">
        <v>44749</v>
      </c>
      <c r="D635">
        <v>2099</v>
      </c>
      <c r="E635">
        <v>1</v>
      </c>
      <c r="F635">
        <v>1</v>
      </c>
      <c r="G635">
        <v>2099</v>
      </c>
      <c r="H635">
        <v>2099</v>
      </c>
    </row>
    <row r="636" spans="1:8" x14ac:dyDescent="0.35">
      <c r="A636">
        <v>103409784</v>
      </c>
      <c r="B636" t="s">
        <v>4076</v>
      </c>
      <c r="C636" s="2">
        <v>44749</v>
      </c>
      <c r="D636">
        <v>2399</v>
      </c>
      <c r="E636">
        <v>1</v>
      </c>
      <c r="F636">
        <v>1</v>
      </c>
      <c r="G636">
        <v>2399</v>
      </c>
      <c r="H636">
        <v>2399</v>
      </c>
    </row>
    <row r="637" spans="1:8" x14ac:dyDescent="0.35">
      <c r="A637">
        <v>103409793</v>
      </c>
      <c r="B637" t="s">
        <v>4076</v>
      </c>
      <c r="C637" s="2">
        <v>44749</v>
      </c>
      <c r="D637">
        <v>2449</v>
      </c>
      <c r="E637">
        <v>1</v>
      </c>
      <c r="F637">
        <v>1</v>
      </c>
      <c r="G637">
        <v>2449</v>
      </c>
      <c r="H637">
        <v>2449</v>
      </c>
    </row>
    <row r="638" spans="1:8" x14ac:dyDescent="0.35">
      <c r="A638">
        <v>103409797</v>
      </c>
      <c r="B638" t="s">
        <v>4076</v>
      </c>
      <c r="C638" s="2">
        <v>44749</v>
      </c>
      <c r="D638">
        <v>3590.14</v>
      </c>
      <c r="E638">
        <v>1</v>
      </c>
      <c r="F638">
        <v>1</v>
      </c>
      <c r="G638">
        <v>3590.14</v>
      </c>
      <c r="H638">
        <v>3590.14</v>
      </c>
    </row>
    <row r="639" spans="1:8" x14ac:dyDescent="0.35">
      <c r="A639">
        <v>103409801</v>
      </c>
      <c r="B639" t="s">
        <v>4076</v>
      </c>
      <c r="C639" s="2">
        <v>44749</v>
      </c>
      <c r="D639">
        <v>571.99</v>
      </c>
      <c r="E639">
        <v>1</v>
      </c>
      <c r="F639">
        <v>1</v>
      </c>
      <c r="G639">
        <v>571.99</v>
      </c>
      <c r="H639">
        <v>571.99</v>
      </c>
    </row>
    <row r="640" spans="1:8" x14ac:dyDescent="0.35">
      <c r="A640">
        <v>103409810</v>
      </c>
      <c r="B640" t="s">
        <v>4076</v>
      </c>
      <c r="C640" s="2">
        <v>44749</v>
      </c>
      <c r="D640">
        <v>3134.05</v>
      </c>
      <c r="E640">
        <v>1</v>
      </c>
      <c r="F640">
        <v>1</v>
      </c>
      <c r="G640">
        <v>3134.05</v>
      </c>
      <c r="H640">
        <v>3134.05</v>
      </c>
    </row>
    <row r="641" spans="1:8" x14ac:dyDescent="0.35">
      <c r="A641">
        <v>103409817</v>
      </c>
      <c r="B641" t="s">
        <v>4076</v>
      </c>
      <c r="C641" s="2">
        <v>44749</v>
      </c>
      <c r="D641">
        <v>899</v>
      </c>
      <c r="E641">
        <v>1</v>
      </c>
      <c r="F641">
        <v>1</v>
      </c>
      <c r="G641">
        <v>899</v>
      </c>
      <c r="H641">
        <v>899</v>
      </c>
    </row>
    <row r="642" spans="1:8" x14ac:dyDescent="0.35">
      <c r="A642">
        <v>103409818</v>
      </c>
      <c r="B642" t="s">
        <v>4076</v>
      </c>
      <c r="C642" s="2">
        <v>44749</v>
      </c>
      <c r="D642">
        <v>969</v>
      </c>
      <c r="E642">
        <v>1</v>
      </c>
      <c r="F642">
        <v>1</v>
      </c>
      <c r="G642">
        <v>969</v>
      </c>
      <c r="H642">
        <v>969</v>
      </c>
    </row>
    <row r="643" spans="1:8" x14ac:dyDescent="0.35">
      <c r="A643">
        <v>103409833</v>
      </c>
      <c r="B643" t="s">
        <v>4076</v>
      </c>
      <c r="C643" s="2">
        <v>44749</v>
      </c>
      <c r="D643">
        <v>699</v>
      </c>
      <c r="E643">
        <v>1</v>
      </c>
      <c r="F643">
        <v>1</v>
      </c>
      <c r="G643">
        <v>699</v>
      </c>
      <c r="H643">
        <v>699</v>
      </c>
    </row>
    <row r="644" spans="1:8" x14ac:dyDescent="0.35">
      <c r="A644">
        <v>103409834</v>
      </c>
      <c r="B644" t="s">
        <v>4076</v>
      </c>
      <c r="C644" s="2">
        <v>44749</v>
      </c>
      <c r="D644">
        <v>969</v>
      </c>
      <c r="E644">
        <v>1</v>
      </c>
      <c r="F644">
        <v>1</v>
      </c>
      <c r="G644">
        <v>969</v>
      </c>
      <c r="H644">
        <v>969</v>
      </c>
    </row>
    <row r="645" spans="1:8" x14ac:dyDescent="0.35">
      <c r="A645">
        <v>103409839</v>
      </c>
      <c r="B645" t="s">
        <v>4076</v>
      </c>
      <c r="C645" s="2">
        <v>44749</v>
      </c>
      <c r="D645">
        <v>2849.05</v>
      </c>
      <c r="E645">
        <v>1</v>
      </c>
      <c r="F645">
        <v>1</v>
      </c>
      <c r="G645">
        <v>2849.05</v>
      </c>
      <c r="H645">
        <v>2849.05</v>
      </c>
    </row>
    <row r="646" spans="1:8" x14ac:dyDescent="0.35">
      <c r="A646">
        <v>103409842</v>
      </c>
      <c r="B646" t="s">
        <v>4076</v>
      </c>
      <c r="C646" s="2">
        <v>44749</v>
      </c>
      <c r="D646">
        <v>419</v>
      </c>
      <c r="E646">
        <v>1</v>
      </c>
      <c r="F646">
        <v>1</v>
      </c>
      <c r="G646">
        <v>419</v>
      </c>
      <c r="H646">
        <v>419</v>
      </c>
    </row>
    <row r="647" spans="1:8" x14ac:dyDescent="0.35">
      <c r="A647">
        <v>103409845</v>
      </c>
      <c r="B647" t="s">
        <v>4076</v>
      </c>
      <c r="C647" s="2">
        <v>44749</v>
      </c>
      <c r="D647">
        <v>629</v>
      </c>
      <c r="E647">
        <v>1</v>
      </c>
      <c r="F647">
        <v>1</v>
      </c>
      <c r="G647">
        <v>629</v>
      </c>
      <c r="H647">
        <v>629</v>
      </c>
    </row>
    <row r="648" spans="1:8" x14ac:dyDescent="0.35">
      <c r="A648">
        <v>103409846</v>
      </c>
      <c r="B648" t="s">
        <v>4076</v>
      </c>
      <c r="C648" s="2">
        <v>44749</v>
      </c>
      <c r="D648">
        <v>3077.14</v>
      </c>
      <c r="E648">
        <v>1</v>
      </c>
      <c r="F648">
        <v>1</v>
      </c>
      <c r="G648">
        <v>3077.14</v>
      </c>
      <c r="H648">
        <v>3077.14</v>
      </c>
    </row>
    <row r="649" spans="1:8" x14ac:dyDescent="0.35">
      <c r="A649">
        <v>103409853</v>
      </c>
      <c r="B649" t="s">
        <v>4076</v>
      </c>
      <c r="C649" s="2">
        <v>44749</v>
      </c>
      <c r="D649">
        <v>2155.5500000000002</v>
      </c>
      <c r="E649">
        <v>1</v>
      </c>
      <c r="F649">
        <v>1</v>
      </c>
      <c r="G649">
        <v>2155.5500000000002</v>
      </c>
      <c r="H649">
        <v>2155.5500000000002</v>
      </c>
    </row>
    <row r="650" spans="1:8" x14ac:dyDescent="0.35">
      <c r="A650">
        <v>103409859</v>
      </c>
      <c r="B650" t="s">
        <v>4076</v>
      </c>
      <c r="C650" s="2">
        <v>44749</v>
      </c>
      <c r="D650">
        <v>2999</v>
      </c>
      <c r="E650">
        <v>1</v>
      </c>
      <c r="F650">
        <v>1</v>
      </c>
      <c r="G650">
        <v>2999</v>
      </c>
      <c r="H650">
        <v>2999</v>
      </c>
    </row>
    <row r="651" spans="1:8" x14ac:dyDescent="0.35">
      <c r="A651">
        <v>103409868</v>
      </c>
      <c r="B651" t="s">
        <v>4076</v>
      </c>
      <c r="C651" s="2">
        <v>44749</v>
      </c>
      <c r="D651">
        <v>1899.05</v>
      </c>
      <c r="E651">
        <v>1</v>
      </c>
      <c r="F651">
        <v>1</v>
      </c>
      <c r="G651">
        <v>1899.05</v>
      </c>
      <c r="H651">
        <v>1899.05</v>
      </c>
    </row>
    <row r="652" spans="1:8" x14ac:dyDescent="0.35">
      <c r="A652">
        <v>103409871</v>
      </c>
      <c r="B652" t="s">
        <v>4076</v>
      </c>
      <c r="C652" s="2">
        <v>44749</v>
      </c>
      <c r="D652">
        <v>489</v>
      </c>
      <c r="E652">
        <v>1</v>
      </c>
      <c r="F652">
        <v>1</v>
      </c>
      <c r="G652">
        <v>489</v>
      </c>
      <c r="H652">
        <v>489</v>
      </c>
    </row>
    <row r="653" spans="1:8" x14ac:dyDescent="0.35">
      <c r="A653">
        <v>103409875</v>
      </c>
      <c r="B653" t="s">
        <v>4076</v>
      </c>
      <c r="C653" s="2">
        <v>44749</v>
      </c>
      <c r="D653">
        <v>4799</v>
      </c>
      <c r="E653">
        <v>1</v>
      </c>
      <c r="F653">
        <v>1</v>
      </c>
      <c r="G653">
        <v>4799</v>
      </c>
      <c r="H653">
        <v>4799</v>
      </c>
    </row>
    <row r="654" spans="1:8" x14ac:dyDescent="0.35">
      <c r="A654">
        <v>103409885</v>
      </c>
      <c r="B654" t="s">
        <v>4076</v>
      </c>
      <c r="C654" s="2">
        <v>44749</v>
      </c>
      <c r="D654">
        <v>1049</v>
      </c>
      <c r="E654">
        <v>1</v>
      </c>
      <c r="F654">
        <v>1</v>
      </c>
      <c r="G654">
        <v>1049</v>
      </c>
      <c r="H654">
        <v>1049</v>
      </c>
    </row>
    <row r="655" spans="1:8" x14ac:dyDescent="0.35">
      <c r="A655">
        <v>103409886</v>
      </c>
      <c r="B655" t="s">
        <v>4076</v>
      </c>
      <c r="C655" s="2">
        <v>44749</v>
      </c>
      <c r="D655">
        <v>2041.55</v>
      </c>
      <c r="E655">
        <v>1</v>
      </c>
      <c r="F655">
        <v>1</v>
      </c>
      <c r="G655">
        <v>2041.55</v>
      </c>
      <c r="H655">
        <v>2041.55</v>
      </c>
    </row>
    <row r="656" spans="1:8" x14ac:dyDescent="0.35">
      <c r="A656">
        <v>103409893</v>
      </c>
      <c r="B656" t="s">
        <v>4076</v>
      </c>
      <c r="C656" s="2">
        <v>44749</v>
      </c>
      <c r="D656">
        <v>4984.6499999999996</v>
      </c>
      <c r="E656">
        <v>3</v>
      </c>
      <c r="F656">
        <v>1</v>
      </c>
      <c r="G656">
        <v>1661.55</v>
      </c>
      <c r="H656">
        <v>4984.6499999999996</v>
      </c>
    </row>
    <row r="657" spans="1:8" x14ac:dyDescent="0.35">
      <c r="A657">
        <v>103409897</v>
      </c>
      <c r="B657" t="s">
        <v>4076</v>
      </c>
      <c r="C657" s="2">
        <v>44749</v>
      </c>
      <c r="D657">
        <v>3574.45</v>
      </c>
      <c r="E657">
        <v>1</v>
      </c>
      <c r="F657">
        <v>1</v>
      </c>
      <c r="G657">
        <v>3574.45</v>
      </c>
      <c r="H657">
        <v>3574.45</v>
      </c>
    </row>
    <row r="658" spans="1:8" x14ac:dyDescent="0.35">
      <c r="A658">
        <v>103409902</v>
      </c>
      <c r="B658" t="s">
        <v>4076</v>
      </c>
      <c r="C658" s="2">
        <v>44749</v>
      </c>
      <c r="D658">
        <v>1110.6400000000001</v>
      </c>
      <c r="E658">
        <v>1</v>
      </c>
      <c r="F658">
        <v>1</v>
      </c>
      <c r="G658">
        <v>1110.6400000000001</v>
      </c>
      <c r="H658">
        <v>1110.6400000000001</v>
      </c>
    </row>
    <row r="659" spans="1:8" x14ac:dyDescent="0.35">
      <c r="A659">
        <v>103409904</v>
      </c>
      <c r="B659" t="s">
        <v>4076</v>
      </c>
      <c r="C659" s="2">
        <v>44749</v>
      </c>
      <c r="D659">
        <v>1157.0999999999999</v>
      </c>
      <c r="E659">
        <v>2</v>
      </c>
      <c r="F659">
        <v>1</v>
      </c>
      <c r="G659">
        <v>578.54999999999995</v>
      </c>
      <c r="H659">
        <v>1157.0999999999999</v>
      </c>
    </row>
    <row r="660" spans="1:8" x14ac:dyDescent="0.35">
      <c r="A660">
        <v>103409906</v>
      </c>
      <c r="B660" t="s">
        <v>4076</v>
      </c>
      <c r="C660" s="2">
        <v>44749</v>
      </c>
      <c r="D660">
        <v>1025.05</v>
      </c>
      <c r="E660">
        <v>1</v>
      </c>
      <c r="F660">
        <v>1</v>
      </c>
      <c r="G660">
        <v>1025.05</v>
      </c>
      <c r="H660">
        <v>1025.05</v>
      </c>
    </row>
    <row r="661" spans="1:8" x14ac:dyDescent="0.35">
      <c r="A661">
        <v>103409907</v>
      </c>
      <c r="B661" t="s">
        <v>4076</v>
      </c>
      <c r="C661" s="2">
        <v>44749</v>
      </c>
      <c r="D661">
        <v>1451.6</v>
      </c>
      <c r="E661">
        <v>2</v>
      </c>
      <c r="F661">
        <v>1</v>
      </c>
      <c r="G661">
        <v>725.8</v>
      </c>
      <c r="H661">
        <v>1451.6</v>
      </c>
    </row>
    <row r="662" spans="1:8" x14ac:dyDescent="0.35">
      <c r="A662">
        <v>103409909</v>
      </c>
      <c r="B662" t="s">
        <v>4076</v>
      </c>
      <c r="C662" s="2">
        <v>44749</v>
      </c>
      <c r="D662">
        <v>521.54999999999995</v>
      </c>
      <c r="E662">
        <v>1</v>
      </c>
      <c r="F662">
        <v>1</v>
      </c>
      <c r="G662">
        <v>521.54999999999995</v>
      </c>
      <c r="H662">
        <v>521.54999999999995</v>
      </c>
    </row>
    <row r="663" spans="1:8" x14ac:dyDescent="0.35">
      <c r="A663">
        <v>103409911</v>
      </c>
      <c r="B663" t="s">
        <v>4076</v>
      </c>
      <c r="C663" s="2">
        <v>44749</v>
      </c>
      <c r="D663">
        <v>1310.05</v>
      </c>
      <c r="E663">
        <v>1</v>
      </c>
      <c r="F663">
        <v>1</v>
      </c>
      <c r="G663">
        <v>1310.05</v>
      </c>
      <c r="H663">
        <v>1310.05</v>
      </c>
    </row>
    <row r="664" spans="1:8" x14ac:dyDescent="0.35">
      <c r="A664">
        <v>103409915</v>
      </c>
      <c r="B664" t="s">
        <v>4076</v>
      </c>
      <c r="C664" s="2">
        <v>44749</v>
      </c>
      <c r="D664">
        <v>4008.05</v>
      </c>
      <c r="E664">
        <v>1</v>
      </c>
      <c r="F664">
        <v>1</v>
      </c>
      <c r="G664">
        <v>4008.05</v>
      </c>
      <c r="H664">
        <v>4008.05</v>
      </c>
    </row>
    <row r="665" spans="1:8" x14ac:dyDescent="0.35">
      <c r="A665">
        <v>103409923</v>
      </c>
      <c r="B665" t="s">
        <v>4076</v>
      </c>
      <c r="C665" s="2">
        <v>44749</v>
      </c>
      <c r="D665">
        <v>2999</v>
      </c>
      <c r="E665">
        <v>1</v>
      </c>
      <c r="F665">
        <v>1</v>
      </c>
      <c r="G665">
        <v>2999</v>
      </c>
      <c r="H665">
        <v>2999</v>
      </c>
    </row>
    <row r="666" spans="1:8" x14ac:dyDescent="0.35">
      <c r="A666">
        <v>103409926</v>
      </c>
      <c r="B666" t="s">
        <v>4076</v>
      </c>
      <c r="C666" s="2">
        <v>44749</v>
      </c>
      <c r="D666">
        <v>1249</v>
      </c>
      <c r="E666">
        <v>1</v>
      </c>
      <c r="F666">
        <v>1</v>
      </c>
      <c r="G666">
        <v>1249</v>
      </c>
      <c r="H666">
        <v>1249</v>
      </c>
    </row>
    <row r="667" spans="1:8" x14ac:dyDescent="0.35">
      <c r="A667">
        <v>103409941</v>
      </c>
      <c r="B667" t="s">
        <v>4076</v>
      </c>
      <c r="C667" s="2">
        <v>44749</v>
      </c>
      <c r="D667">
        <v>569.04999999999995</v>
      </c>
      <c r="E667">
        <v>1</v>
      </c>
      <c r="F667">
        <v>1</v>
      </c>
      <c r="G667">
        <v>569.04999999999995</v>
      </c>
      <c r="H667">
        <v>569.04999999999995</v>
      </c>
    </row>
    <row r="668" spans="1:8" x14ac:dyDescent="0.35">
      <c r="A668">
        <v>103409945</v>
      </c>
      <c r="B668" t="s">
        <v>4076</v>
      </c>
      <c r="C668" s="2">
        <v>44749</v>
      </c>
      <c r="D668">
        <v>4899</v>
      </c>
      <c r="E668">
        <v>1</v>
      </c>
      <c r="F668">
        <v>1</v>
      </c>
      <c r="G668">
        <v>4899</v>
      </c>
      <c r="H668">
        <v>4899</v>
      </c>
    </row>
    <row r="669" spans="1:8" x14ac:dyDescent="0.35">
      <c r="A669">
        <v>103409953</v>
      </c>
      <c r="B669" t="s">
        <v>4076</v>
      </c>
      <c r="C669" s="2">
        <v>44749</v>
      </c>
      <c r="D669">
        <v>1799.1</v>
      </c>
      <c r="E669">
        <v>1</v>
      </c>
      <c r="F669">
        <v>1</v>
      </c>
      <c r="G669">
        <v>1799.1</v>
      </c>
      <c r="H669">
        <v>1799.1</v>
      </c>
    </row>
    <row r="670" spans="1:8" x14ac:dyDescent="0.35">
      <c r="A670">
        <v>103409954</v>
      </c>
      <c r="B670" t="s">
        <v>4076</v>
      </c>
      <c r="C670" s="2">
        <v>44749</v>
      </c>
      <c r="D670">
        <v>2345.5500000000002</v>
      </c>
      <c r="E670">
        <v>1</v>
      </c>
      <c r="F670">
        <v>1</v>
      </c>
      <c r="G670">
        <v>2345.5500000000002</v>
      </c>
      <c r="H670">
        <v>2345.5500000000002</v>
      </c>
    </row>
    <row r="671" spans="1:8" x14ac:dyDescent="0.35">
      <c r="A671">
        <v>103409961</v>
      </c>
      <c r="B671" t="s">
        <v>4076</v>
      </c>
      <c r="C671" s="2">
        <v>44749</v>
      </c>
      <c r="D671">
        <v>6174.05</v>
      </c>
      <c r="E671">
        <v>1</v>
      </c>
      <c r="F671">
        <v>1</v>
      </c>
      <c r="G671">
        <v>6174.05</v>
      </c>
      <c r="H671">
        <v>6174.05</v>
      </c>
    </row>
    <row r="672" spans="1:8" x14ac:dyDescent="0.35">
      <c r="A672">
        <v>103409962</v>
      </c>
      <c r="B672" t="s">
        <v>4076</v>
      </c>
      <c r="C672" s="2">
        <v>44749</v>
      </c>
      <c r="D672">
        <v>1838</v>
      </c>
      <c r="E672">
        <v>2</v>
      </c>
      <c r="F672">
        <v>1</v>
      </c>
      <c r="G672">
        <v>919</v>
      </c>
      <c r="H672">
        <v>1838</v>
      </c>
    </row>
    <row r="673" spans="1:8" x14ac:dyDescent="0.35">
      <c r="A673">
        <v>103409964</v>
      </c>
      <c r="B673" t="s">
        <v>4076</v>
      </c>
      <c r="C673" s="2">
        <v>44749</v>
      </c>
      <c r="D673">
        <v>3304.1</v>
      </c>
      <c r="E673">
        <v>2</v>
      </c>
      <c r="F673">
        <v>1</v>
      </c>
      <c r="G673">
        <v>1652.05</v>
      </c>
      <c r="H673">
        <v>3304.1</v>
      </c>
    </row>
    <row r="674" spans="1:8" x14ac:dyDescent="0.35">
      <c r="A674">
        <v>103409970</v>
      </c>
      <c r="B674" t="s">
        <v>4076</v>
      </c>
      <c r="C674" s="2">
        <v>44749</v>
      </c>
      <c r="D674">
        <v>768.55</v>
      </c>
      <c r="E674">
        <v>1</v>
      </c>
      <c r="F674">
        <v>1</v>
      </c>
      <c r="G674">
        <v>768.55</v>
      </c>
      <c r="H674">
        <v>768.55</v>
      </c>
    </row>
    <row r="675" spans="1:8" x14ac:dyDescent="0.35">
      <c r="A675">
        <v>103409971</v>
      </c>
      <c r="B675" t="s">
        <v>4076</v>
      </c>
      <c r="C675" s="2">
        <v>44749</v>
      </c>
      <c r="D675">
        <v>2269</v>
      </c>
      <c r="E675">
        <v>1</v>
      </c>
      <c r="F675">
        <v>1</v>
      </c>
      <c r="G675">
        <v>2269</v>
      </c>
      <c r="H675">
        <v>2269</v>
      </c>
    </row>
    <row r="676" spans="1:8" x14ac:dyDescent="0.35">
      <c r="A676">
        <v>103409975</v>
      </c>
      <c r="B676" t="s">
        <v>4076</v>
      </c>
      <c r="C676" s="2">
        <v>44749</v>
      </c>
      <c r="D676">
        <v>5229.75</v>
      </c>
      <c r="E676">
        <v>5</v>
      </c>
      <c r="F676">
        <v>1</v>
      </c>
      <c r="G676">
        <v>1045.95</v>
      </c>
      <c r="H676">
        <v>5229.75</v>
      </c>
    </row>
    <row r="677" spans="1:8" x14ac:dyDescent="0.35">
      <c r="A677">
        <v>103409981</v>
      </c>
      <c r="B677" t="s">
        <v>4076</v>
      </c>
      <c r="C677" s="2">
        <v>44749</v>
      </c>
      <c r="D677">
        <v>635.54999999999995</v>
      </c>
      <c r="E677">
        <v>1</v>
      </c>
      <c r="F677">
        <v>1</v>
      </c>
      <c r="G677">
        <v>635.54999999999995</v>
      </c>
      <c r="H677">
        <v>635.54999999999995</v>
      </c>
    </row>
    <row r="678" spans="1:8" x14ac:dyDescent="0.35">
      <c r="A678">
        <v>103409982</v>
      </c>
      <c r="B678" t="s">
        <v>4076</v>
      </c>
      <c r="C678" s="2">
        <v>44749</v>
      </c>
      <c r="D678">
        <v>797.05</v>
      </c>
      <c r="E678">
        <v>1</v>
      </c>
      <c r="F678">
        <v>1</v>
      </c>
      <c r="G678">
        <v>797.05</v>
      </c>
      <c r="H678">
        <v>797.05</v>
      </c>
    </row>
    <row r="679" spans="1:8" x14ac:dyDescent="0.35">
      <c r="A679">
        <v>103409985</v>
      </c>
      <c r="B679" t="s">
        <v>4076</v>
      </c>
      <c r="C679" s="2">
        <v>44749</v>
      </c>
      <c r="D679">
        <v>740.05</v>
      </c>
      <c r="E679">
        <v>1</v>
      </c>
      <c r="F679">
        <v>1</v>
      </c>
      <c r="G679">
        <v>740.05</v>
      </c>
      <c r="H679">
        <v>740.05</v>
      </c>
    </row>
    <row r="680" spans="1:8" x14ac:dyDescent="0.35">
      <c r="A680">
        <v>103409991</v>
      </c>
      <c r="B680" t="s">
        <v>4076</v>
      </c>
      <c r="C680" s="2">
        <v>44749</v>
      </c>
      <c r="D680">
        <v>512.04999999999995</v>
      </c>
      <c r="E680">
        <v>1</v>
      </c>
      <c r="F680">
        <v>1</v>
      </c>
      <c r="G680">
        <v>512.04999999999995</v>
      </c>
      <c r="H680">
        <v>512.04999999999995</v>
      </c>
    </row>
    <row r="681" spans="1:8" x14ac:dyDescent="0.35">
      <c r="A681">
        <v>103409995</v>
      </c>
      <c r="B681" t="s">
        <v>4076</v>
      </c>
      <c r="C681" s="2">
        <v>44749</v>
      </c>
      <c r="D681">
        <v>1379</v>
      </c>
      <c r="E681">
        <v>1</v>
      </c>
      <c r="F681">
        <v>1</v>
      </c>
      <c r="G681">
        <v>1379</v>
      </c>
      <c r="H681">
        <v>1379</v>
      </c>
    </row>
    <row r="682" spans="1:8" x14ac:dyDescent="0.35">
      <c r="A682">
        <v>103409996</v>
      </c>
      <c r="B682" t="s">
        <v>4076</v>
      </c>
      <c r="C682" s="2">
        <v>44749</v>
      </c>
      <c r="D682">
        <v>2919</v>
      </c>
      <c r="E682">
        <v>1</v>
      </c>
      <c r="F682">
        <v>1</v>
      </c>
      <c r="G682">
        <v>2919</v>
      </c>
      <c r="H682">
        <v>2919</v>
      </c>
    </row>
    <row r="683" spans="1:8" x14ac:dyDescent="0.35">
      <c r="A683">
        <v>103410007</v>
      </c>
      <c r="B683" t="s">
        <v>4076</v>
      </c>
      <c r="C683" s="2">
        <v>44749</v>
      </c>
      <c r="D683">
        <v>1922.89</v>
      </c>
      <c r="E683">
        <v>1</v>
      </c>
      <c r="F683">
        <v>1</v>
      </c>
      <c r="G683">
        <v>1922.89</v>
      </c>
      <c r="H683">
        <v>1922.89</v>
      </c>
    </row>
    <row r="684" spans="1:8" x14ac:dyDescent="0.35">
      <c r="A684">
        <v>103410008</v>
      </c>
      <c r="B684" t="s">
        <v>4076</v>
      </c>
      <c r="C684" s="2">
        <v>44749</v>
      </c>
      <c r="D684">
        <v>3599</v>
      </c>
      <c r="E684">
        <v>1</v>
      </c>
      <c r="F684">
        <v>1</v>
      </c>
      <c r="G684">
        <v>3599</v>
      </c>
      <c r="H684">
        <v>3599</v>
      </c>
    </row>
    <row r="685" spans="1:8" x14ac:dyDescent="0.35">
      <c r="A685">
        <v>103410010</v>
      </c>
      <c r="B685" t="s">
        <v>4076</v>
      </c>
      <c r="C685" s="2">
        <v>44749</v>
      </c>
      <c r="D685">
        <v>6613.2</v>
      </c>
      <c r="E685">
        <v>2</v>
      </c>
      <c r="F685">
        <v>1</v>
      </c>
      <c r="G685">
        <v>3306.6</v>
      </c>
      <c r="H685">
        <v>6613.2</v>
      </c>
    </row>
    <row r="686" spans="1:8" x14ac:dyDescent="0.35">
      <c r="A686">
        <v>103410013</v>
      </c>
      <c r="B686" t="s">
        <v>4076</v>
      </c>
      <c r="C686" s="2">
        <v>44749</v>
      </c>
      <c r="D686">
        <v>3849</v>
      </c>
      <c r="E686">
        <v>1</v>
      </c>
      <c r="F686">
        <v>1</v>
      </c>
      <c r="G686">
        <v>3849</v>
      </c>
      <c r="H686">
        <v>3849</v>
      </c>
    </row>
    <row r="687" spans="1:8" x14ac:dyDescent="0.35">
      <c r="A687">
        <v>103410017</v>
      </c>
      <c r="B687" t="s">
        <v>4076</v>
      </c>
      <c r="C687" s="2">
        <v>44749</v>
      </c>
      <c r="D687">
        <v>5603.1</v>
      </c>
      <c r="E687">
        <v>2</v>
      </c>
      <c r="F687">
        <v>1</v>
      </c>
      <c r="G687">
        <v>2801.55</v>
      </c>
      <c r="H687">
        <v>5603.1</v>
      </c>
    </row>
    <row r="688" spans="1:8" x14ac:dyDescent="0.35">
      <c r="A688">
        <v>103410019</v>
      </c>
      <c r="B688" t="s">
        <v>4076</v>
      </c>
      <c r="C688" s="2">
        <v>44749</v>
      </c>
      <c r="D688">
        <v>1269</v>
      </c>
      <c r="E688">
        <v>1</v>
      </c>
      <c r="F688">
        <v>1</v>
      </c>
      <c r="G688">
        <v>1269</v>
      </c>
      <c r="H688">
        <v>1269</v>
      </c>
    </row>
    <row r="689" spans="1:8" x14ac:dyDescent="0.35">
      <c r="A689">
        <v>103410026</v>
      </c>
      <c r="B689" t="s">
        <v>4076</v>
      </c>
      <c r="C689" s="2">
        <v>44749</v>
      </c>
      <c r="D689">
        <v>4999</v>
      </c>
      <c r="E689">
        <v>1</v>
      </c>
      <c r="F689">
        <v>1</v>
      </c>
      <c r="G689">
        <v>4999</v>
      </c>
      <c r="H689">
        <v>4999</v>
      </c>
    </row>
    <row r="690" spans="1:8" x14ac:dyDescent="0.35">
      <c r="A690">
        <v>103410029</v>
      </c>
      <c r="B690" t="s">
        <v>4076</v>
      </c>
      <c r="C690" s="2">
        <v>44749</v>
      </c>
      <c r="D690">
        <v>4999</v>
      </c>
      <c r="E690">
        <v>1</v>
      </c>
      <c r="F690">
        <v>1</v>
      </c>
      <c r="G690">
        <v>4999</v>
      </c>
      <c r="H690">
        <v>4999</v>
      </c>
    </row>
    <row r="691" spans="1:8" x14ac:dyDescent="0.35">
      <c r="A691">
        <v>103410035</v>
      </c>
      <c r="B691" t="s">
        <v>4076</v>
      </c>
      <c r="C691" s="2">
        <v>44749</v>
      </c>
      <c r="D691">
        <v>2238</v>
      </c>
      <c r="E691">
        <v>2</v>
      </c>
      <c r="F691">
        <v>1</v>
      </c>
      <c r="G691">
        <v>1119</v>
      </c>
      <c r="H691">
        <v>2238</v>
      </c>
    </row>
    <row r="692" spans="1:8" x14ac:dyDescent="0.35">
      <c r="A692">
        <v>103410041</v>
      </c>
      <c r="B692" t="s">
        <v>4076</v>
      </c>
      <c r="C692" s="2">
        <v>44749</v>
      </c>
      <c r="D692">
        <v>4103.1400000000003</v>
      </c>
      <c r="E692">
        <v>1</v>
      </c>
      <c r="F692">
        <v>1</v>
      </c>
      <c r="G692">
        <v>4103.1400000000003</v>
      </c>
      <c r="H692">
        <v>4103.1400000000003</v>
      </c>
    </row>
    <row r="693" spans="1:8" x14ac:dyDescent="0.35">
      <c r="A693">
        <v>103410047</v>
      </c>
      <c r="B693" t="s">
        <v>4076</v>
      </c>
      <c r="C693" s="2">
        <v>44749</v>
      </c>
      <c r="D693">
        <v>768.55</v>
      </c>
      <c r="E693">
        <v>1</v>
      </c>
      <c r="F693">
        <v>1</v>
      </c>
      <c r="G693">
        <v>768.55</v>
      </c>
      <c r="H693">
        <v>768.55</v>
      </c>
    </row>
    <row r="694" spans="1:8" x14ac:dyDescent="0.35">
      <c r="A694">
        <v>103410048</v>
      </c>
      <c r="B694" t="s">
        <v>4076</v>
      </c>
      <c r="C694" s="2">
        <v>44749</v>
      </c>
      <c r="D694">
        <v>1918</v>
      </c>
      <c r="E694">
        <v>2</v>
      </c>
      <c r="F694">
        <v>1</v>
      </c>
      <c r="G694">
        <v>959</v>
      </c>
      <c r="H694">
        <v>1918</v>
      </c>
    </row>
    <row r="695" spans="1:8" x14ac:dyDescent="0.35">
      <c r="A695">
        <v>103410057</v>
      </c>
      <c r="B695" t="s">
        <v>4076</v>
      </c>
      <c r="C695" s="2">
        <v>44749</v>
      </c>
      <c r="D695">
        <v>1775.55</v>
      </c>
      <c r="E695">
        <v>1</v>
      </c>
      <c r="F695">
        <v>1</v>
      </c>
      <c r="G695">
        <v>1775.55</v>
      </c>
      <c r="H695">
        <v>1775.55</v>
      </c>
    </row>
    <row r="696" spans="1:8" x14ac:dyDescent="0.35">
      <c r="A696">
        <v>103410059</v>
      </c>
      <c r="B696" t="s">
        <v>4076</v>
      </c>
      <c r="C696" s="2">
        <v>44749</v>
      </c>
      <c r="D696">
        <v>1499</v>
      </c>
      <c r="E696">
        <v>1</v>
      </c>
      <c r="F696">
        <v>1</v>
      </c>
      <c r="G696">
        <v>1499</v>
      </c>
      <c r="H696">
        <v>1499</v>
      </c>
    </row>
    <row r="697" spans="1:8" x14ac:dyDescent="0.35">
      <c r="A697">
        <v>103410067</v>
      </c>
      <c r="B697" t="s">
        <v>4076</v>
      </c>
      <c r="C697" s="2">
        <v>44749</v>
      </c>
      <c r="D697">
        <v>9999</v>
      </c>
      <c r="E697">
        <v>1</v>
      </c>
      <c r="F697">
        <v>1</v>
      </c>
      <c r="G697">
        <v>9999</v>
      </c>
      <c r="H697">
        <v>9999</v>
      </c>
    </row>
    <row r="698" spans="1:8" x14ac:dyDescent="0.35">
      <c r="A698">
        <v>103410068</v>
      </c>
      <c r="B698" t="s">
        <v>4076</v>
      </c>
      <c r="C698" s="2">
        <v>44749</v>
      </c>
      <c r="D698">
        <v>1399</v>
      </c>
      <c r="E698">
        <v>1</v>
      </c>
      <c r="F698">
        <v>1</v>
      </c>
      <c r="G698">
        <v>1399</v>
      </c>
      <c r="H698">
        <v>1399</v>
      </c>
    </row>
    <row r="699" spans="1:8" x14ac:dyDescent="0.35">
      <c r="A699">
        <v>103410074</v>
      </c>
      <c r="B699" t="s">
        <v>4076</v>
      </c>
      <c r="C699" s="2">
        <v>44749</v>
      </c>
      <c r="D699">
        <v>3499</v>
      </c>
      <c r="E699">
        <v>1</v>
      </c>
      <c r="F699">
        <v>1</v>
      </c>
      <c r="G699">
        <v>3499</v>
      </c>
      <c r="H699">
        <v>3499</v>
      </c>
    </row>
    <row r="700" spans="1:8" x14ac:dyDescent="0.35">
      <c r="A700">
        <v>103410077</v>
      </c>
      <c r="B700" t="s">
        <v>4076</v>
      </c>
      <c r="C700" s="2">
        <v>44749</v>
      </c>
      <c r="D700">
        <v>740.05</v>
      </c>
      <c r="E700">
        <v>1</v>
      </c>
      <c r="F700">
        <v>1</v>
      </c>
      <c r="G700">
        <v>740.05</v>
      </c>
      <c r="H700">
        <v>740.05</v>
      </c>
    </row>
    <row r="701" spans="1:8" x14ac:dyDescent="0.35">
      <c r="A701">
        <v>103410080</v>
      </c>
      <c r="B701" t="s">
        <v>4076</v>
      </c>
      <c r="C701" s="2">
        <v>44749</v>
      </c>
      <c r="D701">
        <v>1678</v>
      </c>
      <c r="E701">
        <v>2</v>
      </c>
      <c r="F701">
        <v>1</v>
      </c>
      <c r="G701">
        <v>839</v>
      </c>
      <c r="H701">
        <v>1678</v>
      </c>
    </row>
    <row r="702" spans="1:8" x14ac:dyDescent="0.35">
      <c r="A702">
        <v>103410082</v>
      </c>
      <c r="B702" t="s">
        <v>4076</v>
      </c>
      <c r="C702" s="2">
        <v>44749</v>
      </c>
      <c r="D702">
        <v>1199</v>
      </c>
      <c r="E702">
        <v>1</v>
      </c>
      <c r="F702">
        <v>1</v>
      </c>
      <c r="G702">
        <v>1199</v>
      </c>
      <c r="H702">
        <v>1199</v>
      </c>
    </row>
    <row r="703" spans="1:8" x14ac:dyDescent="0.35">
      <c r="A703">
        <v>103410084</v>
      </c>
      <c r="B703" t="s">
        <v>4076</v>
      </c>
      <c r="C703" s="2">
        <v>44749</v>
      </c>
      <c r="D703">
        <v>2199</v>
      </c>
      <c r="E703">
        <v>1</v>
      </c>
      <c r="F703">
        <v>1</v>
      </c>
      <c r="G703">
        <v>2199</v>
      </c>
      <c r="H703">
        <v>2199</v>
      </c>
    </row>
    <row r="704" spans="1:8" x14ac:dyDescent="0.35">
      <c r="A704">
        <v>103410096</v>
      </c>
      <c r="B704" t="s">
        <v>4076</v>
      </c>
      <c r="C704" s="2">
        <v>44749</v>
      </c>
      <c r="D704">
        <v>1369</v>
      </c>
      <c r="E704">
        <v>1</v>
      </c>
      <c r="F704">
        <v>1</v>
      </c>
      <c r="G704">
        <v>1369</v>
      </c>
      <c r="H704">
        <v>1369</v>
      </c>
    </row>
    <row r="705" spans="1:8" x14ac:dyDescent="0.35">
      <c r="A705">
        <v>103410099</v>
      </c>
      <c r="B705" t="s">
        <v>4076</v>
      </c>
      <c r="C705" s="2">
        <v>44749</v>
      </c>
      <c r="D705">
        <v>1196.05</v>
      </c>
      <c r="E705">
        <v>1</v>
      </c>
      <c r="F705">
        <v>1</v>
      </c>
      <c r="G705">
        <v>1196.05</v>
      </c>
      <c r="H705">
        <v>1196.05</v>
      </c>
    </row>
    <row r="706" spans="1:8" x14ac:dyDescent="0.35">
      <c r="A706">
        <v>103410100</v>
      </c>
      <c r="B706" t="s">
        <v>4076</v>
      </c>
      <c r="C706" s="2">
        <v>44749</v>
      </c>
      <c r="D706">
        <v>3704.05</v>
      </c>
      <c r="E706">
        <v>1</v>
      </c>
      <c r="F706">
        <v>1</v>
      </c>
      <c r="G706">
        <v>3704.05</v>
      </c>
      <c r="H706">
        <v>3704.05</v>
      </c>
    </row>
    <row r="707" spans="1:8" x14ac:dyDescent="0.35">
      <c r="A707">
        <v>103410109</v>
      </c>
      <c r="B707" t="s">
        <v>4076</v>
      </c>
      <c r="C707" s="2">
        <v>44749</v>
      </c>
      <c r="D707">
        <v>768.55</v>
      </c>
      <c r="E707">
        <v>1</v>
      </c>
      <c r="F707">
        <v>1</v>
      </c>
      <c r="G707">
        <v>768.55</v>
      </c>
      <c r="H707">
        <v>768.55</v>
      </c>
    </row>
    <row r="708" spans="1:8" x14ac:dyDescent="0.35">
      <c r="A708">
        <v>103410113</v>
      </c>
      <c r="B708" t="s">
        <v>4076</v>
      </c>
      <c r="C708" s="2">
        <v>44749</v>
      </c>
      <c r="D708">
        <v>3521.65</v>
      </c>
      <c r="E708">
        <v>3</v>
      </c>
      <c r="F708">
        <v>1</v>
      </c>
      <c r="G708">
        <v>1173.88333333333</v>
      </c>
      <c r="H708">
        <v>3521.65</v>
      </c>
    </row>
    <row r="709" spans="1:8" x14ac:dyDescent="0.35">
      <c r="A709">
        <v>103410117</v>
      </c>
      <c r="B709" t="s">
        <v>4076</v>
      </c>
      <c r="C709" s="2">
        <v>44749</v>
      </c>
      <c r="D709">
        <v>2029.72</v>
      </c>
      <c r="E709">
        <v>1</v>
      </c>
      <c r="F709">
        <v>1</v>
      </c>
      <c r="G709">
        <v>2029.72</v>
      </c>
      <c r="H709">
        <v>2029.72</v>
      </c>
    </row>
    <row r="710" spans="1:8" x14ac:dyDescent="0.35">
      <c r="A710">
        <v>103410121</v>
      </c>
      <c r="B710" t="s">
        <v>4076</v>
      </c>
      <c r="C710" s="2">
        <v>44749</v>
      </c>
      <c r="D710">
        <v>4273.29</v>
      </c>
      <c r="E710">
        <v>2</v>
      </c>
      <c r="F710">
        <v>1</v>
      </c>
      <c r="G710">
        <v>2136.645</v>
      </c>
      <c r="H710">
        <v>4273.29</v>
      </c>
    </row>
    <row r="711" spans="1:8" x14ac:dyDescent="0.35">
      <c r="A711">
        <v>103410123</v>
      </c>
      <c r="B711" t="s">
        <v>4076</v>
      </c>
      <c r="C711" s="2">
        <v>44749</v>
      </c>
      <c r="D711">
        <v>2699.1</v>
      </c>
      <c r="E711">
        <v>1</v>
      </c>
      <c r="F711">
        <v>1</v>
      </c>
      <c r="G711">
        <v>2699.1</v>
      </c>
      <c r="H711">
        <v>2699.1</v>
      </c>
    </row>
    <row r="712" spans="1:8" x14ac:dyDescent="0.35">
      <c r="A712">
        <v>103410128</v>
      </c>
      <c r="B712" t="s">
        <v>4076</v>
      </c>
      <c r="C712" s="2">
        <v>44749</v>
      </c>
      <c r="D712">
        <v>1299</v>
      </c>
      <c r="E712">
        <v>1</v>
      </c>
      <c r="F712">
        <v>1</v>
      </c>
      <c r="G712">
        <v>1299</v>
      </c>
      <c r="H712">
        <v>1299</v>
      </c>
    </row>
    <row r="713" spans="1:8" x14ac:dyDescent="0.35">
      <c r="A713">
        <v>103410134</v>
      </c>
      <c r="B713" t="s">
        <v>4076</v>
      </c>
      <c r="C713" s="2">
        <v>44749</v>
      </c>
      <c r="D713">
        <v>1110.55</v>
      </c>
      <c r="E713">
        <v>1</v>
      </c>
      <c r="F713">
        <v>1</v>
      </c>
      <c r="G713">
        <v>1110.55</v>
      </c>
      <c r="H713">
        <v>1110.55</v>
      </c>
    </row>
    <row r="714" spans="1:8" x14ac:dyDescent="0.35">
      <c r="A714">
        <v>103410141</v>
      </c>
      <c r="B714" t="s">
        <v>4076</v>
      </c>
      <c r="C714" s="2">
        <v>44749</v>
      </c>
      <c r="D714">
        <v>1399</v>
      </c>
      <c r="E714">
        <v>1</v>
      </c>
      <c r="F714">
        <v>1</v>
      </c>
      <c r="G714">
        <v>1399</v>
      </c>
      <c r="H714">
        <v>1399</v>
      </c>
    </row>
    <row r="715" spans="1:8" x14ac:dyDescent="0.35">
      <c r="A715">
        <v>103410158</v>
      </c>
      <c r="B715" t="s">
        <v>4076</v>
      </c>
      <c r="C715" s="2">
        <v>44749</v>
      </c>
      <c r="D715">
        <v>4859.1000000000004</v>
      </c>
      <c r="E715">
        <v>1</v>
      </c>
      <c r="F715">
        <v>1</v>
      </c>
      <c r="G715">
        <v>4859.1000000000004</v>
      </c>
      <c r="H715">
        <v>4859.1000000000004</v>
      </c>
    </row>
    <row r="716" spans="1:8" x14ac:dyDescent="0.35">
      <c r="A716">
        <v>103410160</v>
      </c>
      <c r="B716" t="s">
        <v>4076</v>
      </c>
      <c r="C716" s="2">
        <v>44749</v>
      </c>
      <c r="D716">
        <v>2757.37</v>
      </c>
      <c r="E716">
        <v>5</v>
      </c>
      <c r="F716">
        <v>1</v>
      </c>
      <c r="G716">
        <v>551.47399999999902</v>
      </c>
      <c r="H716">
        <v>2757.37</v>
      </c>
    </row>
    <row r="717" spans="1:8" x14ac:dyDescent="0.35">
      <c r="A717">
        <v>103410164</v>
      </c>
      <c r="B717" t="s">
        <v>4076</v>
      </c>
      <c r="C717" s="2">
        <v>44749</v>
      </c>
      <c r="D717">
        <v>2991.64</v>
      </c>
      <c r="E717">
        <v>1</v>
      </c>
      <c r="F717">
        <v>1</v>
      </c>
      <c r="G717">
        <v>2991.64</v>
      </c>
      <c r="H717">
        <v>2991.64</v>
      </c>
    </row>
    <row r="718" spans="1:8" x14ac:dyDescent="0.35">
      <c r="A718">
        <v>103410174</v>
      </c>
      <c r="B718" t="s">
        <v>4076</v>
      </c>
      <c r="C718" s="2">
        <v>44749</v>
      </c>
      <c r="D718">
        <v>799</v>
      </c>
      <c r="E718">
        <v>1</v>
      </c>
      <c r="F718">
        <v>1</v>
      </c>
      <c r="G718">
        <v>799</v>
      </c>
      <c r="H718">
        <v>799</v>
      </c>
    </row>
    <row r="719" spans="1:8" x14ac:dyDescent="0.35">
      <c r="A719">
        <v>103410175</v>
      </c>
      <c r="B719" t="s">
        <v>4076</v>
      </c>
      <c r="C719" s="2">
        <v>44749</v>
      </c>
      <c r="D719">
        <v>1798</v>
      </c>
      <c r="E719">
        <v>2</v>
      </c>
      <c r="F719">
        <v>1</v>
      </c>
      <c r="G719">
        <v>899</v>
      </c>
      <c r="H719">
        <v>1798</v>
      </c>
    </row>
    <row r="720" spans="1:8" x14ac:dyDescent="0.35">
      <c r="A720">
        <v>103410177</v>
      </c>
      <c r="B720" t="s">
        <v>4076</v>
      </c>
      <c r="C720" s="2">
        <v>44749</v>
      </c>
      <c r="D720">
        <v>2849.05</v>
      </c>
      <c r="E720">
        <v>1</v>
      </c>
      <c r="F720">
        <v>1</v>
      </c>
      <c r="G720">
        <v>2849.05</v>
      </c>
      <c r="H720">
        <v>2849.05</v>
      </c>
    </row>
    <row r="721" spans="1:8" x14ac:dyDescent="0.35">
      <c r="A721">
        <v>103410183</v>
      </c>
      <c r="B721" t="s">
        <v>4076</v>
      </c>
      <c r="C721" s="2">
        <v>44749</v>
      </c>
      <c r="D721">
        <v>2469</v>
      </c>
      <c r="E721">
        <v>1</v>
      </c>
      <c r="F721">
        <v>1</v>
      </c>
      <c r="G721">
        <v>2469</v>
      </c>
      <c r="H721">
        <v>2469</v>
      </c>
    </row>
    <row r="722" spans="1:8" x14ac:dyDescent="0.35">
      <c r="A722">
        <v>103410184</v>
      </c>
      <c r="B722" t="s">
        <v>4076</v>
      </c>
      <c r="C722" s="2">
        <v>44749</v>
      </c>
      <c r="D722">
        <v>2339.1</v>
      </c>
      <c r="E722">
        <v>1</v>
      </c>
      <c r="F722">
        <v>1</v>
      </c>
      <c r="G722">
        <v>2339.1</v>
      </c>
      <c r="H722">
        <v>2339.1</v>
      </c>
    </row>
    <row r="723" spans="1:8" x14ac:dyDescent="0.35">
      <c r="A723">
        <v>103410195</v>
      </c>
      <c r="B723" t="s">
        <v>4076</v>
      </c>
      <c r="C723" s="2">
        <v>44749</v>
      </c>
      <c r="D723">
        <v>1999</v>
      </c>
      <c r="E723">
        <v>1</v>
      </c>
      <c r="F723">
        <v>1</v>
      </c>
      <c r="G723">
        <v>1999</v>
      </c>
      <c r="H723">
        <v>1999</v>
      </c>
    </row>
    <row r="724" spans="1:8" x14ac:dyDescent="0.35">
      <c r="A724">
        <v>103410213</v>
      </c>
      <c r="B724" t="s">
        <v>4076</v>
      </c>
      <c r="C724" s="2">
        <v>44749</v>
      </c>
      <c r="D724">
        <v>1499</v>
      </c>
      <c r="E724">
        <v>1</v>
      </c>
      <c r="F724">
        <v>1</v>
      </c>
      <c r="G724">
        <v>1499</v>
      </c>
      <c r="H724">
        <v>1499</v>
      </c>
    </row>
    <row r="725" spans="1:8" x14ac:dyDescent="0.35">
      <c r="A725">
        <v>103410217</v>
      </c>
      <c r="B725" t="s">
        <v>4076</v>
      </c>
      <c r="C725" s="2">
        <v>44749</v>
      </c>
      <c r="D725">
        <v>1300.55</v>
      </c>
      <c r="E725">
        <v>1</v>
      </c>
      <c r="F725">
        <v>1</v>
      </c>
      <c r="G725">
        <v>1300.55</v>
      </c>
      <c r="H725">
        <v>1300.55</v>
      </c>
    </row>
    <row r="726" spans="1:8" x14ac:dyDescent="0.35">
      <c r="A726">
        <v>103410226</v>
      </c>
      <c r="B726" t="s">
        <v>4076</v>
      </c>
      <c r="C726" s="2">
        <v>44749</v>
      </c>
      <c r="D726">
        <v>3333.64</v>
      </c>
      <c r="E726">
        <v>1</v>
      </c>
      <c r="F726">
        <v>1</v>
      </c>
      <c r="G726">
        <v>3333.64</v>
      </c>
      <c r="H726">
        <v>3333.64</v>
      </c>
    </row>
    <row r="727" spans="1:8" x14ac:dyDescent="0.35">
      <c r="A727">
        <v>103410228</v>
      </c>
      <c r="B727" t="s">
        <v>4076</v>
      </c>
      <c r="C727" s="2">
        <v>44749</v>
      </c>
      <c r="D727">
        <v>2919</v>
      </c>
      <c r="E727">
        <v>1</v>
      </c>
      <c r="F727">
        <v>1</v>
      </c>
      <c r="G727">
        <v>2919</v>
      </c>
      <c r="H727">
        <v>2919</v>
      </c>
    </row>
    <row r="728" spans="1:8" x14ac:dyDescent="0.35">
      <c r="A728">
        <v>103410229</v>
      </c>
      <c r="B728" t="s">
        <v>4076</v>
      </c>
      <c r="C728" s="2">
        <v>44749</v>
      </c>
      <c r="D728">
        <v>1918.05</v>
      </c>
      <c r="E728">
        <v>1</v>
      </c>
      <c r="F728">
        <v>1</v>
      </c>
      <c r="G728">
        <v>1918.05</v>
      </c>
      <c r="H728">
        <v>1918.05</v>
      </c>
    </row>
    <row r="729" spans="1:8" x14ac:dyDescent="0.35">
      <c r="A729">
        <v>103410236</v>
      </c>
      <c r="B729" t="s">
        <v>4076</v>
      </c>
      <c r="C729" s="2">
        <v>44749</v>
      </c>
      <c r="D729">
        <v>315.49</v>
      </c>
      <c r="E729">
        <v>1</v>
      </c>
      <c r="F729">
        <v>1</v>
      </c>
      <c r="G729">
        <v>315.49</v>
      </c>
      <c r="H729">
        <v>315.49</v>
      </c>
    </row>
    <row r="730" spans="1:8" x14ac:dyDescent="0.35">
      <c r="A730">
        <v>103410237</v>
      </c>
      <c r="B730" t="s">
        <v>4076</v>
      </c>
      <c r="C730" s="2">
        <v>44749</v>
      </c>
      <c r="D730">
        <v>2498</v>
      </c>
      <c r="E730">
        <v>2</v>
      </c>
      <c r="F730">
        <v>1</v>
      </c>
      <c r="G730">
        <v>1249</v>
      </c>
      <c r="H730">
        <v>2498</v>
      </c>
    </row>
    <row r="731" spans="1:8" x14ac:dyDescent="0.35">
      <c r="A731">
        <v>103410243</v>
      </c>
      <c r="B731" t="s">
        <v>4076</v>
      </c>
      <c r="C731" s="2">
        <v>44749</v>
      </c>
      <c r="D731">
        <v>4799</v>
      </c>
      <c r="E731">
        <v>1</v>
      </c>
      <c r="F731">
        <v>1</v>
      </c>
      <c r="G731">
        <v>4799</v>
      </c>
      <c r="H731">
        <v>4799</v>
      </c>
    </row>
    <row r="732" spans="1:8" x14ac:dyDescent="0.35">
      <c r="A732">
        <v>103410250</v>
      </c>
      <c r="B732" t="s">
        <v>4076</v>
      </c>
      <c r="C732" s="2">
        <v>44749</v>
      </c>
      <c r="D732">
        <v>3149</v>
      </c>
      <c r="E732">
        <v>1</v>
      </c>
      <c r="F732">
        <v>1</v>
      </c>
      <c r="G732">
        <v>3149</v>
      </c>
      <c r="H732">
        <v>3149</v>
      </c>
    </row>
    <row r="733" spans="1:8" x14ac:dyDescent="0.35">
      <c r="A733">
        <v>103410254</v>
      </c>
      <c r="B733" t="s">
        <v>4076</v>
      </c>
      <c r="C733" s="2">
        <v>44749</v>
      </c>
      <c r="D733">
        <v>5599</v>
      </c>
      <c r="E733">
        <v>1</v>
      </c>
      <c r="F733">
        <v>1</v>
      </c>
      <c r="G733">
        <v>5599</v>
      </c>
      <c r="H733">
        <v>5599</v>
      </c>
    </row>
    <row r="734" spans="1:8" x14ac:dyDescent="0.35">
      <c r="A734">
        <v>103410266</v>
      </c>
      <c r="B734" t="s">
        <v>4076</v>
      </c>
      <c r="C734" s="2">
        <v>44749</v>
      </c>
      <c r="D734">
        <v>1470.6</v>
      </c>
      <c r="E734">
        <v>2</v>
      </c>
      <c r="F734">
        <v>1</v>
      </c>
      <c r="G734">
        <v>735.3</v>
      </c>
      <c r="H734">
        <v>1470.6</v>
      </c>
    </row>
    <row r="735" spans="1:8" x14ac:dyDescent="0.35">
      <c r="A735">
        <v>103410273</v>
      </c>
      <c r="B735" t="s">
        <v>4076</v>
      </c>
      <c r="C735" s="2">
        <v>44749</v>
      </c>
      <c r="D735">
        <v>2611.5500000000002</v>
      </c>
      <c r="E735">
        <v>1</v>
      </c>
      <c r="F735">
        <v>1</v>
      </c>
      <c r="G735">
        <v>2611.5500000000002</v>
      </c>
      <c r="H735">
        <v>2611.5500000000002</v>
      </c>
    </row>
    <row r="736" spans="1:8" x14ac:dyDescent="0.35">
      <c r="A736">
        <v>103410277</v>
      </c>
      <c r="B736" t="s">
        <v>4076</v>
      </c>
      <c r="C736" s="2">
        <v>44749</v>
      </c>
      <c r="D736">
        <v>5385.64</v>
      </c>
      <c r="E736">
        <v>1</v>
      </c>
      <c r="F736">
        <v>1</v>
      </c>
      <c r="G736">
        <v>5385.64</v>
      </c>
      <c r="H736">
        <v>5385.64</v>
      </c>
    </row>
    <row r="737" spans="1:8" x14ac:dyDescent="0.35">
      <c r="A737">
        <v>103410278</v>
      </c>
      <c r="B737" t="s">
        <v>4076</v>
      </c>
      <c r="C737" s="2">
        <v>44749</v>
      </c>
      <c r="D737">
        <v>1709.14</v>
      </c>
      <c r="E737">
        <v>1</v>
      </c>
      <c r="F737">
        <v>1</v>
      </c>
      <c r="G737">
        <v>1709.14</v>
      </c>
      <c r="H737">
        <v>1709.14</v>
      </c>
    </row>
    <row r="738" spans="1:8" x14ac:dyDescent="0.35">
      <c r="A738">
        <v>103410293</v>
      </c>
      <c r="B738" t="s">
        <v>4076</v>
      </c>
      <c r="C738" s="2">
        <v>44749</v>
      </c>
      <c r="D738">
        <v>3212.1</v>
      </c>
      <c r="E738">
        <v>1</v>
      </c>
      <c r="F738">
        <v>1</v>
      </c>
      <c r="G738">
        <v>3212.1</v>
      </c>
      <c r="H738">
        <v>3212.1</v>
      </c>
    </row>
    <row r="739" spans="1:8" x14ac:dyDescent="0.35">
      <c r="A739">
        <v>103410300</v>
      </c>
      <c r="B739" t="s">
        <v>4076</v>
      </c>
      <c r="C739" s="2">
        <v>44749</v>
      </c>
      <c r="D739">
        <v>978</v>
      </c>
      <c r="E739">
        <v>2</v>
      </c>
      <c r="F739">
        <v>1</v>
      </c>
      <c r="G739">
        <v>489</v>
      </c>
      <c r="H739">
        <v>978</v>
      </c>
    </row>
    <row r="740" spans="1:8" x14ac:dyDescent="0.35">
      <c r="A740">
        <v>103410311</v>
      </c>
      <c r="B740" t="s">
        <v>4076</v>
      </c>
      <c r="C740" s="2">
        <v>44749</v>
      </c>
      <c r="D740">
        <v>549</v>
      </c>
      <c r="E740">
        <v>1</v>
      </c>
      <c r="F740">
        <v>1</v>
      </c>
      <c r="G740">
        <v>549</v>
      </c>
      <c r="H740">
        <v>549</v>
      </c>
    </row>
    <row r="741" spans="1:8" x14ac:dyDescent="0.35">
      <c r="A741">
        <v>103410312</v>
      </c>
      <c r="B741" t="s">
        <v>4076</v>
      </c>
      <c r="C741" s="2">
        <v>44749</v>
      </c>
      <c r="D741">
        <v>3212.1</v>
      </c>
      <c r="E741">
        <v>1</v>
      </c>
      <c r="F741">
        <v>1</v>
      </c>
      <c r="G741">
        <v>3212.1</v>
      </c>
      <c r="H741">
        <v>3212.1</v>
      </c>
    </row>
    <row r="742" spans="1:8" x14ac:dyDescent="0.35">
      <c r="A742">
        <v>103410316</v>
      </c>
      <c r="B742" t="s">
        <v>4076</v>
      </c>
      <c r="C742" s="2">
        <v>44749</v>
      </c>
      <c r="D742">
        <v>5898</v>
      </c>
      <c r="E742">
        <v>2</v>
      </c>
      <c r="F742">
        <v>1</v>
      </c>
      <c r="G742">
        <v>2949</v>
      </c>
      <c r="H742">
        <v>5898</v>
      </c>
    </row>
    <row r="743" spans="1:8" x14ac:dyDescent="0.35">
      <c r="A743">
        <v>103410324</v>
      </c>
      <c r="B743" t="s">
        <v>4076</v>
      </c>
      <c r="C743" s="2">
        <v>44749</v>
      </c>
      <c r="D743">
        <v>2849.05</v>
      </c>
      <c r="E743">
        <v>1</v>
      </c>
      <c r="F743">
        <v>1</v>
      </c>
      <c r="G743">
        <v>2849.05</v>
      </c>
      <c r="H743">
        <v>2849.05</v>
      </c>
    </row>
    <row r="744" spans="1:8" x14ac:dyDescent="0.35">
      <c r="A744">
        <v>103410325</v>
      </c>
      <c r="B744" t="s">
        <v>4076</v>
      </c>
      <c r="C744" s="2">
        <v>44749</v>
      </c>
      <c r="D744">
        <v>2165.1</v>
      </c>
      <c r="E744">
        <v>1</v>
      </c>
      <c r="F744">
        <v>1</v>
      </c>
      <c r="G744">
        <v>2165.1</v>
      </c>
      <c r="H744">
        <v>2165.1</v>
      </c>
    </row>
    <row r="745" spans="1:8" x14ac:dyDescent="0.35">
      <c r="A745">
        <v>103410328</v>
      </c>
      <c r="B745" t="s">
        <v>4076</v>
      </c>
      <c r="C745" s="2">
        <v>44749</v>
      </c>
      <c r="D745">
        <v>1632.1</v>
      </c>
      <c r="E745">
        <v>2</v>
      </c>
      <c r="F745">
        <v>1</v>
      </c>
      <c r="G745">
        <v>816.05</v>
      </c>
      <c r="H745">
        <v>1632.1</v>
      </c>
    </row>
    <row r="746" spans="1:8" x14ac:dyDescent="0.35">
      <c r="A746">
        <v>103410332</v>
      </c>
      <c r="B746" t="s">
        <v>4076</v>
      </c>
      <c r="C746" s="2">
        <v>44749</v>
      </c>
      <c r="D746">
        <v>1578.47</v>
      </c>
      <c r="E746">
        <v>1</v>
      </c>
      <c r="F746">
        <v>1</v>
      </c>
      <c r="G746">
        <v>1578.47</v>
      </c>
      <c r="H746">
        <v>1578.47</v>
      </c>
    </row>
    <row r="747" spans="1:8" x14ac:dyDescent="0.35">
      <c r="A747">
        <v>103410336</v>
      </c>
      <c r="B747" t="s">
        <v>4076</v>
      </c>
      <c r="C747" s="2">
        <v>44749</v>
      </c>
      <c r="D747">
        <v>1879.29</v>
      </c>
      <c r="E747">
        <v>2</v>
      </c>
      <c r="F747">
        <v>1</v>
      </c>
      <c r="G747">
        <v>939.64499999999998</v>
      </c>
      <c r="H747">
        <v>1879.29</v>
      </c>
    </row>
    <row r="748" spans="1:8" x14ac:dyDescent="0.35">
      <c r="A748">
        <v>103410342</v>
      </c>
      <c r="B748" t="s">
        <v>4076</v>
      </c>
      <c r="C748" s="2">
        <v>44749</v>
      </c>
      <c r="D748">
        <v>1999</v>
      </c>
      <c r="E748">
        <v>1</v>
      </c>
      <c r="F748">
        <v>1</v>
      </c>
      <c r="G748">
        <v>1999</v>
      </c>
      <c r="H748">
        <v>1999</v>
      </c>
    </row>
    <row r="749" spans="1:8" x14ac:dyDescent="0.35">
      <c r="A749">
        <v>103410344</v>
      </c>
      <c r="B749" t="s">
        <v>4076</v>
      </c>
      <c r="C749" s="2">
        <v>44749</v>
      </c>
      <c r="D749">
        <v>1499</v>
      </c>
      <c r="E749">
        <v>1</v>
      </c>
      <c r="F749">
        <v>1</v>
      </c>
      <c r="G749">
        <v>1499</v>
      </c>
      <c r="H749">
        <v>1499</v>
      </c>
    </row>
    <row r="750" spans="1:8" x14ac:dyDescent="0.35">
      <c r="A750">
        <v>103410346</v>
      </c>
      <c r="B750" t="s">
        <v>4076</v>
      </c>
      <c r="C750" s="2">
        <v>44749</v>
      </c>
      <c r="D750">
        <v>1538.05</v>
      </c>
      <c r="E750">
        <v>1</v>
      </c>
      <c r="F750">
        <v>1</v>
      </c>
      <c r="G750">
        <v>1538.05</v>
      </c>
      <c r="H750">
        <v>1538.05</v>
      </c>
    </row>
    <row r="751" spans="1:8" x14ac:dyDescent="0.35">
      <c r="A751">
        <v>103410347</v>
      </c>
      <c r="B751" t="s">
        <v>4076</v>
      </c>
      <c r="C751" s="2">
        <v>44749</v>
      </c>
      <c r="D751">
        <v>1269</v>
      </c>
      <c r="E751">
        <v>1</v>
      </c>
      <c r="F751">
        <v>1</v>
      </c>
      <c r="G751">
        <v>1269</v>
      </c>
      <c r="H751">
        <v>1269</v>
      </c>
    </row>
    <row r="752" spans="1:8" x14ac:dyDescent="0.35">
      <c r="A752">
        <v>103410351</v>
      </c>
      <c r="B752" t="s">
        <v>4076</v>
      </c>
      <c r="C752" s="2">
        <v>44749</v>
      </c>
      <c r="D752">
        <v>2399</v>
      </c>
      <c r="E752">
        <v>1</v>
      </c>
      <c r="F752">
        <v>1</v>
      </c>
      <c r="G752">
        <v>2399</v>
      </c>
      <c r="H752">
        <v>2399</v>
      </c>
    </row>
    <row r="753" spans="1:8" x14ac:dyDescent="0.35">
      <c r="A753">
        <v>103410353</v>
      </c>
      <c r="B753" t="s">
        <v>4076</v>
      </c>
      <c r="C753" s="2">
        <v>44749</v>
      </c>
      <c r="D753">
        <v>4568</v>
      </c>
      <c r="E753">
        <v>2</v>
      </c>
      <c r="F753">
        <v>1</v>
      </c>
      <c r="G753">
        <v>2284</v>
      </c>
      <c r="H753">
        <v>4568</v>
      </c>
    </row>
    <row r="754" spans="1:8" x14ac:dyDescent="0.35">
      <c r="A754">
        <v>103410355</v>
      </c>
      <c r="B754" t="s">
        <v>4076</v>
      </c>
      <c r="C754" s="2">
        <v>44749</v>
      </c>
      <c r="D754">
        <v>1938</v>
      </c>
      <c r="E754">
        <v>2</v>
      </c>
      <c r="F754">
        <v>1</v>
      </c>
      <c r="G754">
        <v>969</v>
      </c>
      <c r="H754">
        <v>1938</v>
      </c>
    </row>
    <row r="755" spans="1:8" x14ac:dyDescent="0.35">
      <c r="A755">
        <v>103410370</v>
      </c>
      <c r="B755" t="s">
        <v>4076</v>
      </c>
      <c r="C755" s="2">
        <v>44749</v>
      </c>
      <c r="D755">
        <v>1234.05</v>
      </c>
      <c r="E755">
        <v>1</v>
      </c>
      <c r="F755">
        <v>1</v>
      </c>
      <c r="G755">
        <v>1234.05</v>
      </c>
      <c r="H755">
        <v>1234.05</v>
      </c>
    </row>
    <row r="756" spans="1:8" x14ac:dyDescent="0.35">
      <c r="A756">
        <v>103410383</v>
      </c>
      <c r="B756" t="s">
        <v>4076</v>
      </c>
      <c r="C756" s="2">
        <v>44749</v>
      </c>
      <c r="D756">
        <v>4511.6000000000004</v>
      </c>
      <c r="E756">
        <v>1</v>
      </c>
      <c r="F756">
        <v>1</v>
      </c>
      <c r="G756">
        <v>4511.6000000000004</v>
      </c>
      <c r="H756">
        <v>4511.6000000000004</v>
      </c>
    </row>
    <row r="757" spans="1:8" x14ac:dyDescent="0.35">
      <c r="A757">
        <v>103410384</v>
      </c>
      <c r="B757" t="s">
        <v>4076</v>
      </c>
      <c r="C757" s="2">
        <v>44749</v>
      </c>
      <c r="D757">
        <v>3108</v>
      </c>
      <c r="E757">
        <v>2</v>
      </c>
      <c r="F757">
        <v>1</v>
      </c>
      <c r="G757">
        <v>1554</v>
      </c>
      <c r="H757">
        <v>3108</v>
      </c>
    </row>
    <row r="758" spans="1:8" x14ac:dyDescent="0.35">
      <c r="A758">
        <v>103410388</v>
      </c>
      <c r="B758" t="s">
        <v>4076</v>
      </c>
      <c r="C758" s="2">
        <v>44749</v>
      </c>
      <c r="D758">
        <v>2659.05</v>
      </c>
      <c r="E758">
        <v>1</v>
      </c>
      <c r="F758">
        <v>1</v>
      </c>
      <c r="G758">
        <v>2659.05</v>
      </c>
      <c r="H758">
        <v>2659.05</v>
      </c>
    </row>
    <row r="759" spans="1:8" x14ac:dyDescent="0.35">
      <c r="A759">
        <v>103410390</v>
      </c>
      <c r="B759" t="s">
        <v>4076</v>
      </c>
      <c r="C759" s="2">
        <v>44749</v>
      </c>
      <c r="D759">
        <v>3039.05</v>
      </c>
      <c r="E759">
        <v>1</v>
      </c>
      <c r="F759">
        <v>1</v>
      </c>
      <c r="G759">
        <v>3039.05</v>
      </c>
      <c r="H759">
        <v>3039.05</v>
      </c>
    </row>
    <row r="760" spans="1:8" x14ac:dyDescent="0.35">
      <c r="A760">
        <v>103410395</v>
      </c>
      <c r="B760" t="s">
        <v>4076</v>
      </c>
      <c r="C760" s="2">
        <v>44749</v>
      </c>
      <c r="D760">
        <v>1850.6</v>
      </c>
      <c r="E760">
        <v>2</v>
      </c>
      <c r="F760">
        <v>1</v>
      </c>
      <c r="G760">
        <v>925.3</v>
      </c>
      <c r="H760">
        <v>1850.6</v>
      </c>
    </row>
    <row r="761" spans="1:8" x14ac:dyDescent="0.35">
      <c r="A761">
        <v>103410409</v>
      </c>
      <c r="B761" t="s">
        <v>4076</v>
      </c>
      <c r="C761" s="2">
        <v>44749</v>
      </c>
      <c r="D761">
        <v>2611.5500000000002</v>
      </c>
      <c r="E761">
        <v>1</v>
      </c>
      <c r="F761">
        <v>1</v>
      </c>
      <c r="G761">
        <v>2611.5500000000002</v>
      </c>
      <c r="H761">
        <v>2611.5500000000002</v>
      </c>
    </row>
    <row r="762" spans="1:8" x14ac:dyDescent="0.35">
      <c r="A762">
        <v>103410413</v>
      </c>
      <c r="B762" t="s">
        <v>4076</v>
      </c>
      <c r="C762" s="2">
        <v>44749</v>
      </c>
      <c r="D762">
        <v>1139.05</v>
      </c>
      <c r="E762">
        <v>1</v>
      </c>
      <c r="F762">
        <v>1</v>
      </c>
      <c r="G762">
        <v>1139.05</v>
      </c>
      <c r="H762">
        <v>1139.05</v>
      </c>
    </row>
    <row r="763" spans="1:8" x14ac:dyDescent="0.35">
      <c r="A763">
        <v>103410420</v>
      </c>
      <c r="B763" t="s">
        <v>4076</v>
      </c>
      <c r="C763" s="2">
        <v>44749</v>
      </c>
      <c r="D763">
        <v>550.04999999999995</v>
      </c>
      <c r="E763">
        <v>1</v>
      </c>
      <c r="F763">
        <v>1</v>
      </c>
      <c r="G763">
        <v>550.04999999999995</v>
      </c>
      <c r="H763">
        <v>550.04999999999995</v>
      </c>
    </row>
    <row r="764" spans="1:8" x14ac:dyDescent="0.35">
      <c r="A764">
        <v>103410434</v>
      </c>
      <c r="B764" t="s">
        <v>4076</v>
      </c>
      <c r="C764" s="2">
        <v>44749</v>
      </c>
      <c r="D764">
        <v>2599</v>
      </c>
      <c r="E764">
        <v>1</v>
      </c>
      <c r="F764">
        <v>1</v>
      </c>
      <c r="G764">
        <v>2599</v>
      </c>
      <c r="H764">
        <v>2599</v>
      </c>
    </row>
    <row r="765" spans="1:8" x14ac:dyDescent="0.35">
      <c r="A765">
        <v>103410438</v>
      </c>
      <c r="B765" t="s">
        <v>4076</v>
      </c>
      <c r="C765" s="2">
        <v>44749</v>
      </c>
      <c r="D765">
        <v>4799</v>
      </c>
      <c r="E765">
        <v>1</v>
      </c>
      <c r="F765">
        <v>1</v>
      </c>
      <c r="G765">
        <v>4799</v>
      </c>
      <c r="H765">
        <v>4799</v>
      </c>
    </row>
    <row r="766" spans="1:8" x14ac:dyDescent="0.35">
      <c r="A766">
        <v>103410444</v>
      </c>
      <c r="B766" t="s">
        <v>4076</v>
      </c>
      <c r="C766" s="2">
        <v>44749</v>
      </c>
      <c r="D766">
        <v>2564.14</v>
      </c>
      <c r="E766">
        <v>1</v>
      </c>
      <c r="F766">
        <v>1</v>
      </c>
      <c r="G766">
        <v>2564.14</v>
      </c>
      <c r="H766">
        <v>2564.14</v>
      </c>
    </row>
    <row r="767" spans="1:8" x14ac:dyDescent="0.35">
      <c r="A767">
        <v>103410449</v>
      </c>
      <c r="B767" t="s">
        <v>4076</v>
      </c>
      <c r="C767" s="2">
        <v>44749</v>
      </c>
      <c r="D767">
        <v>1631.72</v>
      </c>
      <c r="E767">
        <v>2</v>
      </c>
      <c r="F767">
        <v>1</v>
      </c>
      <c r="G767">
        <v>815.86</v>
      </c>
      <c r="H767">
        <v>1631.72</v>
      </c>
    </row>
    <row r="768" spans="1:8" x14ac:dyDescent="0.35">
      <c r="A768">
        <v>103410450</v>
      </c>
      <c r="B768" t="s">
        <v>4076</v>
      </c>
      <c r="C768" s="2">
        <v>44749</v>
      </c>
      <c r="D768">
        <v>635.54999999999995</v>
      </c>
      <c r="E768">
        <v>1</v>
      </c>
      <c r="F768">
        <v>1</v>
      </c>
      <c r="G768">
        <v>635.54999999999995</v>
      </c>
      <c r="H768">
        <v>635.54999999999995</v>
      </c>
    </row>
    <row r="769" spans="1:8" x14ac:dyDescent="0.35">
      <c r="A769">
        <v>103410455</v>
      </c>
      <c r="B769" t="s">
        <v>4076</v>
      </c>
      <c r="C769" s="2">
        <v>44749</v>
      </c>
      <c r="D769">
        <v>1623.55</v>
      </c>
      <c r="E769">
        <v>1</v>
      </c>
      <c r="F769">
        <v>1</v>
      </c>
      <c r="G769">
        <v>1623.55</v>
      </c>
      <c r="H769">
        <v>1623.55</v>
      </c>
    </row>
    <row r="770" spans="1:8" x14ac:dyDescent="0.35">
      <c r="A770">
        <v>103410460</v>
      </c>
      <c r="B770" t="s">
        <v>4076</v>
      </c>
      <c r="C770" s="2">
        <v>44749</v>
      </c>
      <c r="D770">
        <v>1079</v>
      </c>
      <c r="E770">
        <v>1</v>
      </c>
      <c r="F770">
        <v>1</v>
      </c>
      <c r="G770">
        <v>1079</v>
      </c>
      <c r="H770">
        <v>1079</v>
      </c>
    </row>
    <row r="771" spans="1:8" x14ac:dyDescent="0.35">
      <c r="A771">
        <v>103410467</v>
      </c>
      <c r="B771" t="s">
        <v>4076</v>
      </c>
      <c r="C771" s="2">
        <v>44749</v>
      </c>
      <c r="D771">
        <v>740.05</v>
      </c>
      <c r="E771">
        <v>1</v>
      </c>
      <c r="F771">
        <v>1</v>
      </c>
      <c r="G771">
        <v>740.05</v>
      </c>
      <c r="H771">
        <v>740.05</v>
      </c>
    </row>
    <row r="772" spans="1:8" x14ac:dyDescent="0.35">
      <c r="A772">
        <v>103410469</v>
      </c>
      <c r="B772" t="s">
        <v>4076</v>
      </c>
      <c r="C772" s="2">
        <v>44749</v>
      </c>
      <c r="D772">
        <v>2399</v>
      </c>
      <c r="E772">
        <v>1</v>
      </c>
      <c r="F772">
        <v>1</v>
      </c>
      <c r="G772">
        <v>2399</v>
      </c>
      <c r="H772">
        <v>2399</v>
      </c>
    </row>
    <row r="773" spans="1:8" x14ac:dyDescent="0.35">
      <c r="A773">
        <v>103410480</v>
      </c>
      <c r="B773" t="s">
        <v>4076</v>
      </c>
      <c r="C773" s="2">
        <v>44749</v>
      </c>
      <c r="D773">
        <v>2499</v>
      </c>
      <c r="E773">
        <v>1</v>
      </c>
      <c r="F773">
        <v>1</v>
      </c>
      <c r="G773">
        <v>2499</v>
      </c>
      <c r="H773">
        <v>2499</v>
      </c>
    </row>
    <row r="774" spans="1:8" x14ac:dyDescent="0.35">
      <c r="A774">
        <v>103410481</v>
      </c>
      <c r="B774" t="s">
        <v>4076</v>
      </c>
      <c r="C774" s="2">
        <v>44749</v>
      </c>
      <c r="D774">
        <v>749</v>
      </c>
      <c r="E774">
        <v>1</v>
      </c>
      <c r="F774">
        <v>1</v>
      </c>
      <c r="G774">
        <v>749</v>
      </c>
      <c r="H774">
        <v>749</v>
      </c>
    </row>
    <row r="775" spans="1:8" x14ac:dyDescent="0.35">
      <c r="A775">
        <v>103410489</v>
      </c>
      <c r="B775" t="s">
        <v>4076</v>
      </c>
      <c r="C775" s="2">
        <v>44749</v>
      </c>
      <c r="D775">
        <v>1424.05</v>
      </c>
      <c r="E775">
        <v>1</v>
      </c>
      <c r="F775">
        <v>1</v>
      </c>
      <c r="G775">
        <v>1424.05</v>
      </c>
      <c r="H775">
        <v>1424.05</v>
      </c>
    </row>
    <row r="776" spans="1:8" x14ac:dyDescent="0.35">
      <c r="A776">
        <v>103410490</v>
      </c>
      <c r="B776" t="s">
        <v>4076</v>
      </c>
      <c r="C776" s="2">
        <v>44749</v>
      </c>
      <c r="D776">
        <v>2777.89</v>
      </c>
      <c r="E776">
        <v>1</v>
      </c>
      <c r="F776">
        <v>1</v>
      </c>
      <c r="G776">
        <v>2777.89</v>
      </c>
      <c r="H776">
        <v>2777.89</v>
      </c>
    </row>
    <row r="777" spans="1:8" x14ac:dyDescent="0.35">
      <c r="A777">
        <v>103410496</v>
      </c>
      <c r="B777" t="s">
        <v>4076</v>
      </c>
      <c r="C777" s="2">
        <v>44749</v>
      </c>
      <c r="D777">
        <v>521.54999999999995</v>
      </c>
      <c r="E777">
        <v>1</v>
      </c>
      <c r="F777">
        <v>1</v>
      </c>
      <c r="G777">
        <v>521.54999999999995</v>
      </c>
      <c r="H777">
        <v>521.54999999999995</v>
      </c>
    </row>
    <row r="778" spans="1:8" x14ac:dyDescent="0.35">
      <c r="A778">
        <v>103410502</v>
      </c>
      <c r="B778" t="s">
        <v>4076</v>
      </c>
      <c r="C778" s="2">
        <v>44749</v>
      </c>
      <c r="D778">
        <v>2817</v>
      </c>
      <c r="E778">
        <v>3</v>
      </c>
      <c r="F778">
        <v>1</v>
      </c>
      <c r="G778">
        <v>939</v>
      </c>
      <c r="H778">
        <v>2817</v>
      </c>
    </row>
    <row r="779" spans="1:8" x14ac:dyDescent="0.35">
      <c r="A779">
        <v>103410506</v>
      </c>
      <c r="B779" t="s">
        <v>4076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</row>
    <row r="780" spans="1:8" x14ac:dyDescent="0.35">
      <c r="A780">
        <v>103410513</v>
      </c>
      <c r="B780" t="s">
        <v>4076</v>
      </c>
      <c r="C780" s="2">
        <v>44749</v>
      </c>
      <c r="D780">
        <v>2699.25</v>
      </c>
      <c r="E780">
        <v>1</v>
      </c>
      <c r="F780">
        <v>1</v>
      </c>
      <c r="G780">
        <v>2699.25</v>
      </c>
      <c r="H780">
        <v>2699.25</v>
      </c>
    </row>
    <row r="781" spans="1:8" x14ac:dyDescent="0.35">
      <c r="A781">
        <v>103410515</v>
      </c>
      <c r="B781" t="s">
        <v>4076</v>
      </c>
      <c r="C781" s="2">
        <v>44749</v>
      </c>
      <c r="D781">
        <v>1172.3499999999999</v>
      </c>
      <c r="E781">
        <v>1</v>
      </c>
      <c r="F781">
        <v>1</v>
      </c>
      <c r="G781">
        <v>1172.3499999999999</v>
      </c>
      <c r="H781">
        <v>1172.3499999999999</v>
      </c>
    </row>
    <row r="782" spans="1:8" x14ac:dyDescent="0.35">
      <c r="A782">
        <v>103410519</v>
      </c>
      <c r="B782" t="s">
        <v>4076</v>
      </c>
      <c r="C782" s="2">
        <v>44749</v>
      </c>
      <c r="D782">
        <v>969</v>
      </c>
      <c r="E782">
        <v>1</v>
      </c>
      <c r="F782">
        <v>1</v>
      </c>
      <c r="G782">
        <v>969</v>
      </c>
      <c r="H782">
        <v>969</v>
      </c>
    </row>
    <row r="783" spans="1:8" x14ac:dyDescent="0.35">
      <c r="A783">
        <v>103410531</v>
      </c>
      <c r="B783" t="s">
        <v>4076</v>
      </c>
      <c r="C783" s="2">
        <v>44749</v>
      </c>
      <c r="D783">
        <v>4199</v>
      </c>
      <c r="E783">
        <v>1</v>
      </c>
      <c r="F783">
        <v>1</v>
      </c>
      <c r="G783">
        <v>4199</v>
      </c>
      <c r="H783">
        <v>4199</v>
      </c>
    </row>
    <row r="784" spans="1:8" x14ac:dyDescent="0.35">
      <c r="A784">
        <v>103410534</v>
      </c>
      <c r="B784" t="s">
        <v>4076</v>
      </c>
      <c r="C784" s="2">
        <v>44749</v>
      </c>
      <c r="D784">
        <v>1880.14</v>
      </c>
      <c r="E784">
        <v>1</v>
      </c>
      <c r="F784">
        <v>1</v>
      </c>
      <c r="G784">
        <v>1880.14</v>
      </c>
      <c r="H784">
        <v>1880.14</v>
      </c>
    </row>
    <row r="785" spans="1:8" x14ac:dyDescent="0.35">
      <c r="A785">
        <v>103410539</v>
      </c>
      <c r="B785" t="s">
        <v>4076</v>
      </c>
      <c r="C785" s="2">
        <v>44749</v>
      </c>
      <c r="D785">
        <v>6564.69</v>
      </c>
      <c r="E785">
        <v>2</v>
      </c>
      <c r="F785">
        <v>1</v>
      </c>
      <c r="G785">
        <v>3282.3449999999998</v>
      </c>
      <c r="H785">
        <v>6564.69</v>
      </c>
    </row>
    <row r="786" spans="1:8" x14ac:dyDescent="0.35">
      <c r="A786">
        <v>103410545</v>
      </c>
      <c r="B786" t="s">
        <v>4076</v>
      </c>
      <c r="C786" s="2">
        <v>44749</v>
      </c>
      <c r="D786">
        <v>3134.05</v>
      </c>
      <c r="E786">
        <v>1</v>
      </c>
      <c r="F786">
        <v>1</v>
      </c>
      <c r="G786">
        <v>3134.05</v>
      </c>
      <c r="H786">
        <v>3134.05</v>
      </c>
    </row>
    <row r="787" spans="1:8" x14ac:dyDescent="0.35">
      <c r="A787">
        <v>103410549</v>
      </c>
      <c r="B787" t="s">
        <v>4076</v>
      </c>
      <c r="C787" s="2">
        <v>44749</v>
      </c>
      <c r="D787">
        <v>2199</v>
      </c>
      <c r="E787">
        <v>1</v>
      </c>
      <c r="F787">
        <v>1</v>
      </c>
      <c r="G787">
        <v>2199</v>
      </c>
      <c r="H787">
        <v>2199</v>
      </c>
    </row>
    <row r="788" spans="1:8" x14ac:dyDescent="0.35">
      <c r="A788">
        <v>103410554</v>
      </c>
      <c r="B788" t="s">
        <v>4076</v>
      </c>
      <c r="C788" s="2">
        <v>44749</v>
      </c>
      <c r="D788">
        <v>1679</v>
      </c>
      <c r="E788">
        <v>1</v>
      </c>
      <c r="F788">
        <v>1</v>
      </c>
      <c r="G788">
        <v>1679</v>
      </c>
      <c r="H788">
        <v>1679</v>
      </c>
    </row>
    <row r="789" spans="1:8" x14ac:dyDescent="0.35">
      <c r="A789">
        <v>103410558</v>
      </c>
      <c r="B789" t="s">
        <v>4076</v>
      </c>
      <c r="C789" s="2">
        <v>44749</v>
      </c>
      <c r="D789">
        <v>2659.05</v>
      </c>
      <c r="E789">
        <v>1</v>
      </c>
      <c r="F789">
        <v>1</v>
      </c>
      <c r="G789">
        <v>2659.05</v>
      </c>
      <c r="H789">
        <v>2659.05</v>
      </c>
    </row>
    <row r="790" spans="1:8" x14ac:dyDescent="0.35">
      <c r="A790">
        <v>103410560</v>
      </c>
      <c r="B790" t="s">
        <v>4076</v>
      </c>
      <c r="C790" s="2">
        <v>44749</v>
      </c>
      <c r="D790">
        <v>2378</v>
      </c>
      <c r="E790">
        <v>2</v>
      </c>
      <c r="F790">
        <v>1</v>
      </c>
      <c r="G790">
        <v>1189</v>
      </c>
      <c r="H790">
        <v>2378</v>
      </c>
    </row>
    <row r="791" spans="1:8" x14ac:dyDescent="0.35">
      <c r="A791">
        <v>103410561</v>
      </c>
      <c r="B791" t="s">
        <v>4076</v>
      </c>
      <c r="C791" s="2">
        <v>44749</v>
      </c>
      <c r="D791">
        <v>4102.29</v>
      </c>
      <c r="E791">
        <v>2</v>
      </c>
      <c r="F791">
        <v>1</v>
      </c>
      <c r="G791">
        <v>2051.145</v>
      </c>
      <c r="H791">
        <v>4102.29</v>
      </c>
    </row>
    <row r="792" spans="1:8" x14ac:dyDescent="0.35">
      <c r="A792">
        <v>103410565</v>
      </c>
      <c r="B792" t="s">
        <v>4076</v>
      </c>
      <c r="C792" s="2">
        <v>44749</v>
      </c>
      <c r="D792">
        <v>521.54999999999995</v>
      </c>
      <c r="E792">
        <v>1</v>
      </c>
      <c r="F792">
        <v>1</v>
      </c>
      <c r="G792">
        <v>521.54999999999995</v>
      </c>
      <c r="H792">
        <v>521.54999999999995</v>
      </c>
    </row>
    <row r="793" spans="1:8" x14ac:dyDescent="0.35">
      <c r="A793">
        <v>103410568</v>
      </c>
      <c r="B793" t="s">
        <v>4076</v>
      </c>
      <c r="C793" s="2">
        <v>44749</v>
      </c>
      <c r="D793">
        <v>597.64</v>
      </c>
      <c r="E793">
        <v>1</v>
      </c>
      <c r="F793">
        <v>1</v>
      </c>
      <c r="G793">
        <v>597.64</v>
      </c>
      <c r="H793">
        <v>597.64</v>
      </c>
    </row>
    <row r="794" spans="1:8" x14ac:dyDescent="0.35">
      <c r="A794">
        <v>103410589</v>
      </c>
      <c r="B794" t="s">
        <v>4076</v>
      </c>
      <c r="C794" s="2">
        <v>44749</v>
      </c>
      <c r="D794">
        <v>946.72</v>
      </c>
      <c r="E794">
        <v>1</v>
      </c>
      <c r="F794">
        <v>1</v>
      </c>
      <c r="G794">
        <v>946.72</v>
      </c>
      <c r="H794">
        <v>946.72</v>
      </c>
    </row>
    <row r="795" spans="1:8" x14ac:dyDescent="0.35">
      <c r="A795">
        <v>103410592</v>
      </c>
      <c r="B795" t="s">
        <v>4076</v>
      </c>
      <c r="C795" s="2">
        <v>44749</v>
      </c>
      <c r="D795">
        <v>825.55</v>
      </c>
      <c r="E795">
        <v>1</v>
      </c>
      <c r="F795">
        <v>1</v>
      </c>
      <c r="G795">
        <v>825.55</v>
      </c>
      <c r="H795">
        <v>825.55</v>
      </c>
    </row>
    <row r="796" spans="1:8" x14ac:dyDescent="0.35">
      <c r="A796">
        <v>103410594</v>
      </c>
      <c r="B796" t="s">
        <v>4076</v>
      </c>
      <c r="C796" s="2">
        <v>44749</v>
      </c>
      <c r="D796">
        <v>759.05</v>
      </c>
      <c r="E796">
        <v>1</v>
      </c>
      <c r="F796">
        <v>1</v>
      </c>
      <c r="G796">
        <v>759.05</v>
      </c>
      <c r="H796">
        <v>759.05</v>
      </c>
    </row>
    <row r="797" spans="1:8" x14ac:dyDescent="0.35">
      <c r="A797">
        <v>103410596</v>
      </c>
      <c r="B797" t="s">
        <v>4076</v>
      </c>
      <c r="C797" s="2">
        <v>44749</v>
      </c>
      <c r="D797">
        <v>1262.5999999999999</v>
      </c>
      <c r="E797">
        <v>1</v>
      </c>
      <c r="F797">
        <v>1</v>
      </c>
      <c r="G797">
        <v>1262.5999999999999</v>
      </c>
      <c r="H797">
        <v>1262.5999999999999</v>
      </c>
    </row>
    <row r="798" spans="1:8" x14ac:dyDescent="0.35">
      <c r="A798">
        <v>103410597</v>
      </c>
      <c r="B798" t="s">
        <v>4076</v>
      </c>
      <c r="C798" s="2">
        <v>44749</v>
      </c>
      <c r="D798">
        <v>2527</v>
      </c>
      <c r="E798">
        <v>3</v>
      </c>
      <c r="F798">
        <v>1</v>
      </c>
      <c r="G798">
        <v>842.33333333333303</v>
      </c>
      <c r="H798">
        <v>2527</v>
      </c>
    </row>
    <row r="799" spans="1:8" x14ac:dyDescent="0.35">
      <c r="A799">
        <v>103410603</v>
      </c>
      <c r="B799" t="s">
        <v>4076</v>
      </c>
      <c r="C799" s="2">
        <v>44749</v>
      </c>
      <c r="D799">
        <v>899</v>
      </c>
      <c r="E799">
        <v>1</v>
      </c>
      <c r="F799">
        <v>1</v>
      </c>
      <c r="G799">
        <v>899</v>
      </c>
      <c r="H799">
        <v>899</v>
      </c>
    </row>
    <row r="800" spans="1:8" x14ac:dyDescent="0.35">
      <c r="A800">
        <v>103410605</v>
      </c>
      <c r="B800" t="s">
        <v>4076</v>
      </c>
      <c r="C800" s="2">
        <v>44749</v>
      </c>
      <c r="D800">
        <v>4994.1499999999996</v>
      </c>
      <c r="E800">
        <v>3</v>
      </c>
      <c r="F800">
        <v>1</v>
      </c>
      <c r="G800">
        <v>1664.7166666666601</v>
      </c>
      <c r="H800">
        <v>4994.1499999999996</v>
      </c>
    </row>
    <row r="801" spans="1:8" x14ac:dyDescent="0.35">
      <c r="A801">
        <v>103410619</v>
      </c>
      <c r="B801" t="s">
        <v>4076</v>
      </c>
      <c r="C801" s="2">
        <v>44749</v>
      </c>
      <c r="D801">
        <v>3248.1</v>
      </c>
      <c r="E801">
        <v>1</v>
      </c>
      <c r="F801">
        <v>1</v>
      </c>
      <c r="G801">
        <v>3248.1</v>
      </c>
      <c r="H801">
        <v>3248.1</v>
      </c>
    </row>
    <row r="802" spans="1:8" x14ac:dyDescent="0.35">
      <c r="A802">
        <v>103410628</v>
      </c>
      <c r="B802" t="s">
        <v>4076</v>
      </c>
      <c r="C802" s="2">
        <v>44749</v>
      </c>
      <c r="D802">
        <v>3989.05</v>
      </c>
      <c r="E802">
        <v>1</v>
      </c>
      <c r="F802">
        <v>1</v>
      </c>
      <c r="G802">
        <v>3989.05</v>
      </c>
      <c r="H802">
        <v>3989.05</v>
      </c>
    </row>
    <row r="803" spans="1:8" x14ac:dyDescent="0.35">
      <c r="A803">
        <v>103410630</v>
      </c>
      <c r="B803" t="s">
        <v>4076</v>
      </c>
      <c r="C803" s="2">
        <v>44749</v>
      </c>
      <c r="D803">
        <v>2350.39</v>
      </c>
      <c r="E803">
        <v>1</v>
      </c>
      <c r="F803">
        <v>1</v>
      </c>
      <c r="G803">
        <v>2350.39</v>
      </c>
      <c r="H803">
        <v>2350.39</v>
      </c>
    </row>
    <row r="804" spans="1:8" x14ac:dyDescent="0.35">
      <c r="A804">
        <v>103410634</v>
      </c>
      <c r="B804" t="s">
        <v>4076</v>
      </c>
      <c r="C804" s="2">
        <v>44749</v>
      </c>
      <c r="D804">
        <v>550.04999999999995</v>
      </c>
      <c r="E804">
        <v>1</v>
      </c>
      <c r="F804">
        <v>1</v>
      </c>
      <c r="G804">
        <v>550.04999999999995</v>
      </c>
      <c r="H804">
        <v>550.04999999999995</v>
      </c>
    </row>
    <row r="805" spans="1:8" x14ac:dyDescent="0.35">
      <c r="A805">
        <v>103410640</v>
      </c>
      <c r="B805" t="s">
        <v>4076</v>
      </c>
      <c r="C805" s="2">
        <v>44749</v>
      </c>
      <c r="D805">
        <v>1984.6</v>
      </c>
      <c r="E805">
        <v>1</v>
      </c>
      <c r="F805">
        <v>1</v>
      </c>
      <c r="G805">
        <v>1984.6</v>
      </c>
      <c r="H805">
        <v>1984.6</v>
      </c>
    </row>
    <row r="806" spans="1:8" x14ac:dyDescent="0.35">
      <c r="A806">
        <v>103410652</v>
      </c>
      <c r="B806" t="s">
        <v>4076</v>
      </c>
      <c r="C806" s="2">
        <v>44749</v>
      </c>
      <c r="D806">
        <v>3989.05</v>
      </c>
      <c r="E806">
        <v>1</v>
      </c>
      <c r="F806">
        <v>1</v>
      </c>
      <c r="G806">
        <v>3989.05</v>
      </c>
      <c r="H806">
        <v>3989.05</v>
      </c>
    </row>
    <row r="807" spans="1:8" x14ac:dyDescent="0.35">
      <c r="A807">
        <v>103410653</v>
      </c>
      <c r="B807" t="s">
        <v>4076</v>
      </c>
      <c r="C807" s="2">
        <v>44749</v>
      </c>
      <c r="D807">
        <v>1348</v>
      </c>
      <c r="E807">
        <v>2</v>
      </c>
      <c r="F807">
        <v>1</v>
      </c>
      <c r="G807">
        <v>674</v>
      </c>
      <c r="H807">
        <v>1348</v>
      </c>
    </row>
    <row r="808" spans="1:8" x14ac:dyDescent="0.35">
      <c r="A808">
        <v>103410654</v>
      </c>
      <c r="B808" t="s">
        <v>4076</v>
      </c>
      <c r="C808" s="2">
        <v>44749</v>
      </c>
      <c r="D808">
        <v>2991.55</v>
      </c>
      <c r="E808">
        <v>1</v>
      </c>
      <c r="F808">
        <v>1</v>
      </c>
      <c r="G808">
        <v>2991.55</v>
      </c>
      <c r="H808">
        <v>2991.55</v>
      </c>
    </row>
    <row r="809" spans="1:8" x14ac:dyDescent="0.35">
      <c r="A809">
        <v>103410659</v>
      </c>
      <c r="B809" t="s">
        <v>4076</v>
      </c>
      <c r="C809" s="2">
        <v>44749</v>
      </c>
      <c r="D809">
        <v>2199</v>
      </c>
      <c r="E809">
        <v>1</v>
      </c>
      <c r="F809">
        <v>1</v>
      </c>
      <c r="G809">
        <v>2199</v>
      </c>
      <c r="H809">
        <v>2199</v>
      </c>
    </row>
    <row r="810" spans="1:8" x14ac:dyDescent="0.35">
      <c r="A810">
        <v>103410660</v>
      </c>
      <c r="B810" t="s">
        <v>4076</v>
      </c>
      <c r="C810" s="2">
        <v>44749</v>
      </c>
      <c r="D810">
        <v>419</v>
      </c>
      <c r="E810">
        <v>1</v>
      </c>
      <c r="F810">
        <v>1</v>
      </c>
      <c r="G810">
        <v>419</v>
      </c>
      <c r="H810">
        <v>419</v>
      </c>
    </row>
    <row r="811" spans="1:8" x14ac:dyDescent="0.35">
      <c r="A811">
        <v>103410663</v>
      </c>
      <c r="B811" t="s">
        <v>4076</v>
      </c>
      <c r="C811" s="2">
        <v>44749</v>
      </c>
      <c r="D811">
        <v>2749</v>
      </c>
      <c r="E811">
        <v>1</v>
      </c>
      <c r="F811">
        <v>1</v>
      </c>
      <c r="G811">
        <v>2749</v>
      </c>
      <c r="H811">
        <v>2749</v>
      </c>
    </row>
    <row r="812" spans="1:8" x14ac:dyDescent="0.35">
      <c r="A812">
        <v>103410670</v>
      </c>
      <c r="B812" t="s">
        <v>4076</v>
      </c>
      <c r="C812" s="2">
        <v>44749</v>
      </c>
      <c r="D812">
        <v>673.55</v>
      </c>
      <c r="E812">
        <v>1</v>
      </c>
      <c r="F812">
        <v>1</v>
      </c>
      <c r="G812">
        <v>673.55</v>
      </c>
      <c r="H812">
        <v>673.55</v>
      </c>
    </row>
    <row r="813" spans="1:8" x14ac:dyDescent="0.35">
      <c r="A813">
        <v>103410674</v>
      </c>
      <c r="B813" t="s">
        <v>4076</v>
      </c>
      <c r="C813" s="2">
        <v>44749</v>
      </c>
      <c r="D813">
        <v>969</v>
      </c>
      <c r="E813">
        <v>1</v>
      </c>
      <c r="F813">
        <v>1</v>
      </c>
      <c r="G813">
        <v>969</v>
      </c>
      <c r="H813">
        <v>969</v>
      </c>
    </row>
    <row r="814" spans="1:8" x14ac:dyDescent="0.35">
      <c r="A814">
        <v>103410682</v>
      </c>
      <c r="B814" t="s">
        <v>4076</v>
      </c>
      <c r="C814" s="2">
        <v>44749</v>
      </c>
      <c r="D814">
        <v>1424.05</v>
      </c>
      <c r="E814">
        <v>1</v>
      </c>
      <c r="F814">
        <v>1</v>
      </c>
      <c r="G814">
        <v>1424.05</v>
      </c>
      <c r="H814">
        <v>1424.05</v>
      </c>
    </row>
    <row r="815" spans="1:8" x14ac:dyDescent="0.35">
      <c r="A815">
        <v>103410683</v>
      </c>
      <c r="B815" t="s">
        <v>4076</v>
      </c>
      <c r="C815" s="2">
        <v>44749</v>
      </c>
      <c r="D815">
        <v>3474.1499999999901</v>
      </c>
      <c r="E815">
        <v>3</v>
      </c>
      <c r="F815">
        <v>1</v>
      </c>
      <c r="G815">
        <v>1158.05</v>
      </c>
      <c r="H815">
        <v>3474.1499999999901</v>
      </c>
    </row>
    <row r="816" spans="1:8" x14ac:dyDescent="0.35">
      <c r="A816">
        <v>103410684</v>
      </c>
      <c r="B816" t="s">
        <v>4076</v>
      </c>
      <c r="C816" s="2">
        <v>44749</v>
      </c>
      <c r="D816">
        <v>3499</v>
      </c>
      <c r="E816">
        <v>1</v>
      </c>
      <c r="F816">
        <v>1</v>
      </c>
      <c r="G816">
        <v>3499</v>
      </c>
      <c r="H816">
        <v>3499</v>
      </c>
    </row>
    <row r="817" spans="1:8" x14ac:dyDescent="0.35">
      <c r="A817">
        <v>103410688</v>
      </c>
      <c r="B817" t="s">
        <v>4076</v>
      </c>
      <c r="C817" s="2">
        <v>44749</v>
      </c>
      <c r="D817">
        <v>3569</v>
      </c>
      <c r="E817">
        <v>1</v>
      </c>
      <c r="F817">
        <v>1</v>
      </c>
      <c r="G817">
        <v>3569</v>
      </c>
      <c r="H817">
        <v>3569</v>
      </c>
    </row>
    <row r="818" spans="1:8" x14ac:dyDescent="0.35">
      <c r="A818">
        <v>103410690</v>
      </c>
      <c r="B818" t="s">
        <v>4076</v>
      </c>
      <c r="C818" s="2">
        <v>44749</v>
      </c>
      <c r="D818">
        <v>4178.1000000000004</v>
      </c>
      <c r="E818">
        <v>2</v>
      </c>
      <c r="F818">
        <v>1</v>
      </c>
      <c r="G818">
        <v>2089.0500000000002</v>
      </c>
      <c r="H818">
        <v>4178.1000000000004</v>
      </c>
    </row>
    <row r="819" spans="1:8" x14ac:dyDescent="0.35">
      <c r="A819">
        <v>103410691</v>
      </c>
      <c r="B819" t="s">
        <v>4076</v>
      </c>
      <c r="C819" s="2">
        <v>44749</v>
      </c>
      <c r="D819">
        <v>799</v>
      </c>
      <c r="E819">
        <v>1</v>
      </c>
      <c r="F819">
        <v>1</v>
      </c>
      <c r="G819">
        <v>799</v>
      </c>
      <c r="H819">
        <v>799</v>
      </c>
    </row>
    <row r="820" spans="1:8" x14ac:dyDescent="0.35">
      <c r="A820">
        <v>103410697</v>
      </c>
      <c r="B820" t="s">
        <v>4076</v>
      </c>
      <c r="C820" s="2">
        <v>44749</v>
      </c>
      <c r="D820">
        <v>768.55</v>
      </c>
      <c r="E820">
        <v>1</v>
      </c>
      <c r="F820">
        <v>1</v>
      </c>
      <c r="G820">
        <v>768.55</v>
      </c>
      <c r="H820">
        <v>768.55</v>
      </c>
    </row>
    <row r="821" spans="1:8" x14ac:dyDescent="0.35">
      <c r="A821">
        <v>103410699</v>
      </c>
      <c r="B821" t="s">
        <v>4076</v>
      </c>
      <c r="C821" s="2">
        <v>44749</v>
      </c>
      <c r="D821">
        <v>14367.8</v>
      </c>
      <c r="E821">
        <v>6</v>
      </c>
      <c r="F821">
        <v>1</v>
      </c>
      <c r="G821">
        <v>2394.63333333333</v>
      </c>
      <c r="H821">
        <v>14367.8</v>
      </c>
    </row>
    <row r="822" spans="1:8" x14ac:dyDescent="0.35">
      <c r="A822">
        <v>103410704</v>
      </c>
      <c r="B822" t="s">
        <v>4076</v>
      </c>
      <c r="C822" s="2">
        <v>44749</v>
      </c>
      <c r="D822">
        <v>1199</v>
      </c>
      <c r="E822">
        <v>1</v>
      </c>
      <c r="F822">
        <v>1</v>
      </c>
      <c r="G822">
        <v>1199</v>
      </c>
      <c r="H822">
        <v>1199</v>
      </c>
    </row>
    <row r="823" spans="1:8" x14ac:dyDescent="0.35">
      <c r="A823">
        <v>103410706</v>
      </c>
      <c r="B823" t="s">
        <v>4076</v>
      </c>
      <c r="C823" s="2">
        <v>44749</v>
      </c>
      <c r="D823">
        <v>701.1</v>
      </c>
      <c r="E823">
        <v>1</v>
      </c>
      <c r="F823">
        <v>1</v>
      </c>
      <c r="G823">
        <v>701.1</v>
      </c>
      <c r="H823">
        <v>701.1</v>
      </c>
    </row>
    <row r="824" spans="1:8" x14ac:dyDescent="0.35">
      <c r="A824">
        <v>103410708</v>
      </c>
      <c r="B824" t="s">
        <v>4076</v>
      </c>
      <c r="C824" s="2">
        <v>44749</v>
      </c>
      <c r="D824">
        <v>1129.55</v>
      </c>
      <c r="E824">
        <v>1</v>
      </c>
      <c r="F824">
        <v>1</v>
      </c>
      <c r="G824">
        <v>1129.55</v>
      </c>
      <c r="H824">
        <v>1129.55</v>
      </c>
    </row>
    <row r="825" spans="1:8" x14ac:dyDescent="0.35">
      <c r="A825">
        <v>103410720</v>
      </c>
      <c r="B825" t="s">
        <v>4076</v>
      </c>
      <c r="C825" s="2">
        <v>44749</v>
      </c>
      <c r="D825">
        <v>1424.05</v>
      </c>
      <c r="E825">
        <v>1</v>
      </c>
      <c r="F825">
        <v>1</v>
      </c>
      <c r="G825">
        <v>1424.05</v>
      </c>
      <c r="H825">
        <v>1424.05</v>
      </c>
    </row>
    <row r="826" spans="1:8" x14ac:dyDescent="0.35">
      <c r="A826">
        <v>103410724</v>
      </c>
      <c r="B826" t="s">
        <v>4076</v>
      </c>
      <c r="C826" s="2">
        <v>44749</v>
      </c>
      <c r="D826">
        <v>1281.55</v>
      </c>
      <c r="E826">
        <v>1</v>
      </c>
      <c r="F826">
        <v>1</v>
      </c>
      <c r="G826">
        <v>1281.55</v>
      </c>
      <c r="H826">
        <v>1281.55</v>
      </c>
    </row>
    <row r="827" spans="1:8" x14ac:dyDescent="0.35">
      <c r="A827">
        <v>103410725</v>
      </c>
      <c r="B827" t="s">
        <v>4076</v>
      </c>
      <c r="C827" s="2">
        <v>44749</v>
      </c>
      <c r="D827">
        <v>449</v>
      </c>
      <c r="E827">
        <v>1</v>
      </c>
      <c r="F827">
        <v>1</v>
      </c>
      <c r="G827">
        <v>449</v>
      </c>
      <c r="H827">
        <v>449</v>
      </c>
    </row>
    <row r="828" spans="1:8" x14ac:dyDescent="0.35">
      <c r="A828">
        <v>103410728</v>
      </c>
      <c r="B828" t="s">
        <v>4076</v>
      </c>
      <c r="C828" s="2">
        <v>44749</v>
      </c>
      <c r="D828">
        <v>2249.6</v>
      </c>
      <c r="E828">
        <v>2</v>
      </c>
      <c r="F828">
        <v>1</v>
      </c>
      <c r="G828">
        <v>1124.8</v>
      </c>
      <c r="H828">
        <v>2249.6</v>
      </c>
    </row>
    <row r="829" spans="1:8" x14ac:dyDescent="0.35">
      <c r="A829">
        <v>103410732</v>
      </c>
      <c r="B829" t="s">
        <v>4076</v>
      </c>
      <c r="C829" s="2">
        <v>44749</v>
      </c>
      <c r="D829">
        <v>549</v>
      </c>
      <c r="E829">
        <v>1</v>
      </c>
      <c r="F829">
        <v>1</v>
      </c>
      <c r="G829">
        <v>549</v>
      </c>
      <c r="H829">
        <v>549</v>
      </c>
    </row>
    <row r="830" spans="1:8" x14ac:dyDescent="0.35">
      <c r="A830">
        <v>103410733</v>
      </c>
      <c r="B830" t="s">
        <v>4076</v>
      </c>
      <c r="C830" s="2">
        <v>44749</v>
      </c>
      <c r="D830">
        <v>2699.25</v>
      </c>
      <c r="E830">
        <v>1</v>
      </c>
      <c r="F830">
        <v>1</v>
      </c>
      <c r="G830">
        <v>2699.25</v>
      </c>
      <c r="H830">
        <v>2699.25</v>
      </c>
    </row>
    <row r="831" spans="1:8" x14ac:dyDescent="0.35">
      <c r="A831">
        <v>103410742</v>
      </c>
      <c r="B831" t="s">
        <v>4076</v>
      </c>
      <c r="C831" s="2">
        <v>44749</v>
      </c>
      <c r="D831">
        <v>3704.05</v>
      </c>
      <c r="E831">
        <v>1</v>
      </c>
      <c r="F831">
        <v>1</v>
      </c>
      <c r="G831">
        <v>3704.05</v>
      </c>
      <c r="H831">
        <v>3704.05</v>
      </c>
    </row>
    <row r="832" spans="1:8" x14ac:dyDescent="0.35">
      <c r="A832">
        <v>103410745</v>
      </c>
      <c r="B832" t="s">
        <v>4076</v>
      </c>
      <c r="C832" s="2">
        <v>44749</v>
      </c>
      <c r="D832">
        <v>3418.1</v>
      </c>
      <c r="E832">
        <v>2</v>
      </c>
      <c r="F832">
        <v>1</v>
      </c>
      <c r="G832">
        <v>1709.05</v>
      </c>
      <c r="H832">
        <v>3418.1</v>
      </c>
    </row>
    <row r="833" spans="1:8" x14ac:dyDescent="0.35">
      <c r="A833">
        <v>103410746</v>
      </c>
      <c r="B833" t="s">
        <v>4076</v>
      </c>
      <c r="C833" s="2">
        <v>44749</v>
      </c>
      <c r="D833">
        <v>4244.6000000000004</v>
      </c>
      <c r="E833">
        <v>2</v>
      </c>
      <c r="F833">
        <v>1</v>
      </c>
      <c r="G833">
        <v>2122.3000000000002</v>
      </c>
      <c r="H833">
        <v>4244.6000000000004</v>
      </c>
    </row>
    <row r="834" spans="1:8" x14ac:dyDescent="0.35">
      <c r="A834">
        <v>103410755</v>
      </c>
      <c r="B834" t="s">
        <v>4076</v>
      </c>
      <c r="C834" s="2">
        <v>44749</v>
      </c>
      <c r="D834">
        <v>4872.6000000000004</v>
      </c>
      <c r="E834">
        <v>1</v>
      </c>
      <c r="F834">
        <v>1</v>
      </c>
      <c r="G834">
        <v>4872.6000000000004</v>
      </c>
      <c r="H834">
        <v>4872.6000000000004</v>
      </c>
    </row>
    <row r="835" spans="1:8" x14ac:dyDescent="0.35">
      <c r="A835">
        <v>103410757</v>
      </c>
      <c r="B835" t="s">
        <v>4076</v>
      </c>
      <c r="C835" s="2">
        <v>44749</v>
      </c>
      <c r="D835">
        <v>489</v>
      </c>
      <c r="E835">
        <v>1</v>
      </c>
      <c r="F835">
        <v>1</v>
      </c>
      <c r="G835">
        <v>489</v>
      </c>
      <c r="H835">
        <v>489</v>
      </c>
    </row>
    <row r="836" spans="1:8" x14ac:dyDescent="0.35">
      <c r="A836">
        <v>103410762</v>
      </c>
      <c r="B836" t="s">
        <v>4076</v>
      </c>
      <c r="C836" s="2">
        <v>44749</v>
      </c>
      <c r="D836">
        <v>3149</v>
      </c>
      <c r="E836">
        <v>1</v>
      </c>
      <c r="F836">
        <v>1</v>
      </c>
      <c r="G836">
        <v>3149</v>
      </c>
      <c r="H836">
        <v>3149</v>
      </c>
    </row>
    <row r="837" spans="1:8" x14ac:dyDescent="0.35">
      <c r="A837">
        <v>103410765</v>
      </c>
      <c r="B837" t="s">
        <v>4076</v>
      </c>
      <c r="C837" s="2">
        <v>44749</v>
      </c>
      <c r="D837">
        <v>1439</v>
      </c>
      <c r="E837">
        <v>1</v>
      </c>
      <c r="F837">
        <v>1</v>
      </c>
      <c r="G837">
        <v>1439</v>
      </c>
      <c r="H837">
        <v>1439</v>
      </c>
    </row>
    <row r="838" spans="1:8" x14ac:dyDescent="0.35">
      <c r="A838">
        <v>103410774</v>
      </c>
      <c r="B838" t="s">
        <v>4076</v>
      </c>
      <c r="C838" s="2">
        <v>44749</v>
      </c>
      <c r="D838">
        <v>987.05</v>
      </c>
      <c r="E838">
        <v>1</v>
      </c>
      <c r="F838">
        <v>1</v>
      </c>
      <c r="G838">
        <v>987.05</v>
      </c>
      <c r="H838">
        <v>987.05</v>
      </c>
    </row>
    <row r="839" spans="1:8" x14ac:dyDescent="0.35">
      <c r="A839">
        <v>103410779</v>
      </c>
      <c r="B839" t="s">
        <v>4076</v>
      </c>
      <c r="C839" s="2">
        <v>44749</v>
      </c>
      <c r="D839">
        <v>2222.1</v>
      </c>
      <c r="E839">
        <v>1</v>
      </c>
      <c r="F839">
        <v>1</v>
      </c>
      <c r="G839">
        <v>2222.1</v>
      </c>
      <c r="H839">
        <v>2222.1</v>
      </c>
    </row>
    <row r="840" spans="1:8" x14ac:dyDescent="0.35">
      <c r="A840">
        <v>103410786</v>
      </c>
      <c r="B840" t="s">
        <v>4076</v>
      </c>
      <c r="C840" s="2">
        <v>44749</v>
      </c>
      <c r="D840">
        <v>1499</v>
      </c>
      <c r="E840">
        <v>1</v>
      </c>
      <c r="F840">
        <v>1</v>
      </c>
      <c r="G840">
        <v>1499</v>
      </c>
      <c r="H840">
        <v>1499</v>
      </c>
    </row>
    <row r="841" spans="1:8" x14ac:dyDescent="0.35">
      <c r="A841">
        <v>103410789</v>
      </c>
      <c r="B841" t="s">
        <v>4076</v>
      </c>
      <c r="C841" s="2">
        <v>44749</v>
      </c>
      <c r="D841">
        <v>806.55</v>
      </c>
      <c r="E841">
        <v>1</v>
      </c>
      <c r="F841">
        <v>1</v>
      </c>
      <c r="G841">
        <v>806.55</v>
      </c>
      <c r="H841">
        <v>806.55</v>
      </c>
    </row>
    <row r="842" spans="1:8" x14ac:dyDescent="0.35">
      <c r="A842">
        <v>103410790</v>
      </c>
      <c r="B842" t="s">
        <v>4076</v>
      </c>
      <c r="C842" s="2">
        <v>44749</v>
      </c>
      <c r="D842">
        <v>3599</v>
      </c>
      <c r="E842">
        <v>1</v>
      </c>
      <c r="F842">
        <v>1</v>
      </c>
      <c r="G842">
        <v>3599</v>
      </c>
      <c r="H842">
        <v>3599</v>
      </c>
    </row>
    <row r="843" spans="1:8" x14ac:dyDescent="0.35">
      <c r="A843">
        <v>103410792</v>
      </c>
      <c r="B843" t="s">
        <v>4076</v>
      </c>
      <c r="C843" s="2">
        <v>44749</v>
      </c>
      <c r="D843">
        <v>1578.47</v>
      </c>
      <c r="E843">
        <v>1</v>
      </c>
      <c r="F843">
        <v>1</v>
      </c>
      <c r="G843">
        <v>1578.47</v>
      </c>
      <c r="H843">
        <v>1578.47</v>
      </c>
    </row>
    <row r="844" spans="1:8" x14ac:dyDescent="0.35">
      <c r="A844">
        <v>103410797</v>
      </c>
      <c r="B844" t="s">
        <v>4076</v>
      </c>
      <c r="C844" s="2">
        <v>44749</v>
      </c>
      <c r="D844">
        <v>1352.85</v>
      </c>
      <c r="E844">
        <v>1</v>
      </c>
      <c r="F844">
        <v>1</v>
      </c>
      <c r="G844">
        <v>1352.85</v>
      </c>
      <c r="H844">
        <v>1352.85</v>
      </c>
    </row>
    <row r="845" spans="1:8" x14ac:dyDescent="0.35">
      <c r="A845">
        <v>103410805</v>
      </c>
      <c r="B845" t="s">
        <v>4076</v>
      </c>
      <c r="C845" s="2">
        <v>44749</v>
      </c>
      <c r="D845">
        <v>3324.05</v>
      </c>
      <c r="E845">
        <v>1</v>
      </c>
      <c r="F845">
        <v>1</v>
      </c>
      <c r="G845">
        <v>3324.05</v>
      </c>
      <c r="H845">
        <v>3324.05</v>
      </c>
    </row>
    <row r="846" spans="1:8" x14ac:dyDescent="0.35">
      <c r="A846">
        <v>103410809</v>
      </c>
      <c r="B846" t="s">
        <v>4076</v>
      </c>
      <c r="C846" s="2">
        <v>44749</v>
      </c>
      <c r="D846">
        <v>1499</v>
      </c>
      <c r="E846">
        <v>1</v>
      </c>
      <c r="F846">
        <v>1</v>
      </c>
      <c r="G846">
        <v>1499</v>
      </c>
      <c r="H846">
        <v>1499</v>
      </c>
    </row>
    <row r="847" spans="1:8" x14ac:dyDescent="0.35">
      <c r="A847">
        <v>103410818</v>
      </c>
      <c r="B847" t="s">
        <v>4076</v>
      </c>
      <c r="C847" s="2">
        <v>44749</v>
      </c>
      <c r="D847">
        <v>4939.05</v>
      </c>
      <c r="E847">
        <v>1</v>
      </c>
      <c r="F847">
        <v>1</v>
      </c>
      <c r="G847">
        <v>4939.05</v>
      </c>
      <c r="H847">
        <v>4939.05</v>
      </c>
    </row>
    <row r="848" spans="1:8" x14ac:dyDescent="0.35">
      <c r="A848">
        <v>103410819</v>
      </c>
      <c r="B848" t="s">
        <v>4076</v>
      </c>
      <c r="C848" s="2">
        <v>44749</v>
      </c>
      <c r="D848">
        <v>2345.5500000000002</v>
      </c>
      <c r="E848">
        <v>1</v>
      </c>
      <c r="F848">
        <v>1</v>
      </c>
      <c r="G848">
        <v>2345.5500000000002</v>
      </c>
      <c r="H848">
        <v>2345.5500000000002</v>
      </c>
    </row>
    <row r="849" spans="1:8" x14ac:dyDescent="0.35">
      <c r="A849">
        <v>103410823</v>
      </c>
      <c r="B849" t="s">
        <v>4076</v>
      </c>
      <c r="C849" s="2">
        <v>44749</v>
      </c>
      <c r="D849">
        <v>1851.55</v>
      </c>
      <c r="E849">
        <v>1</v>
      </c>
      <c r="F849">
        <v>1</v>
      </c>
      <c r="G849">
        <v>1851.55</v>
      </c>
      <c r="H849">
        <v>1851.55</v>
      </c>
    </row>
    <row r="850" spans="1:8" x14ac:dyDescent="0.35">
      <c r="A850">
        <v>103410827</v>
      </c>
      <c r="B850" t="s">
        <v>4076</v>
      </c>
      <c r="C850" s="2">
        <v>44749</v>
      </c>
      <c r="D850">
        <v>1918.05</v>
      </c>
      <c r="E850">
        <v>1</v>
      </c>
      <c r="F850">
        <v>1</v>
      </c>
      <c r="G850">
        <v>1918.05</v>
      </c>
      <c r="H850">
        <v>1918.05</v>
      </c>
    </row>
    <row r="851" spans="1:8" x14ac:dyDescent="0.35">
      <c r="A851">
        <v>103410828</v>
      </c>
      <c r="B851" t="s">
        <v>4076</v>
      </c>
      <c r="C851" s="2">
        <v>44749</v>
      </c>
      <c r="D851">
        <v>999</v>
      </c>
      <c r="E851">
        <v>1</v>
      </c>
      <c r="F851">
        <v>1</v>
      </c>
      <c r="G851">
        <v>999</v>
      </c>
      <c r="H851">
        <v>999</v>
      </c>
    </row>
    <row r="852" spans="1:8" x14ac:dyDescent="0.35">
      <c r="A852">
        <v>103410834</v>
      </c>
      <c r="B852" t="s">
        <v>4076</v>
      </c>
      <c r="C852" s="2">
        <v>44749</v>
      </c>
      <c r="D852">
        <v>2778</v>
      </c>
      <c r="E852">
        <v>2</v>
      </c>
      <c r="F852">
        <v>1</v>
      </c>
      <c r="G852">
        <v>1389</v>
      </c>
      <c r="H852">
        <v>2778</v>
      </c>
    </row>
    <row r="853" spans="1:8" x14ac:dyDescent="0.35">
      <c r="A853">
        <v>103410837</v>
      </c>
      <c r="B853" t="s">
        <v>4076</v>
      </c>
      <c r="C853" s="2">
        <v>44749</v>
      </c>
      <c r="D853">
        <v>1148</v>
      </c>
      <c r="E853">
        <v>2</v>
      </c>
      <c r="F853">
        <v>1</v>
      </c>
      <c r="G853">
        <v>574</v>
      </c>
      <c r="H853">
        <v>1148</v>
      </c>
    </row>
    <row r="854" spans="1:8" x14ac:dyDescent="0.35">
      <c r="A854">
        <v>103410838</v>
      </c>
      <c r="B854" t="s">
        <v>4076</v>
      </c>
      <c r="C854" s="2">
        <v>44749</v>
      </c>
      <c r="D854">
        <v>2991.64</v>
      </c>
      <c r="E854">
        <v>1</v>
      </c>
      <c r="F854">
        <v>1</v>
      </c>
      <c r="G854">
        <v>2991.64</v>
      </c>
      <c r="H854">
        <v>2991.64</v>
      </c>
    </row>
    <row r="855" spans="1:8" x14ac:dyDescent="0.35">
      <c r="A855">
        <v>103410854</v>
      </c>
      <c r="B855" t="s">
        <v>4076</v>
      </c>
      <c r="C855" s="2">
        <v>44749</v>
      </c>
      <c r="D855">
        <v>3499</v>
      </c>
      <c r="E855">
        <v>1</v>
      </c>
      <c r="F855">
        <v>1</v>
      </c>
      <c r="G855">
        <v>3499</v>
      </c>
      <c r="H855">
        <v>3499</v>
      </c>
    </row>
    <row r="856" spans="1:8" x14ac:dyDescent="0.35">
      <c r="A856">
        <v>103410861</v>
      </c>
      <c r="B856" t="s">
        <v>4076</v>
      </c>
      <c r="C856" s="2">
        <v>44749</v>
      </c>
      <c r="D856">
        <v>849</v>
      </c>
      <c r="E856">
        <v>1</v>
      </c>
      <c r="F856">
        <v>1</v>
      </c>
      <c r="G856">
        <v>849</v>
      </c>
      <c r="H856">
        <v>849</v>
      </c>
    </row>
    <row r="857" spans="1:8" x14ac:dyDescent="0.35">
      <c r="A857">
        <v>103410874</v>
      </c>
      <c r="B857" t="s">
        <v>4076</v>
      </c>
      <c r="C857" s="2">
        <v>44749</v>
      </c>
      <c r="D857">
        <v>799</v>
      </c>
      <c r="E857">
        <v>1</v>
      </c>
      <c r="F857">
        <v>1</v>
      </c>
      <c r="G857">
        <v>799</v>
      </c>
      <c r="H857">
        <v>799</v>
      </c>
    </row>
    <row r="858" spans="1:8" x14ac:dyDescent="0.35">
      <c r="A858">
        <v>103410875</v>
      </c>
      <c r="B858" t="s">
        <v>4076</v>
      </c>
      <c r="C858" s="2">
        <v>44749</v>
      </c>
      <c r="D858">
        <v>2222.14</v>
      </c>
      <c r="E858">
        <v>1</v>
      </c>
      <c r="F858">
        <v>1</v>
      </c>
      <c r="G858">
        <v>2222.14</v>
      </c>
      <c r="H858">
        <v>2222.14</v>
      </c>
    </row>
    <row r="859" spans="1:8" x14ac:dyDescent="0.35">
      <c r="A859">
        <v>103410883</v>
      </c>
      <c r="B859" t="s">
        <v>4076</v>
      </c>
      <c r="C859" s="2">
        <v>44749</v>
      </c>
      <c r="D859">
        <v>819</v>
      </c>
      <c r="E859">
        <v>1</v>
      </c>
      <c r="F859">
        <v>1</v>
      </c>
      <c r="G859">
        <v>819</v>
      </c>
      <c r="H859">
        <v>819</v>
      </c>
    </row>
    <row r="860" spans="1:8" x14ac:dyDescent="0.35">
      <c r="A860">
        <v>103410891</v>
      </c>
      <c r="B860" t="s">
        <v>4076</v>
      </c>
      <c r="C860" s="2">
        <v>44749</v>
      </c>
      <c r="D860">
        <v>468.4</v>
      </c>
      <c r="E860">
        <v>1</v>
      </c>
      <c r="F860">
        <v>1</v>
      </c>
      <c r="G860">
        <v>468.4</v>
      </c>
      <c r="H860">
        <v>468.4</v>
      </c>
    </row>
    <row r="861" spans="1:8" x14ac:dyDescent="0.35">
      <c r="A861">
        <v>103410894</v>
      </c>
      <c r="B861" t="s">
        <v>4076</v>
      </c>
      <c r="C861" s="2">
        <v>44749</v>
      </c>
      <c r="D861">
        <v>1329.05</v>
      </c>
      <c r="E861">
        <v>1</v>
      </c>
      <c r="F861">
        <v>1</v>
      </c>
      <c r="G861">
        <v>1329.05</v>
      </c>
      <c r="H861">
        <v>1329.05</v>
      </c>
    </row>
    <row r="862" spans="1:8" x14ac:dyDescent="0.35">
      <c r="A862">
        <v>103410896</v>
      </c>
      <c r="B862" t="s">
        <v>4076</v>
      </c>
      <c r="C862" s="2">
        <v>44749</v>
      </c>
      <c r="D862">
        <v>1049</v>
      </c>
      <c r="E862">
        <v>1</v>
      </c>
      <c r="F862">
        <v>1</v>
      </c>
      <c r="G862">
        <v>1049</v>
      </c>
      <c r="H862">
        <v>1049</v>
      </c>
    </row>
    <row r="863" spans="1:8" x14ac:dyDescent="0.35">
      <c r="A863">
        <v>103410900</v>
      </c>
      <c r="B863" t="s">
        <v>4076</v>
      </c>
      <c r="C863" s="2">
        <v>44749</v>
      </c>
      <c r="D863">
        <v>2799</v>
      </c>
      <c r="E863">
        <v>1</v>
      </c>
      <c r="F863">
        <v>1</v>
      </c>
      <c r="G863">
        <v>2799</v>
      </c>
      <c r="H863">
        <v>2799</v>
      </c>
    </row>
    <row r="864" spans="1:8" x14ac:dyDescent="0.35">
      <c r="A864">
        <v>103410905</v>
      </c>
      <c r="B864" t="s">
        <v>4076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</row>
    <row r="865" spans="1:8" x14ac:dyDescent="0.35">
      <c r="A865">
        <v>103410911</v>
      </c>
      <c r="B865" t="s">
        <v>4076</v>
      </c>
      <c r="C865" s="2">
        <v>44749</v>
      </c>
      <c r="D865">
        <v>1999</v>
      </c>
      <c r="E865">
        <v>1</v>
      </c>
      <c r="F865">
        <v>1</v>
      </c>
      <c r="G865">
        <v>1999</v>
      </c>
      <c r="H865">
        <v>1999</v>
      </c>
    </row>
    <row r="866" spans="1:8" x14ac:dyDescent="0.35">
      <c r="A866">
        <v>103410912</v>
      </c>
      <c r="B866" t="s">
        <v>4076</v>
      </c>
      <c r="C866" s="2">
        <v>44749</v>
      </c>
      <c r="D866">
        <v>2800.6</v>
      </c>
      <c r="E866">
        <v>2</v>
      </c>
      <c r="F866">
        <v>1</v>
      </c>
      <c r="G866">
        <v>1400.3</v>
      </c>
      <c r="H866">
        <v>2800.6</v>
      </c>
    </row>
    <row r="867" spans="1:8" x14ac:dyDescent="0.35">
      <c r="A867">
        <v>103410913</v>
      </c>
      <c r="B867" t="s">
        <v>4076</v>
      </c>
      <c r="C867" s="2">
        <v>44749</v>
      </c>
      <c r="D867">
        <v>1545.84</v>
      </c>
      <c r="E867">
        <v>2</v>
      </c>
      <c r="F867">
        <v>1</v>
      </c>
      <c r="G867">
        <v>772.92</v>
      </c>
      <c r="H867">
        <v>1545.84</v>
      </c>
    </row>
    <row r="868" spans="1:8" x14ac:dyDescent="0.35">
      <c r="A868">
        <v>103410919</v>
      </c>
      <c r="B868" t="s">
        <v>4076</v>
      </c>
      <c r="C868" s="2">
        <v>44749</v>
      </c>
      <c r="D868">
        <v>868</v>
      </c>
      <c r="E868">
        <v>2</v>
      </c>
      <c r="F868">
        <v>1</v>
      </c>
      <c r="G868">
        <v>434</v>
      </c>
      <c r="H868">
        <v>868</v>
      </c>
    </row>
    <row r="869" spans="1:8" x14ac:dyDescent="0.35">
      <c r="A869">
        <v>103410928</v>
      </c>
      <c r="B869" t="s">
        <v>4076</v>
      </c>
      <c r="C869" s="2">
        <v>44749</v>
      </c>
      <c r="D869">
        <v>3473.72</v>
      </c>
      <c r="E869">
        <v>1</v>
      </c>
      <c r="F869">
        <v>1</v>
      </c>
      <c r="G869">
        <v>3473.72</v>
      </c>
      <c r="H869">
        <v>3473.72</v>
      </c>
    </row>
    <row r="870" spans="1:8" x14ac:dyDescent="0.35">
      <c r="A870">
        <v>103410930</v>
      </c>
      <c r="B870" t="s">
        <v>4076</v>
      </c>
      <c r="C870" s="2">
        <v>44749</v>
      </c>
      <c r="D870">
        <v>2659.05</v>
      </c>
      <c r="E870">
        <v>1</v>
      </c>
      <c r="F870">
        <v>1</v>
      </c>
      <c r="G870">
        <v>2659.05</v>
      </c>
      <c r="H870">
        <v>2659.05</v>
      </c>
    </row>
    <row r="871" spans="1:8" x14ac:dyDescent="0.35">
      <c r="A871">
        <v>103410933</v>
      </c>
      <c r="B871" t="s">
        <v>4076</v>
      </c>
      <c r="C871" s="2">
        <v>44749</v>
      </c>
      <c r="D871">
        <v>549</v>
      </c>
      <c r="E871">
        <v>1</v>
      </c>
      <c r="F871">
        <v>1</v>
      </c>
      <c r="G871">
        <v>549</v>
      </c>
      <c r="H871">
        <v>549</v>
      </c>
    </row>
    <row r="872" spans="1:8" x14ac:dyDescent="0.35">
      <c r="A872">
        <v>103410935</v>
      </c>
      <c r="B872" t="s">
        <v>4076</v>
      </c>
      <c r="C872" s="2">
        <v>44749</v>
      </c>
      <c r="D872">
        <v>2499</v>
      </c>
      <c r="E872">
        <v>1</v>
      </c>
      <c r="F872">
        <v>1</v>
      </c>
      <c r="G872">
        <v>2499</v>
      </c>
      <c r="H872">
        <v>2499</v>
      </c>
    </row>
    <row r="873" spans="1:8" x14ac:dyDescent="0.35">
      <c r="A873">
        <v>103410949</v>
      </c>
      <c r="B873" t="s">
        <v>4076</v>
      </c>
      <c r="C873" s="2">
        <v>44749</v>
      </c>
      <c r="D873">
        <v>4435.55</v>
      </c>
      <c r="E873">
        <v>1</v>
      </c>
      <c r="F873">
        <v>1</v>
      </c>
      <c r="G873">
        <v>4435.55</v>
      </c>
      <c r="H873">
        <v>4435.55</v>
      </c>
    </row>
    <row r="874" spans="1:8" x14ac:dyDescent="0.35">
      <c r="A874">
        <v>103410952</v>
      </c>
      <c r="B874" t="s">
        <v>4076</v>
      </c>
      <c r="C874" s="2">
        <v>44749</v>
      </c>
      <c r="D874">
        <v>709</v>
      </c>
      <c r="E874">
        <v>1</v>
      </c>
      <c r="F874">
        <v>1</v>
      </c>
      <c r="G874">
        <v>709</v>
      </c>
      <c r="H874">
        <v>709</v>
      </c>
    </row>
    <row r="875" spans="1:8" x14ac:dyDescent="0.35">
      <c r="A875">
        <v>103410953</v>
      </c>
      <c r="B875" t="s">
        <v>4076</v>
      </c>
      <c r="C875" s="2">
        <v>44749</v>
      </c>
      <c r="D875">
        <v>3077.14</v>
      </c>
      <c r="E875">
        <v>1</v>
      </c>
      <c r="F875">
        <v>1</v>
      </c>
      <c r="G875">
        <v>3077.14</v>
      </c>
      <c r="H875">
        <v>3077.14</v>
      </c>
    </row>
    <row r="876" spans="1:8" x14ac:dyDescent="0.35">
      <c r="A876">
        <v>103410958</v>
      </c>
      <c r="B876" t="s">
        <v>4076</v>
      </c>
      <c r="C876" s="2">
        <v>44749</v>
      </c>
      <c r="D876">
        <v>2469.0500000000002</v>
      </c>
      <c r="E876">
        <v>1</v>
      </c>
      <c r="F876">
        <v>1</v>
      </c>
      <c r="G876">
        <v>2469.0500000000002</v>
      </c>
      <c r="H876">
        <v>2469.0500000000002</v>
      </c>
    </row>
    <row r="877" spans="1:8" x14ac:dyDescent="0.35">
      <c r="A877">
        <v>103410962</v>
      </c>
      <c r="B877" t="s">
        <v>4076</v>
      </c>
      <c r="C877" s="2">
        <v>44749</v>
      </c>
      <c r="D877">
        <v>1799</v>
      </c>
      <c r="E877">
        <v>1</v>
      </c>
      <c r="F877">
        <v>1</v>
      </c>
      <c r="G877">
        <v>1799</v>
      </c>
      <c r="H877">
        <v>1799</v>
      </c>
    </row>
    <row r="878" spans="1:8" x14ac:dyDescent="0.35">
      <c r="A878">
        <v>103410968</v>
      </c>
      <c r="B878" t="s">
        <v>4076</v>
      </c>
      <c r="C878" s="2">
        <v>44749</v>
      </c>
      <c r="D878">
        <v>493.05</v>
      </c>
      <c r="E878">
        <v>1</v>
      </c>
      <c r="F878">
        <v>1</v>
      </c>
      <c r="G878">
        <v>493.05</v>
      </c>
      <c r="H878">
        <v>493.05</v>
      </c>
    </row>
    <row r="879" spans="1:8" x14ac:dyDescent="0.35">
      <c r="A879">
        <v>103410975</v>
      </c>
      <c r="B879" t="s">
        <v>4076</v>
      </c>
      <c r="C879" s="2">
        <v>44749</v>
      </c>
      <c r="D879">
        <v>1499</v>
      </c>
      <c r="E879">
        <v>1</v>
      </c>
      <c r="F879">
        <v>1</v>
      </c>
      <c r="G879">
        <v>1499</v>
      </c>
      <c r="H879">
        <v>1499</v>
      </c>
    </row>
    <row r="880" spans="1:8" x14ac:dyDescent="0.35">
      <c r="A880">
        <v>103410977</v>
      </c>
      <c r="B880" t="s">
        <v>4076</v>
      </c>
      <c r="C880" s="2">
        <v>44749</v>
      </c>
      <c r="D880">
        <v>2309</v>
      </c>
      <c r="E880">
        <v>1</v>
      </c>
      <c r="F880">
        <v>1</v>
      </c>
      <c r="G880">
        <v>2309</v>
      </c>
      <c r="H880">
        <v>2309</v>
      </c>
    </row>
    <row r="881" spans="1:8" x14ac:dyDescent="0.35">
      <c r="A881">
        <v>103410978</v>
      </c>
      <c r="B881" t="s">
        <v>4076</v>
      </c>
      <c r="C881" s="2">
        <v>44749</v>
      </c>
      <c r="D881">
        <v>3419.05</v>
      </c>
      <c r="E881">
        <v>1</v>
      </c>
      <c r="F881">
        <v>1</v>
      </c>
      <c r="G881">
        <v>3419.05</v>
      </c>
      <c r="H881">
        <v>3419.05</v>
      </c>
    </row>
    <row r="882" spans="1:8" x14ac:dyDescent="0.35">
      <c r="A882">
        <v>103410984</v>
      </c>
      <c r="B882" t="s">
        <v>4076</v>
      </c>
      <c r="C882" s="2">
        <v>44749</v>
      </c>
      <c r="D882">
        <v>699</v>
      </c>
      <c r="E882">
        <v>1</v>
      </c>
      <c r="F882">
        <v>1</v>
      </c>
      <c r="G882">
        <v>699</v>
      </c>
      <c r="H882">
        <v>699</v>
      </c>
    </row>
    <row r="883" spans="1:8" x14ac:dyDescent="0.35">
      <c r="A883">
        <v>103410986</v>
      </c>
      <c r="B883" t="s">
        <v>4076</v>
      </c>
      <c r="C883" s="2">
        <v>44749</v>
      </c>
      <c r="D883">
        <v>869</v>
      </c>
      <c r="E883">
        <v>1</v>
      </c>
      <c r="F883">
        <v>1</v>
      </c>
      <c r="G883">
        <v>869</v>
      </c>
      <c r="H883">
        <v>869</v>
      </c>
    </row>
    <row r="884" spans="1:8" x14ac:dyDescent="0.35">
      <c r="A884">
        <v>103410994</v>
      </c>
      <c r="B884" t="s">
        <v>4076</v>
      </c>
      <c r="C884" s="2">
        <v>44749</v>
      </c>
      <c r="D884">
        <v>2841.97</v>
      </c>
      <c r="E884">
        <v>1</v>
      </c>
      <c r="F884">
        <v>1</v>
      </c>
      <c r="G884">
        <v>2841.97</v>
      </c>
      <c r="H884">
        <v>2841.97</v>
      </c>
    </row>
    <row r="885" spans="1:8" x14ac:dyDescent="0.35">
      <c r="A885">
        <v>103410998</v>
      </c>
      <c r="B885" t="s">
        <v>4076</v>
      </c>
      <c r="C885" s="2">
        <v>44749</v>
      </c>
      <c r="D885">
        <v>4103.1400000000003</v>
      </c>
      <c r="E885">
        <v>1</v>
      </c>
      <c r="F885">
        <v>1</v>
      </c>
      <c r="G885">
        <v>4103.1400000000003</v>
      </c>
      <c r="H885">
        <v>4103.1400000000003</v>
      </c>
    </row>
    <row r="886" spans="1:8" x14ac:dyDescent="0.35">
      <c r="A886">
        <v>103410999</v>
      </c>
      <c r="B886" t="s">
        <v>4076</v>
      </c>
      <c r="C886" s="2">
        <v>44749</v>
      </c>
      <c r="D886">
        <v>1661.55</v>
      </c>
      <c r="E886">
        <v>1</v>
      </c>
      <c r="F886">
        <v>1</v>
      </c>
      <c r="G886">
        <v>1661.55</v>
      </c>
      <c r="H886">
        <v>1661.55</v>
      </c>
    </row>
    <row r="887" spans="1:8" x14ac:dyDescent="0.35">
      <c r="A887">
        <v>103411000</v>
      </c>
      <c r="B887" t="s">
        <v>4076</v>
      </c>
      <c r="C887" s="2">
        <v>44749</v>
      </c>
      <c r="D887">
        <v>976.599999999999</v>
      </c>
      <c r="E887">
        <v>2</v>
      </c>
      <c r="F887">
        <v>1</v>
      </c>
      <c r="G887">
        <v>488.29999999999899</v>
      </c>
      <c r="H887">
        <v>976.599999999999</v>
      </c>
    </row>
    <row r="888" spans="1:8" x14ac:dyDescent="0.35">
      <c r="A888">
        <v>103411003</v>
      </c>
      <c r="B888" t="s">
        <v>4076</v>
      </c>
      <c r="C888" s="2">
        <v>44749</v>
      </c>
      <c r="D888">
        <v>3118</v>
      </c>
      <c r="E888">
        <v>2</v>
      </c>
      <c r="F888">
        <v>1</v>
      </c>
      <c r="G888">
        <v>1559</v>
      </c>
      <c r="H888">
        <v>3118</v>
      </c>
    </row>
    <row r="889" spans="1:8" x14ac:dyDescent="0.35">
      <c r="A889">
        <v>103411006</v>
      </c>
      <c r="B889" t="s">
        <v>4076</v>
      </c>
      <c r="C889" s="2">
        <v>44749</v>
      </c>
      <c r="D889">
        <v>2222.14</v>
      </c>
      <c r="E889">
        <v>1</v>
      </c>
      <c r="F889">
        <v>1</v>
      </c>
      <c r="G889">
        <v>2222.14</v>
      </c>
      <c r="H889">
        <v>2222.14</v>
      </c>
    </row>
    <row r="890" spans="1:8" x14ac:dyDescent="0.35">
      <c r="A890">
        <v>103411011</v>
      </c>
      <c r="B890" t="s">
        <v>4076</v>
      </c>
      <c r="C890" s="2">
        <v>44749</v>
      </c>
      <c r="D890">
        <v>1649.29</v>
      </c>
      <c r="E890">
        <v>1</v>
      </c>
      <c r="F890">
        <v>1</v>
      </c>
      <c r="G890">
        <v>1649.29</v>
      </c>
      <c r="H890">
        <v>1649.29</v>
      </c>
    </row>
    <row r="891" spans="1:8" x14ac:dyDescent="0.35">
      <c r="A891">
        <v>103411012</v>
      </c>
      <c r="B891" t="s">
        <v>4076</v>
      </c>
      <c r="C891" s="2">
        <v>44749</v>
      </c>
      <c r="D891">
        <v>4510.6000000000004</v>
      </c>
      <c r="E891">
        <v>2</v>
      </c>
      <c r="F891">
        <v>1</v>
      </c>
      <c r="G891">
        <v>2255.3000000000002</v>
      </c>
      <c r="H891">
        <v>4510.6000000000004</v>
      </c>
    </row>
    <row r="892" spans="1:8" x14ac:dyDescent="0.35">
      <c r="A892">
        <v>103411023</v>
      </c>
      <c r="B892" t="s">
        <v>4076</v>
      </c>
      <c r="C892" s="2">
        <v>44749</v>
      </c>
      <c r="D892">
        <v>1999</v>
      </c>
      <c r="E892">
        <v>1</v>
      </c>
      <c r="F892">
        <v>1</v>
      </c>
      <c r="G892">
        <v>1999</v>
      </c>
      <c r="H892">
        <v>1999</v>
      </c>
    </row>
    <row r="893" spans="1:8" x14ac:dyDescent="0.35">
      <c r="A893">
        <v>103411024</v>
      </c>
      <c r="B893" t="s">
        <v>4076</v>
      </c>
      <c r="C893" s="2">
        <v>44749</v>
      </c>
      <c r="D893">
        <v>1079</v>
      </c>
      <c r="E893">
        <v>1</v>
      </c>
      <c r="F893">
        <v>1</v>
      </c>
      <c r="G893">
        <v>1079</v>
      </c>
      <c r="H893">
        <v>1079</v>
      </c>
    </row>
    <row r="894" spans="1:8" x14ac:dyDescent="0.35">
      <c r="A894">
        <v>103411028</v>
      </c>
      <c r="B894" t="s">
        <v>4076</v>
      </c>
      <c r="C894" s="2">
        <v>44749</v>
      </c>
      <c r="D894">
        <v>4798</v>
      </c>
      <c r="E894">
        <v>2</v>
      </c>
      <c r="F894">
        <v>1</v>
      </c>
      <c r="G894">
        <v>2399</v>
      </c>
      <c r="H894">
        <v>4798</v>
      </c>
    </row>
    <row r="895" spans="1:8" x14ac:dyDescent="0.35">
      <c r="A895">
        <v>103411030</v>
      </c>
      <c r="B895" t="s">
        <v>4076</v>
      </c>
      <c r="C895" s="2">
        <v>44749</v>
      </c>
      <c r="D895">
        <v>969</v>
      </c>
      <c r="E895">
        <v>1</v>
      </c>
      <c r="F895">
        <v>1</v>
      </c>
      <c r="G895">
        <v>969</v>
      </c>
      <c r="H895">
        <v>969</v>
      </c>
    </row>
    <row r="896" spans="1:8" x14ac:dyDescent="0.35">
      <c r="A896">
        <v>103411032</v>
      </c>
      <c r="B896" t="s">
        <v>4076</v>
      </c>
      <c r="C896" s="2">
        <v>44749</v>
      </c>
      <c r="D896">
        <v>3848</v>
      </c>
      <c r="E896">
        <v>2</v>
      </c>
      <c r="F896">
        <v>1</v>
      </c>
      <c r="G896">
        <v>1924</v>
      </c>
      <c r="H896">
        <v>3848</v>
      </c>
    </row>
    <row r="897" spans="1:8" x14ac:dyDescent="0.35">
      <c r="A897">
        <v>103411033</v>
      </c>
      <c r="B897" t="s">
        <v>4076</v>
      </c>
      <c r="C897" s="2">
        <v>44749</v>
      </c>
      <c r="D897">
        <v>350.55</v>
      </c>
      <c r="E897">
        <v>1</v>
      </c>
      <c r="F897">
        <v>1</v>
      </c>
      <c r="G897">
        <v>350.55</v>
      </c>
      <c r="H897">
        <v>350.55</v>
      </c>
    </row>
    <row r="898" spans="1:8" x14ac:dyDescent="0.35">
      <c r="A898">
        <v>103411034</v>
      </c>
      <c r="B898" t="s">
        <v>4076</v>
      </c>
      <c r="C898" s="2">
        <v>44749</v>
      </c>
      <c r="D898">
        <v>2099</v>
      </c>
      <c r="E898">
        <v>1</v>
      </c>
      <c r="F898">
        <v>1</v>
      </c>
      <c r="G898">
        <v>2099</v>
      </c>
      <c r="H898">
        <v>2099</v>
      </c>
    </row>
    <row r="899" spans="1:8" x14ac:dyDescent="0.35">
      <c r="A899">
        <v>103411035</v>
      </c>
      <c r="B899" t="s">
        <v>4076</v>
      </c>
      <c r="C899" s="2">
        <v>44749</v>
      </c>
      <c r="D899">
        <v>2849.05</v>
      </c>
      <c r="E899">
        <v>1</v>
      </c>
      <c r="F899">
        <v>1</v>
      </c>
      <c r="G899">
        <v>2849.05</v>
      </c>
      <c r="H899">
        <v>2849.05</v>
      </c>
    </row>
    <row r="900" spans="1:8" x14ac:dyDescent="0.35">
      <c r="A900">
        <v>103411038</v>
      </c>
      <c r="B900" t="s">
        <v>4076</v>
      </c>
      <c r="C900" s="2">
        <v>44749</v>
      </c>
      <c r="D900">
        <v>359</v>
      </c>
      <c r="E900">
        <v>1</v>
      </c>
      <c r="F900">
        <v>1</v>
      </c>
      <c r="G900">
        <v>359</v>
      </c>
      <c r="H900">
        <v>359</v>
      </c>
    </row>
    <row r="901" spans="1:8" x14ac:dyDescent="0.35">
      <c r="A901">
        <v>103411059</v>
      </c>
      <c r="B901" t="s">
        <v>4076</v>
      </c>
      <c r="C901" s="2">
        <v>44749</v>
      </c>
      <c r="D901">
        <v>3599</v>
      </c>
      <c r="E901">
        <v>1</v>
      </c>
      <c r="F901">
        <v>1</v>
      </c>
      <c r="G901">
        <v>3599</v>
      </c>
      <c r="H901">
        <v>3599</v>
      </c>
    </row>
    <row r="902" spans="1:8" x14ac:dyDescent="0.35">
      <c r="A902">
        <v>103411061</v>
      </c>
      <c r="B902" t="s">
        <v>4076</v>
      </c>
      <c r="C902" s="2">
        <v>44749</v>
      </c>
      <c r="D902">
        <v>5849</v>
      </c>
      <c r="E902">
        <v>1</v>
      </c>
      <c r="F902">
        <v>1</v>
      </c>
      <c r="G902">
        <v>5849</v>
      </c>
      <c r="H902">
        <v>5849</v>
      </c>
    </row>
    <row r="903" spans="1:8" x14ac:dyDescent="0.35">
      <c r="A903">
        <v>103411076</v>
      </c>
      <c r="B903" t="s">
        <v>4076</v>
      </c>
      <c r="C903" s="2">
        <v>44749</v>
      </c>
      <c r="D903">
        <v>1999</v>
      </c>
      <c r="E903">
        <v>1</v>
      </c>
      <c r="F903">
        <v>1</v>
      </c>
      <c r="G903">
        <v>1999</v>
      </c>
      <c r="H903">
        <v>1999</v>
      </c>
    </row>
    <row r="904" spans="1:8" x14ac:dyDescent="0.35">
      <c r="A904">
        <v>103411078</v>
      </c>
      <c r="B904" t="s">
        <v>4076</v>
      </c>
      <c r="C904" s="2">
        <v>44749</v>
      </c>
      <c r="D904">
        <v>1499</v>
      </c>
      <c r="E904">
        <v>1</v>
      </c>
      <c r="F904">
        <v>1</v>
      </c>
      <c r="G904">
        <v>1499</v>
      </c>
      <c r="H904">
        <v>1499</v>
      </c>
    </row>
    <row r="905" spans="1:8" x14ac:dyDescent="0.35">
      <c r="A905">
        <v>103411085</v>
      </c>
      <c r="B905" t="s">
        <v>4076</v>
      </c>
      <c r="C905" s="2">
        <v>44749</v>
      </c>
      <c r="D905">
        <v>2091.33</v>
      </c>
      <c r="E905">
        <v>4</v>
      </c>
      <c r="F905">
        <v>1</v>
      </c>
      <c r="G905">
        <v>522.83249999999998</v>
      </c>
      <c r="H905">
        <v>2091.33</v>
      </c>
    </row>
    <row r="906" spans="1:8" x14ac:dyDescent="0.35">
      <c r="A906">
        <v>103411091</v>
      </c>
      <c r="B906" t="s">
        <v>4076</v>
      </c>
      <c r="C906" s="2">
        <v>44749</v>
      </c>
      <c r="D906">
        <v>2399</v>
      </c>
      <c r="E906">
        <v>1</v>
      </c>
      <c r="F906">
        <v>1</v>
      </c>
      <c r="G906">
        <v>2399</v>
      </c>
      <c r="H906">
        <v>2399</v>
      </c>
    </row>
    <row r="907" spans="1:8" x14ac:dyDescent="0.35">
      <c r="A907">
        <v>103411098</v>
      </c>
      <c r="B907" t="s">
        <v>4076</v>
      </c>
      <c r="C907" s="2">
        <v>44749</v>
      </c>
      <c r="D907">
        <v>3419.05</v>
      </c>
      <c r="E907">
        <v>1</v>
      </c>
      <c r="F907">
        <v>1</v>
      </c>
      <c r="G907">
        <v>3419.05</v>
      </c>
      <c r="H907">
        <v>3419.05</v>
      </c>
    </row>
    <row r="908" spans="1:8" x14ac:dyDescent="0.35">
      <c r="A908">
        <v>103411099</v>
      </c>
      <c r="B908" t="s">
        <v>4076</v>
      </c>
      <c r="C908" s="2">
        <v>44749</v>
      </c>
      <c r="D908">
        <v>1271.0999999999999</v>
      </c>
      <c r="E908">
        <v>2</v>
      </c>
      <c r="F908">
        <v>1</v>
      </c>
      <c r="G908">
        <v>635.54999999999995</v>
      </c>
      <c r="H908">
        <v>1271.0999999999999</v>
      </c>
    </row>
    <row r="909" spans="1:8" x14ac:dyDescent="0.35">
      <c r="A909">
        <v>103411101</v>
      </c>
      <c r="B909" t="s">
        <v>4076</v>
      </c>
      <c r="C909" s="2">
        <v>44749</v>
      </c>
      <c r="D909">
        <v>2749</v>
      </c>
      <c r="E909">
        <v>1</v>
      </c>
      <c r="F909">
        <v>1</v>
      </c>
      <c r="G909">
        <v>2749</v>
      </c>
      <c r="H909">
        <v>2749</v>
      </c>
    </row>
    <row r="910" spans="1:8" x14ac:dyDescent="0.35">
      <c r="A910">
        <v>103411103</v>
      </c>
      <c r="B910" t="s">
        <v>4076</v>
      </c>
      <c r="C910" s="2">
        <v>44749</v>
      </c>
      <c r="D910">
        <v>1196.05</v>
      </c>
      <c r="E910">
        <v>1</v>
      </c>
      <c r="F910">
        <v>1</v>
      </c>
      <c r="G910">
        <v>1196.05</v>
      </c>
      <c r="H910">
        <v>1196.05</v>
      </c>
    </row>
    <row r="911" spans="1:8" x14ac:dyDescent="0.35">
      <c r="A911">
        <v>103411105</v>
      </c>
      <c r="B911" t="s">
        <v>4076</v>
      </c>
      <c r="C911" s="2">
        <v>44749</v>
      </c>
      <c r="D911">
        <v>1749</v>
      </c>
      <c r="E911">
        <v>1</v>
      </c>
      <c r="F911">
        <v>1</v>
      </c>
      <c r="G911">
        <v>1749</v>
      </c>
      <c r="H911">
        <v>1749</v>
      </c>
    </row>
    <row r="912" spans="1:8" x14ac:dyDescent="0.35">
      <c r="A912">
        <v>103411112</v>
      </c>
      <c r="B912" t="s">
        <v>4076</v>
      </c>
      <c r="C912" s="2">
        <v>44749</v>
      </c>
      <c r="D912">
        <v>2228.27</v>
      </c>
      <c r="E912">
        <v>1</v>
      </c>
      <c r="F912">
        <v>1</v>
      </c>
      <c r="G912">
        <v>2228.27</v>
      </c>
      <c r="H912">
        <v>2228.27</v>
      </c>
    </row>
    <row r="913" spans="1:8" x14ac:dyDescent="0.35">
      <c r="A913">
        <v>103411114</v>
      </c>
      <c r="B913" t="s">
        <v>4076</v>
      </c>
      <c r="C913" s="2">
        <v>44749</v>
      </c>
      <c r="D913">
        <v>2887.05</v>
      </c>
      <c r="E913">
        <v>1</v>
      </c>
      <c r="F913">
        <v>1</v>
      </c>
      <c r="G913">
        <v>2887.05</v>
      </c>
      <c r="H913">
        <v>2887.05</v>
      </c>
    </row>
    <row r="914" spans="1:8" x14ac:dyDescent="0.35">
      <c r="A914">
        <v>103411117</v>
      </c>
      <c r="B914" t="s">
        <v>4076</v>
      </c>
      <c r="C914" s="2">
        <v>44749</v>
      </c>
      <c r="D914">
        <v>1682.1</v>
      </c>
      <c r="E914">
        <v>1</v>
      </c>
      <c r="F914">
        <v>1</v>
      </c>
      <c r="G914">
        <v>1682.1</v>
      </c>
      <c r="H914">
        <v>1682.1</v>
      </c>
    </row>
    <row r="915" spans="1:8" x14ac:dyDescent="0.35">
      <c r="A915">
        <v>103411118</v>
      </c>
      <c r="B915" t="s">
        <v>4076</v>
      </c>
      <c r="C915" s="2">
        <v>44749</v>
      </c>
      <c r="D915">
        <v>1869</v>
      </c>
      <c r="E915">
        <v>1</v>
      </c>
      <c r="F915">
        <v>1</v>
      </c>
      <c r="G915">
        <v>1869</v>
      </c>
      <c r="H915">
        <v>1869</v>
      </c>
    </row>
    <row r="916" spans="1:8" x14ac:dyDescent="0.35">
      <c r="A916">
        <v>103411124</v>
      </c>
      <c r="B916" t="s">
        <v>4076</v>
      </c>
      <c r="C916" s="2">
        <v>44749</v>
      </c>
      <c r="D916">
        <v>635.54999999999995</v>
      </c>
      <c r="E916">
        <v>1</v>
      </c>
      <c r="F916">
        <v>1</v>
      </c>
      <c r="G916">
        <v>635.54999999999995</v>
      </c>
      <c r="H916">
        <v>635.54999999999995</v>
      </c>
    </row>
    <row r="917" spans="1:8" x14ac:dyDescent="0.35">
      <c r="A917">
        <v>103411126</v>
      </c>
      <c r="B917" t="s">
        <v>4076</v>
      </c>
      <c r="C917" s="2">
        <v>44749</v>
      </c>
      <c r="D917">
        <v>1679</v>
      </c>
      <c r="E917">
        <v>1</v>
      </c>
      <c r="F917">
        <v>1</v>
      </c>
      <c r="G917">
        <v>1679</v>
      </c>
      <c r="H917">
        <v>1679</v>
      </c>
    </row>
    <row r="918" spans="1:8" x14ac:dyDescent="0.35">
      <c r="A918">
        <v>103411132</v>
      </c>
      <c r="B918" t="s">
        <v>4076</v>
      </c>
      <c r="C918" s="2">
        <v>44749</v>
      </c>
      <c r="D918">
        <v>1025.1400000000001</v>
      </c>
      <c r="E918">
        <v>1</v>
      </c>
      <c r="F918">
        <v>1</v>
      </c>
      <c r="G918">
        <v>1025.1400000000001</v>
      </c>
      <c r="H918">
        <v>1025.1400000000001</v>
      </c>
    </row>
    <row r="919" spans="1:8" x14ac:dyDescent="0.35">
      <c r="A919">
        <v>103411137</v>
      </c>
      <c r="B919" t="s">
        <v>4076</v>
      </c>
      <c r="C919" s="2">
        <v>44749</v>
      </c>
      <c r="D919">
        <v>4439.49</v>
      </c>
      <c r="E919">
        <v>2</v>
      </c>
      <c r="F919">
        <v>1</v>
      </c>
      <c r="G919">
        <v>2219.7449999999999</v>
      </c>
      <c r="H919">
        <v>4439.49</v>
      </c>
    </row>
    <row r="920" spans="1:8" x14ac:dyDescent="0.35">
      <c r="A920">
        <v>103411138</v>
      </c>
      <c r="B920" t="s">
        <v>4076</v>
      </c>
      <c r="C920" s="2">
        <v>44749</v>
      </c>
      <c r="D920">
        <v>1899.05</v>
      </c>
      <c r="E920">
        <v>1</v>
      </c>
      <c r="F920">
        <v>1</v>
      </c>
      <c r="G920">
        <v>1899.05</v>
      </c>
      <c r="H920">
        <v>1899.05</v>
      </c>
    </row>
    <row r="921" spans="1:8" x14ac:dyDescent="0.35">
      <c r="A921">
        <v>103411140</v>
      </c>
      <c r="B921" t="s">
        <v>4076</v>
      </c>
      <c r="C921" s="2">
        <v>44749</v>
      </c>
      <c r="D921">
        <v>4321.55</v>
      </c>
      <c r="E921">
        <v>1</v>
      </c>
      <c r="F921">
        <v>1</v>
      </c>
      <c r="G921">
        <v>4321.55</v>
      </c>
      <c r="H921">
        <v>4321.55</v>
      </c>
    </row>
    <row r="922" spans="1:8" x14ac:dyDescent="0.35">
      <c r="A922">
        <v>103411142</v>
      </c>
      <c r="B922" t="s">
        <v>4076</v>
      </c>
      <c r="C922" s="2">
        <v>44749</v>
      </c>
      <c r="D922">
        <v>3656.55</v>
      </c>
      <c r="E922">
        <v>1</v>
      </c>
      <c r="F922">
        <v>1</v>
      </c>
      <c r="G922">
        <v>3656.55</v>
      </c>
      <c r="H922">
        <v>3656.55</v>
      </c>
    </row>
    <row r="923" spans="1:8" x14ac:dyDescent="0.35">
      <c r="A923">
        <v>103411143</v>
      </c>
      <c r="B923" t="s">
        <v>4076</v>
      </c>
      <c r="C923" s="2">
        <v>44749</v>
      </c>
      <c r="D923">
        <v>1076.44</v>
      </c>
      <c r="E923">
        <v>1</v>
      </c>
      <c r="F923">
        <v>1</v>
      </c>
      <c r="G923">
        <v>1076.44</v>
      </c>
      <c r="H923">
        <v>1076.44</v>
      </c>
    </row>
    <row r="924" spans="1:8" x14ac:dyDescent="0.35">
      <c r="A924">
        <v>103411144</v>
      </c>
      <c r="B924" t="s">
        <v>4076</v>
      </c>
      <c r="C924" s="2">
        <v>44749</v>
      </c>
      <c r="D924">
        <v>6345</v>
      </c>
      <c r="E924">
        <v>5</v>
      </c>
      <c r="F924">
        <v>1</v>
      </c>
      <c r="G924">
        <v>1269</v>
      </c>
      <c r="H924">
        <v>6345</v>
      </c>
    </row>
    <row r="925" spans="1:8" x14ac:dyDescent="0.35">
      <c r="A925">
        <v>103411146</v>
      </c>
      <c r="B925" t="s">
        <v>4076</v>
      </c>
      <c r="C925" s="2">
        <v>44749</v>
      </c>
      <c r="D925">
        <v>2374.0500000000002</v>
      </c>
      <c r="E925">
        <v>1</v>
      </c>
      <c r="F925">
        <v>1</v>
      </c>
      <c r="G925">
        <v>2374.0500000000002</v>
      </c>
      <c r="H925">
        <v>2374.0500000000002</v>
      </c>
    </row>
    <row r="926" spans="1:8" x14ac:dyDescent="0.35">
      <c r="A926">
        <v>103411150</v>
      </c>
      <c r="B926" t="s">
        <v>4076</v>
      </c>
      <c r="C926" s="2">
        <v>44749</v>
      </c>
      <c r="D926">
        <v>806.55</v>
      </c>
      <c r="E926">
        <v>1</v>
      </c>
      <c r="F926">
        <v>1</v>
      </c>
      <c r="G926">
        <v>806.55</v>
      </c>
      <c r="H926">
        <v>806.55</v>
      </c>
    </row>
    <row r="927" spans="1:8" x14ac:dyDescent="0.35">
      <c r="A927">
        <v>103411155</v>
      </c>
      <c r="B927" t="s">
        <v>4076</v>
      </c>
      <c r="C927" s="2">
        <v>44749</v>
      </c>
      <c r="D927">
        <v>389</v>
      </c>
      <c r="E927">
        <v>1</v>
      </c>
      <c r="F927">
        <v>1</v>
      </c>
      <c r="G927">
        <v>389</v>
      </c>
      <c r="H927">
        <v>389</v>
      </c>
    </row>
    <row r="928" spans="1:8" x14ac:dyDescent="0.35">
      <c r="A928">
        <v>103411156</v>
      </c>
      <c r="B928" t="s">
        <v>4076</v>
      </c>
      <c r="C928" s="2">
        <v>44749</v>
      </c>
      <c r="D928">
        <v>5199</v>
      </c>
      <c r="E928">
        <v>1</v>
      </c>
      <c r="F928">
        <v>1</v>
      </c>
      <c r="G928">
        <v>5199</v>
      </c>
      <c r="H928">
        <v>5199</v>
      </c>
    </row>
    <row r="929" spans="1:8" x14ac:dyDescent="0.35">
      <c r="A929">
        <v>103411161</v>
      </c>
      <c r="B929" t="s">
        <v>4076</v>
      </c>
      <c r="C929" s="2">
        <v>44749</v>
      </c>
      <c r="D929">
        <v>6839.05</v>
      </c>
      <c r="E929">
        <v>1</v>
      </c>
      <c r="F929">
        <v>1</v>
      </c>
      <c r="G929">
        <v>6839.05</v>
      </c>
      <c r="H929">
        <v>6839.05</v>
      </c>
    </row>
    <row r="930" spans="1:8" x14ac:dyDescent="0.35">
      <c r="A930">
        <v>103411169</v>
      </c>
      <c r="B930" t="s">
        <v>4076</v>
      </c>
      <c r="C930" s="2">
        <v>44749</v>
      </c>
      <c r="D930">
        <v>806.55</v>
      </c>
      <c r="E930">
        <v>1</v>
      </c>
      <c r="F930">
        <v>1</v>
      </c>
      <c r="G930">
        <v>806.55</v>
      </c>
      <c r="H930">
        <v>806.55</v>
      </c>
    </row>
    <row r="931" spans="1:8" x14ac:dyDescent="0.35">
      <c r="A931">
        <v>103411174</v>
      </c>
      <c r="B931" t="s">
        <v>4076</v>
      </c>
      <c r="C931" s="2">
        <v>44749</v>
      </c>
      <c r="D931">
        <v>1063.05</v>
      </c>
      <c r="E931">
        <v>1</v>
      </c>
      <c r="F931">
        <v>1</v>
      </c>
      <c r="G931">
        <v>1063.05</v>
      </c>
      <c r="H931">
        <v>1063.05</v>
      </c>
    </row>
    <row r="932" spans="1:8" x14ac:dyDescent="0.35">
      <c r="A932">
        <v>103411177</v>
      </c>
      <c r="B932" t="s">
        <v>4076</v>
      </c>
      <c r="C932" s="2">
        <v>44749</v>
      </c>
      <c r="D932">
        <v>3599</v>
      </c>
      <c r="E932">
        <v>1</v>
      </c>
      <c r="F932">
        <v>1</v>
      </c>
      <c r="G932">
        <v>3599</v>
      </c>
      <c r="H932">
        <v>3599</v>
      </c>
    </row>
    <row r="933" spans="1:8" x14ac:dyDescent="0.35">
      <c r="A933">
        <v>103411179</v>
      </c>
      <c r="B933" t="s">
        <v>4076</v>
      </c>
      <c r="C933" s="2">
        <v>44749</v>
      </c>
      <c r="D933">
        <v>4143.33</v>
      </c>
      <c r="E933">
        <v>4</v>
      </c>
      <c r="F933">
        <v>1</v>
      </c>
      <c r="G933">
        <v>1035.8325</v>
      </c>
      <c r="H933">
        <v>4143.33</v>
      </c>
    </row>
    <row r="934" spans="1:8" x14ac:dyDescent="0.35">
      <c r="A934">
        <v>103411186</v>
      </c>
      <c r="B934" t="s">
        <v>4076</v>
      </c>
      <c r="C934" s="2">
        <v>44749</v>
      </c>
      <c r="D934">
        <v>1851.55</v>
      </c>
      <c r="E934">
        <v>1</v>
      </c>
      <c r="F934">
        <v>1</v>
      </c>
      <c r="G934">
        <v>1851.55</v>
      </c>
      <c r="H934">
        <v>1851.55</v>
      </c>
    </row>
    <row r="935" spans="1:8" x14ac:dyDescent="0.35">
      <c r="A935">
        <v>103411187</v>
      </c>
      <c r="B935" t="s">
        <v>4076</v>
      </c>
      <c r="C935" s="2">
        <v>44749</v>
      </c>
      <c r="D935">
        <v>1999</v>
      </c>
      <c r="E935">
        <v>1</v>
      </c>
      <c r="F935">
        <v>1</v>
      </c>
      <c r="G935">
        <v>1999</v>
      </c>
      <c r="H935">
        <v>1999</v>
      </c>
    </row>
    <row r="936" spans="1:8" x14ac:dyDescent="0.35">
      <c r="A936">
        <v>103411188</v>
      </c>
      <c r="B936" t="s">
        <v>4076</v>
      </c>
      <c r="C936" s="2">
        <v>44749</v>
      </c>
      <c r="D936">
        <v>350.55</v>
      </c>
      <c r="E936">
        <v>1</v>
      </c>
      <c r="F936">
        <v>1</v>
      </c>
      <c r="G936">
        <v>350.55</v>
      </c>
      <c r="H936">
        <v>350.55</v>
      </c>
    </row>
    <row r="937" spans="1:8" x14ac:dyDescent="0.35">
      <c r="A937">
        <v>103411192</v>
      </c>
      <c r="B937" t="s">
        <v>4076</v>
      </c>
      <c r="C937" s="2">
        <v>44749</v>
      </c>
      <c r="D937">
        <v>9598</v>
      </c>
      <c r="E937">
        <v>2</v>
      </c>
      <c r="F937">
        <v>1</v>
      </c>
      <c r="G937">
        <v>4799</v>
      </c>
      <c r="H937">
        <v>9598</v>
      </c>
    </row>
    <row r="938" spans="1:8" x14ac:dyDescent="0.35">
      <c r="A938">
        <v>103411205</v>
      </c>
      <c r="B938" t="s">
        <v>4076</v>
      </c>
      <c r="C938" s="2">
        <v>44749</v>
      </c>
      <c r="D938">
        <v>3373.5</v>
      </c>
      <c r="E938">
        <v>2</v>
      </c>
      <c r="F938">
        <v>1</v>
      </c>
      <c r="G938">
        <v>1686.75</v>
      </c>
      <c r="H938">
        <v>3373.5</v>
      </c>
    </row>
    <row r="939" spans="1:8" x14ac:dyDescent="0.35">
      <c r="A939">
        <v>103411207</v>
      </c>
      <c r="B939" t="s">
        <v>4076</v>
      </c>
      <c r="C939" s="2">
        <v>44749</v>
      </c>
      <c r="D939">
        <v>1063.05</v>
      </c>
      <c r="E939">
        <v>1</v>
      </c>
      <c r="F939">
        <v>1</v>
      </c>
      <c r="G939">
        <v>1063.05</v>
      </c>
      <c r="H939">
        <v>1063.05</v>
      </c>
    </row>
    <row r="940" spans="1:8" x14ac:dyDescent="0.35">
      <c r="A940">
        <v>103411210</v>
      </c>
      <c r="B940" t="s">
        <v>4076</v>
      </c>
      <c r="C940" s="2">
        <v>44749</v>
      </c>
      <c r="D940">
        <v>709</v>
      </c>
      <c r="E940">
        <v>1</v>
      </c>
      <c r="F940">
        <v>1</v>
      </c>
      <c r="G940">
        <v>709</v>
      </c>
      <c r="H940">
        <v>709</v>
      </c>
    </row>
    <row r="941" spans="1:8" x14ac:dyDescent="0.35">
      <c r="A941">
        <v>103411211</v>
      </c>
      <c r="B941" t="s">
        <v>4076</v>
      </c>
      <c r="C941" s="2">
        <v>44749</v>
      </c>
      <c r="D941">
        <v>3299</v>
      </c>
      <c r="E941">
        <v>1</v>
      </c>
      <c r="F941">
        <v>1</v>
      </c>
      <c r="G941">
        <v>3299</v>
      </c>
      <c r="H941">
        <v>3299</v>
      </c>
    </row>
    <row r="942" spans="1:8" x14ac:dyDescent="0.35">
      <c r="A942">
        <v>103411218</v>
      </c>
      <c r="B942" t="s">
        <v>4076</v>
      </c>
      <c r="C942" s="2">
        <v>44749</v>
      </c>
      <c r="D942">
        <v>499</v>
      </c>
      <c r="E942">
        <v>1</v>
      </c>
      <c r="F942">
        <v>1</v>
      </c>
      <c r="G942">
        <v>499</v>
      </c>
      <c r="H942">
        <v>499</v>
      </c>
    </row>
    <row r="943" spans="1:8" x14ac:dyDescent="0.35">
      <c r="A943">
        <v>103411219</v>
      </c>
      <c r="B943" t="s">
        <v>4076</v>
      </c>
      <c r="C943" s="2">
        <v>44749</v>
      </c>
      <c r="D943">
        <v>439</v>
      </c>
      <c r="E943">
        <v>1</v>
      </c>
      <c r="F943">
        <v>1</v>
      </c>
      <c r="G943">
        <v>439</v>
      </c>
      <c r="H943">
        <v>439</v>
      </c>
    </row>
    <row r="944" spans="1:8" x14ac:dyDescent="0.35">
      <c r="A944">
        <v>103411226</v>
      </c>
      <c r="B944" t="s">
        <v>4076</v>
      </c>
      <c r="C944" s="2">
        <v>44749</v>
      </c>
      <c r="D944">
        <v>899</v>
      </c>
      <c r="E944">
        <v>1</v>
      </c>
      <c r="F944">
        <v>1</v>
      </c>
      <c r="G944">
        <v>899</v>
      </c>
      <c r="H944">
        <v>899</v>
      </c>
    </row>
    <row r="945" spans="1:8" x14ac:dyDescent="0.35">
      <c r="A945">
        <v>103411232</v>
      </c>
      <c r="B945" t="s">
        <v>4076</v>
      </c>
      <c r="C945" s="2">
        <v>44749</v>
      </c>
      <c r="D945">
        <v>2919</v>
      </c>
      <c r="E945">
        <v>1</v>
      </c>
      <c r="F945">
        <v>1</v>
      </c>
      <c r="G945">
        <v>2919</v>
      </c>
      <c r="H945">
        <v>2919</v>
      </c>
    </row>
    <row r="946" spans="1:8" x14ac:dyDescent="0.35">
      <c r="A946">
        <v>103411235</v>
      </c>
      <c r="B946" t="s">
        <v>4076</v>
      </c>
      <c r="C946" s="2">
        <v>44749</v>
      </c>
      <c r="D946">
        <v>1110.55</v>
      </c>
      <c r="E946">
        <v>1</v>
      </c>
      <c r="F946">
        <v>1</v>
      </c>
      <c r="G946">
        <v>1110.55</v>
      </c>
      <c r="H946">
        <v>1110.55</v>
      </c>
    </row>
    <row r="947" spans="1:8" x14ac:dyDescent="0.35">
      <c r="A947">
        <v>103411239</v>
      </c>
      <c r="B947" t="s">
        <v>4076</v>
      </c>
      <c r="C947" s="2">
        <v>44749</v>
      </c>
      <c r="D947">
        <v>1899.05</v>
      </c>
      <c r="E947">
        <v>1</v>
      </c>
      <c r="F947">
        <v>1</v>
      </c>
      <c r="G947">
        <v>1899.05</v>
      </c>
      <c r="H947">
        <v>1899.05</v>
      </c>
    </row>
    <row r="948" spans="1:8" x14ac:dyDescent="0.35">
      <c r="A948">
        <v>103411248</v>
      </c>
      <c r="B948" t="s">
        <v>4076</v>
      </c>
      <c r="C948" s="2">
        <v>44749</v>
      </c>
      <c r="D948">
        <v>1063.05</v>
      </c>
      <c r="E948">
        <v>1</v>
      </c>
      <c r="F948">
        <v>1</v>
      </c>
      <c r="G948">
        <v>1063.05</v>
      </c>
      <c r="H948">
        <v>1063.05</v>
      </c>
    </row>
    <row r="949" spans="1:8" x14ac:dyDescent="0.35">
      <c r="A949">
        <v>103411254</v>
      </c>
      <c r="B949" t="s">
        <v>4076</v>
      </c>
      <c r="C949" s="2">
        <v>44749</v>
      </c>
      <c r="D949">
        <v>1310.05</v>
      </c>
      <c r="E949">
        <v>1</v>
      </c>
      <c r="F949">
        <v>1</v>
      </c>
      <c r="G949">
        <v>1310.05</v>
      </c>
      <c r="H949">
        <v>1310.05</v>
      </c>
    </row>
    <row r="950" spans="1:8" x14ac:dyDescent="0.35">
      <c r="A950">
        <v>103411259</v>
      </c>
      <c r="B950" t="s">
        <v>4076</v>
      </c>
      <c r="C950" s="2">
        <v>44749</v>
      </c>
      <c r="D950">
        <v>1749</v>
      </c>
      <c r="E950">
        <v>1</v>
      </c>
      <c r="F950">
        <v>1</v>
      </c>
      <c r="G950">
        <v>1749</v>
      </c>
      <c r="H950">
        <v>1749</v>
      </c>
    </row>
    <row r="951" spans="1:8" x14ac:dyDescent="0.35">
      <c r="A951">
        <v>103411265</v>
      </c>
      <c r="B951" t="s">
        <v>4076</v>
      </c>
      <c r="C951" s="2">
        <v>44749</v>
      </c>
      <c r="D951">
        <v>489</v>
      </c>
      <c r="E951">
        <v>1</v>
      </c>
      <c r="F951">
        <v>1</v>
      </c>
      <c r="G951">
        <v>489</v>
      </c>
      <c r="H951">
        <v>489</v>
      </c>
    </row>
    <row r="952" spans="1:8" x14ac:dyDescent="0.35">
      <c r="A952">
        <v>103411266</v>
      </c>
      <c r="B952" t="s">
        <v>4076</v>
      </c>
      <c r="C952" s="2">
        <v>44749</v>
      </c>
      <c r="D952">
        <v>3051.49</v>
      </c>
      <c r="E952">
        <v>1</v>
      </c>
      <c r="F952">
        <v>1</v>
      </c>
      <c r="G952">
        <v>3051.49</v>
      </c>
      <c r="H952">
        <v>3051.49</v>
      </c>
    </row>
    <row r="953" spans="1:8" x14ac:dyDescent="0.35">
      <c r="A953">
        <v>103411270</v>
      </c>
      <c r="B953" t="s">
        <v>4076</v>
      </c>
      <c r="C953" s="2">
        <v>44749</v>
      </c>
      <c r="D953">
        <v>616.54999999999995</v>
      </c>
      <c r="E953">
        <v>1</v>
      </c>
      <c r="F953">
        <v>1</v>
      </c>
      <c r="G953">
        <v>616.54999999999995</v>
      </c>
      <c r="H953">
        <v>616.54999999999995</v>
      </c>
    </row>
    <row r="954" spans="1:8" x14ac:dyDescent="0.35">
      <c r="A954">
        <v>103411272</v>
      </c>
      <c r="B954" t="s">
        <v>4076</v>
      </c>
      <c r="C954" s="2">
        <v>44749</v>
      </c>
      <c r="D954">
        <v>1249</v>
      </c>
      <c r="E954">
        <v>1</v>
      </c>
      <c r="F954">
        <v>1</v>
      </c>
      <c r="G954">
        <v>1249</v>
      </c>
      <c r="H954">
        <v>1249</v>
      </c>
    </row>
    <row r="955" spans="1:8" x14ac:dyDescent="0.35">
      <c r="A955">
        <v>103411274</v>
      </c>
      <c r="B955" t="s">
        <v>4076</v>
      </c>
      <c r="C955" s="2">
        <v>44749</v>
      </c>
      <c r="D955">
        <v>5849</v>
      </c>
      <c r="E955">
        <v>1</v>
      </c>
      <c r="F955">
        <v>1</v>
      </c>
      <c r="G955">
        <v>5849</v>
      </c>
      <c r="H955">
        <v>5849</v>
      </c>
    </row>
    <row r="956" spans="1:8" x14ac:dyDescent="0.35">
      <c r="A956">
        <v>103411281</v>
      </c>
      <c r="B956" t="s">
        <v>4076</v>
      </c>
      <c r="C956" s="2">
        <v>44749</v>
      </c>
      <c r="D956">
        <v>2468.1</v>
      </c>
      <c r="E956">
        <v>2</v>
      </c>
      <c r="F956">
        <v>1</v>
      </c>
      <c r="G956">
        <v>1234.05</v>
      </c>
      <c r="H956">
        <v>2468.1</v>
      </c>
    </row>
    <row r="957" spans="1:8" x14ac:dyDescent="0.35">
      <c r="A957">
        <v>103411292</v>
      </c>
      <c r="B957" t="s">
        <v>4076</v>
      </c>
      <c r="C957" s="2">
        <v>44749</v>
      </c>
      <c r="D957">
        <v>6839.14</v>
      </c>
      <c r="E957">
        <v>1</v>
      </c>
      <c r="F957">
        <v>1</v>
      </c>
      <c r="G957">
        <v>6839.14</v>
      </c>
      <c r="H957">
        <v>6839.14</v>
      </c>
    </row>
    <row r="958" spans="1:8" x14ac:dyDescent="0.35">
      <c r="A958">
        <v>103411295</v>
      </c>
      <c r="B958" t="s">
        <v>4076</v>
      </c>
      <c r="C958" s="2">
        <v>44749</v>
      </c>
      <c r="D958">
        <v>439</v>
      </c>
      <c r="E958">
        <v>1</v>
      </c>
      <c r="F958">
        <v>1</v>
      </c>
      <c r="G958">
        <v>439</v>
      </c>
      <c r="H958">
        <v>439</v>
      </c>
    </row>
    <row r="959" spans="1:8" x14ac:dyDescent="0.35">
      <c r="A959">
        <v>103411301</v>
      </c>
      <c r="B959" t="s">
        <v>4076</v>
      </c>
      <c r="C959" s="2">
        <v>44749</v>
      </c>
      <c r="D959">
        <v>1337.6</v>
      </c>
      <c r="E959">
        <v>2</v>
      </c>
      <c r="F959">
        <v>1</v>
      </c>
      <c r="G959">
        <v>668.8</v>
      </c>
      <c r="H959">
        <v>1337.6</v>
      </c>
    </row>
    <row r="960" spans="1:8" x14ac:dyDescent="0.35">
      <c r="A960">
        <v>103411306</v>
      </c>
      <c r="B960" t="s">
        <v>4076</v>
      </c>
      <c r="C960" s="2">
        <v>44749</v>
      </c>
      <c r="D960">
        <v>3499</v>
      </c>
      <c r="E960">
        <v>1</v>
      </c>
      <c r="F960">
        <v>1</v>
      </c>
      <c r="G960">
        <v>3499</v>
      </c>
      <c r="H960">
        <v>3499</v>
      </c>
    </row>
    <row r="961" spans="1:8" x14ac:dyDescent="0.35">
      <c r="A961">
        <v>103411308</v>
      </c>
      <c r="B961" t="s">
        <v>4076</v>
      </c>
      <c r="C961" s="2">
        <v>44749</v>
      </c>
      <c r="D961">
        <v>779</v>
      </c>
      <c r="E961">
        <v>1</v>
      </c>
      <c r="F961">
        <v>1</v>
      </c>
      <c r="G961">
        <v>779</v>
      </c>
      <c r="H961">
        <v>779</v>
      </c>
    </row>
    <row r="962" spans="1:8" x14ac:dyDescent="0.35">
      <c r="A962">
        <v>103411309</v>
      </c>
      <c r="B962" t="s">
        <v>4076</v>
      </c>
      <c r="C962" s="2">
        <v>44749</v>
      </c>
      <c r="D962">
        <v>3849</v>
      </c>
      <c r="E962">
        <v>1</v>
      </c>
      <c r="F962">
        <v>1</v>
      </c>
      <c r="G962">
        <v>3849</v>
      </c>
      <c r="H962">
        <v>3849</v>
      </c>
    </row>
    <row r="963" spans="1:8" x14ac:dyDescent="0.35">
      <c r="A963">
        <v>103411312</v>
      </c>
      <c r="B963" t="s">
        <v>4076</v>
      </c>
      <c r="C963" s="2">
        <v>44749</v>
      </c>
      <c r="D963">
        <v>2165.1</v>
      </c>
      <c r="E963">
        <v>1</v>
      </c>
      <c r="F963">
        <v>1</v>
      </c>
      <c r="G963">
        <v>2165.1</v>
      </c>
      <c r="H963">
        <v>2165.1</v>
      </c>
    </row>
    <row r="964" spans="1:8" x14ac:dyDescent="0.35">
      <c r="A964">
        <v>103411315</v>
      </c>
      <c r="B964" t="s">
        <v>4076</v>
      </c>
      <c r="C964" s="2">
        <v>44749</v>
      </c>
      <c r="D964">
        <v>1938</v>
      </c>
      <c r="E964">
        <v>2</v>
      </c>
      <c r="F964">
        <v>1</v>
      </c>
      <c r="G964">
        <v>969</v>
      </c>
      <c r="H964">
        <v>1938</v>
      </c>
    </row>
    <row r="965" spans="1:8" x14ac:dyDescent="0.35">
      <c r="A965">
        <v>103411320</v>
      </c>
      <c r="B965" t="s">
        <v>4076</v>
      </c>
      <c r="C965" s="2">
        <v>44749</v>
      </c>
      <c r="D965">
        <v>4231.3900000000003</v>
      </c>
      <c r="E965">
        <v>1</v>
      </c>
      <c r="F965">
        <v>1</v>
      </c>
      <c r="G965">
        <v>4231.3900000000003</v>
      </c>
      <c r="H965">
        <v>4231.3900000000003</v>
      </c>
    </row>
    <row r="966" spans="1:8" x14ac:dyDescent="0.35">
      <c r="A966">
        <v>103411325</v>
      </c>
      <c r="B966" t="s">
        <v>4076</v>
      </c>
      <c r="C966" s="2">
        <v>44749</v>
      </c>
      <c r="D966">
        <v>8334.53999999999</v>
      </c>
      <c r="E966">
        <v>2</v>
      </c>
      <c r="F966">
        <v>1</v>
      </c>
      <c r="G966">
        <v>4167.2699999999904</v>
      </c>
      <c r="H966">
        <v>8334.53999999999</v>
      </c>
    </row>
    <row r="967" spans="1:8" x14ac:dyDescent="0.35">
      <c r="A967">
        <v>103411326</v>
      </c>
      <c r="B967" t="s">
        <v>4076</v>
      </c>
      <c r="C967" s="2">
        <v>44749</v>
      </c>
      <c r="D967">
        <v>2999</v>
      </c>
      <c r="E967">
        <v>1</v>
      </c>
      <c r="F967">
        <v>1</v>
      </c>
      <c r="G967">
        <v>2999</v>
      </c>
      <c r="H967">
        <v>2999</v>
      </c>
    </row>
    <row r="968" spans="1:8" x14ac:dyDescent="0.35">
      <c r="A968">
        <v>103411327</v>
      </c>
      <c r="B968" t="s">
        <v>4076</v>
      </c>
      <c r="C968" s="2">
        <v>44749</v>
      </c>
      <c r="D968">
        <v>2773.05</v>
      </c>
      <c r="E968">
        <v>1</v>
      </c>
      <c r="F968">
        <v>1</v>
      </c>
      <c r="G968">
        <v>2773.05</v>
      </c>
      <c r="H968">
        <v>2773.05</v>
      </c>
    </row>
    <row r="969" spans="1:8" x14ac:dyDescent="0.35">
      <c r="A969">
        <v>103411340</v>
      </c>
      <c r="B969" t="s">
        <v>4076</v>
      </c>
      <c r="C969" s="2">
        <v>44749</v>
      </c>
      <c r="D969">
        <v>1577.57</v>
      </c>
      <c r="E969">
        <v>2</v>
      </c>
      <c r="F969">
        <v>1</v>
      </c>
      <c r="G969">
        <v>788.78499999999997</v>
      </c>
      <c r="H969">
        <v>1577.57</v>
      </c>
    </row>
    <row r="970" spans="1:8" x14ac:dyDescent="0.35">
      <c r="A970">
        <v>103411354</v>
      </c>
      <c r="B970" t="s">
        <v>4076</v>
      </c>
      <c r="C970" s="2">
        <v>44749</v>
      </c>
      <c r="D970">
        <v>4899</v>
      </c>
      <c r="E970">
        <v>1</v>
      </c>
      <c r="F970">
        <v>1</v>
      </c>
      <c r="G970">
        <v>4899</v>
      </c>
      <c r="H970">
        <v>4899</v>
      </c>
    </row>
    <row r="971" spans="1:8" x14ac:dyDescent="0.35">
      <c r="A971">
        <v>103411357</v>
      </c>
      <c r="B971" t="s">
        <v>4076</v>
      </c>
      <c r="C971" s="2">
        <v>44749</v>
      </c>
      <c r="D971">
        <v>3086.55</v>
      </c>
      <c r="E971">
        <v>1</v>
      </c>
      <c r="F971">
        <v>1</v>
      </c>
      <c r="G971">
        <v>3086.55</v>
      </c>
      <c r="H971">
        <v>3086.55</v>
      </c>
    </row>
    <row r="972" spans="1:8" x14ac:dyDescent="0.35">
      <c r="A972">
        <v>103411358</v>
      </c>
      <c r="B972" t="s">
        <v>4076</v>
      </c>
      <c r="C972" s="2">
        <v>44749</v>
      </c>
      <c r="D972">
        <v>1499</v>
      </c>
      <c r="E972">
        <v>1</v>
      </c>
      <c r="F972">
        <v>1</v>
      </c>
      <c r="G972">
        <v>1499</v>
      </c>
      <c r="H972">
        <v>1499</v>
      </c>
    </row>
    <row r="973" spans="1:8" x14ac:dyDescent="0.35">
      <c r="A973">
        <v>103411360</v>
      </c>
      <c r="B973" t="s">
        <v>4076</v>
      </c>
      <c r="C973" s="2">
        <v>44749</v>
      </c>
      <c r="D973">
        <v>4749.05</v>
      </c>
      <c r="E973">
        <v>1</v>
      </c>
      <c r="F973">
        <v>1</v>
      </c>
      <c r="G973">
        <v>4749.05</v>
      </c>
      <c r="H973">
        <v>4749.05</v>
      </c>
    </row>
    <row r="974" spans="1:8" x14ac:dyDescent="0.35">
      <c r="A974">
        <v>103411364</v>
      </c>
      <c r="B974" t="s">
        <v>4076</v>
      </c>
      <c r="C974" s="2">
        <v>44749</v>
      </c>
      <c r="D974">
        <v>1139.05</v>
      </c>
      <c r="E974">
        <v>1</v>
      </c>
      <c r="F974">
        <v>1</v>
      </c>
      <c r="G974">
        <v>1139.05</v>
      </c>
      <c r="H974">
        <v>1139.05</v>
      </c>
    </row>
    <row r="975" spans="1:8" x14ac:dyDescent="0.35">
      <c r="A975">
        <v>103411365</v>
      </c>
      <c r="B975" t="s">
        <v>4076</v>
      </c>
      <c r="C975" s="2">
        <v>44749</v>
      </c>
      <c r="D975">
        <v>1749</v>
      </c>
      <c r="E975">
        <v>1</v>
      </c>
      <c r="F975">
        <v>1</v>
      </c>
      <c r="G975">
        <v>1749</v>
      </c>
      <c r="H975">
        <v>1749</v>
      </c>
    </row>
    <row r="976" spans="1:8" x14ac:dyDescent="0.35">
      <c r="A976">
        <v>103411373</v>
      </c>
      <c r="B976" t="s">
        <v>4076</v>
      </c>
      <c r="C976" s="2">
        <v>44749</v>
      </c>
      <c r="D976">
        <v>1511.6399999999901</v>
      </c>
      <c r="E976">
        <v>2</v>
      </c>
      <c r="F976">
        <v>1</v>
      </c>
      <c r="G976">
        <v>755.81999999999903</v>
      </c>
      <c r="H976">
        <v>1511.6399999999901</v>
      </c>
    </row>
    <row r="977" spans="1:8" x14ac:dyDescent="0.35">
      <c r="A977">
        <v>103411377</v>
      </c>
      <c r="B977" t="s">
        <v>4076</v>
      </c>
      <c r="C977" s="2">
        <v>44749</v>
      </c>
      <c r="D977">
        <v>1110.55</v>
      </c>
      <c r="E977">
        <v>1</v>
      </c>
      <c r="F977">
        <v>1</v>
      </c>
      <c r="G977">
        <v>1110.55</v>
      </c>
      <c r="H977">
        <v>1110.55</v>
      </c>
    </row>
    <row r="978" spans="1:8" x14ac:dyDescent="0.35">
      <c r="A978">
        <v>103411379</v>
      </c>
      <c r="B978" t="s">
        <v>4076</v>
      </c>
      <c r="C978" s="2">
        <v>44749</v>
      </c>
      <c r="D978">
        <v>7599.05</v>
      </c>
      <c r="E978">
        <v>1</v>
      </c>
      <c r="F978">
        <v>1</v>
      </c>
      <c r="G978">
        <v>7599.05</v>
      </c>
      <c r="H978">
        <v>7599.05</v>
      </c>
    </row>
    <row r="979" spans="1:8" x14ac:dyDescent="0.35">
      <c r="A979">
        <v>103411380</v>
      </c>
      <c r="B979" t="s">
        <v>4076</v>
      </c>
      <c r="C979" s="2">
        <v>44749</v>
      </c>
      <c r="D979">
        <v>2849.05</v>
      </c>
      <c r="E979">
        <v>1</v>
      </c>
      <c r="F979">
        <v>1</v>
      </c>
      <c r="G979">
        <v>2849.05</v>
      </c>
      <c r="H979">
        <v>2849.05</v>
      </c>
    </row>
    <row r="980" spans="1:8" x14ac:dyDescent="0.35">
      <c r="A980">
        <v>103411382</v>
      </c>
      <c r="B980" t="s">
        <v>4076</v>
      </c>
      <c r="C980" s="2">
        <v>44749</v>
      </c>
      <c r="D980">
        <v>3317</v>
      </c>
      <c r="E980">
        <v>3</v>
      </c>
      <c r="F980">
        <v>1</v>
      </c>
      <c r="G980">
        <v>1105.6666666666599</v>
      </c>
      <c r="H980">
        <v>3317</v>
      </c>
    </row>
    <row r="981" spans="1:8" x14ac:dyDescent="0.35">
      <c r="A981">
        <v>103411393</v>
      </c>
      <c r="B981" t="s">
        <v>4076</v>
      </c>
      <c r="C981" s="2">
        <v>44749</v>
      </c>
      <c r="D981">
        <v>3799.05</v>
      </c>
      <c r="E981">
        <v>1</v>
      </c>
      <c r="F981">
        <v>1</v>
      </c>
      <c r="G981">
        <v>3799.05</v>
      </c>
      <c r="H981">
        <v>3799.05</v>
      </c>
    </row>
    <row r="982" spans="1:8" x14ac:dyDescent="0.35">
      <c r="A982">
        <v>103411396</v>
      </c>
      <c r="B982" t="s">
        <v>4076</v>
      </c>
      <c r="C982" s="2">
        <v>44749</v>
      </c>
      <c r="D982">
        <v>2749</v>
      </c>
      <c r="E982">
        <v>1</v>
      </c>
      <c r="F982">
        <v>1</v>
      </c>
      <c r="G982">
        <v>2749</v>
      </c>
      <c r="H982">
        <v>2749</v>
      </c>
    </row>
    <row r="983" spans="1:8" x14ac:dyDescent="0.35">
      <c r="A983">
        <v>103411397</v>
      </c>
      <c r="B983" t="s">
        <v>4076</v>
      </c>
      <c r="C983" s="2">
        <v>44749</v>
      </c>
      <c r="D983">
        <v>1139.05</v>
      </c>
      <c r="E983">
        <v>1</v>
      </c>
      <c r="F983">
        <v>1</v>
      </c>
      <c r="G983">
        <v>1139.05</v>
      </c>
      <c r="H983">
        <v>1139.05</v>
      </c>
    </row>
    <row r="984" spans="1:8" x14ac:dyDescent="0.35">
      <c r="A984">
        <v>103411417</v>
      </c>
      <c r="B984" t="s">
        <v>4076</v>
      </c>
      <c r="C984" s="2">
        <v>44749</v>
      </c>
      <c r="D984">
        <v>2698</v>
      </c>
      <c r="E984">
        <v>2</v>
      </c>
      <c r="F984">
        <v>1</v>
      </c>
      <c r="G984">
        <v>1349</v>
      </c>
      <c r="H984">
        <v>2698</v>
      </c>
    </row>
    <row r="985" spans="1:8" x14ac:dyDescent="0.35">
      <c r="A985">
        <v>103411426</v>
      </c>
      <c r="B985" t="s">
        <v>4076</v>
      </c>
      <c r="C985" s="2">
        <v>44749</v>
      </c>
      <c r="D985">
        <v>579</v>
      </c>
      <c r="E985">
        <v>1</v>
      </c>
      <c r="F985">
        <v>1</v>
      </c>
      <c r="G985">
        <v>579</v>
      </c>
      <c r="H985">
        <v>579</v>
      </c>
    </row>
    <row r="986" spans="1:8" x14ac:dyDescent="0.35">
      <c r="A986">
        <v>103411432</v>
      </c>
      <c r="B986" t="s">
        <v>4076</v>
      </c>
      <c r="C986" s="2">
        <v>44749</v>
      </c>
      <c r="D986">
        <v>2469.0500000000002</v>
      </c>
      <c r="E986">
        <v>1</v>
      </c>
      <c r="F986">
        <v>1</v>
      </c>
      <c r="G986">
        <v>2469.0500000000002</v>
      </c>
      <c r="H986">
        <v>2469.0500000000002</v>
      </c>
    </row>
    <row r="987" spans="1:8" x14ac:dyDescent="0.35">
      <c r="A987">
        <v>103411436</v>
      </c>
      <c r="B987" t="s">
        <v>4076</v>
      </c>
      <c r="C987" s="2">
        <v>44749</v>
      </c>
      <c r="D987">
        <v>809</v>
      </c>
      <c r="E987">
        <v>1</v>
      </c>
      <c r="F987">
        <v>1</v>
      </c>
      <c r="G987">
        <v>809</v>
      </c>
      <c r="H987">
        <v>809</v>
      </c>
    </row>
    <row r="988" spans="1:8" x14ac:dyDescent="0.35">
      <c r="A988">
        <v>103411466</v>
      </c>
      <c r="B988" t="s">
        <v>4076</v>
      </c>
      <c r="C988" s="2">
        <v>44749</v>
      </c>
      <c r="D988">
        <v>2480.9699999999998</v>
      </c>
      <c r="E988">
        <v>1</v>
      </c>
      <c r="F988">
        <v>1</v>
      </c>
      <c r="G988">
        <v>2480.9699999999998</v>
      </c>
      <c r="H988">
        <v>2480.9699999999998</v>
      </c>
    </row>
    <row r="989" spans="1:8" x14ac:dyDescent="0.35">
      <c r="A989">
        <v>103411476</v>
      </c>
      <c r="B989" t="s">
        <v>4076</v>
      </c>
      <c r="C989" s="2">
        <v>44749</v>
      </c>
      <c r="D989">
        <v>1999</v>
      </c>
      <c r="E989">
        <v>1</v>
      </c>
      <c r="F989">
        <v>1</v>
      </c>
      <c r="G989">
        <v>1999</v>
      </c>
      <c r="H989">
        <v>1999</v>
      </c>
    </row>
    <row r="990" spans="1:8" x14ac:dyDescent="0.35">
      <c r="A990">
        <v>103411477</v>
      </c>
      <c r="B990" t="s">
        <v>4076</v>
      </c>
      <c r="C990" s="2">
        <v>44749</v>
      </c>
      <c r="D990">
        <v>7199</v>
      </c>
      <c r="E990">
        <v>1</v>
      </c>
      <c r="F990">
        <v>1</v>
      </c>
      <c r="G990">
        <v>7199</v>
      </c>
      <c r="H990">
        <v>7199</v>
      </c>
    </row>
    <row r="991" spans="1:8" x14ac:dyDescent="0.35">
      <c r="A991">
        <v>103411481</v>
      </c>
      <c r="B991" t="s">
        <v>4076</v>
      </c>
      <c r="C991" s="2">
        <v>44749</v>
      </c>
      <c r="D991">
        <v>2279.0500000000002</v>
      </c>
      <c r="E991">
        <v>1</v>
      </c>
      <c r="F991">
        <v>1</v>
      </c>
      <c r="G991">
        <v>2279.0500000000002</v>
      </c>
      <c r="H991">
        <v>2279.0500000000002</v>
      </c>
    </row>
    <row r="992" spans="1:8" x14ac:dyDescent="0.35">
      <c r="A992">
        <v>103411483</v>
      </c>
      <c r="B992" t="s">
        <v>4076</v>
      </c>
      <c r="C992" s="2">
        <v>44749</v>
      </c>
      <c r="D992">
        <v>2136.5500000000002</v>
      </c>
      <c r="E992">
        <v>1</v>
      </c>
      <c r="F992">
        <v>1</v>
      </c>
      <c r="G992">
        <v>2136.5500000000002</v>
      </c>
      <c r="H992">
        <v>2136.5500000000002</v>
      </c>
    </row>
    <row r="993" spans="1:8" x14ac:dyDescent="0.35">
      <c r="A993">
        <v>103411484</v>
      </c>
      <c r="B993" t="s">
        <v>4076</v>
      </c>
      <c r="C993" s="2">
        <v>44749</v>
      </c>
      <c r="D993">
        <v>2019</v>
      </c>
      <c r="E993">
        <v>1</v>
      </c>
      <c r="F993">
        <v>1</v>
      </c>
      <c r="G993">
        <v>2019</v>
      </c>
      <c r="H993">
        <v>2019</v>
      </c>
    </row>
    <row r="994" spans="1:8" x14ac:dyDescent="0.35">
      <c r="A994">
        <v>103411491</v>
      </c>
      <c r="B994" t="s">
        <v>4076</v>
      </c>
      <c r="C994" s="2">
        <v>44749</v>
      </c>
      <c r="D994">
        <v>1499</v>
      </c>
      <c r="E994">
        <v>1</v>
      </c>
      <c r="F994">
        <v>1</v>
      </c>
      <c r="G994">
        <v>1499</v>
      </c>
      <c r="H994">
        <v>1499</v>
      </c>
    </row>
    <row r="995" spans="1:8" x14ac:dyDescent="0.35">
      <c r="A995">
        <v>103411498</v>
      </c>
      <c r="B995" t="s">
        <v>4076</v>
      </c>
      <c r="C995" s="2">
        <v>44749</v>
      </c>
      <c r="D995">
        <v>3499</v>
      </c>
      <c r="E995">
        <v>1</v>
      </c>
      <c r="F995">
        <v>1</v>
      </c>
      <c r="G995">
        <v>3499</v>
      </c>
      <c r="H995">
        <v>3499</v>
      </c>
    </row>
    <row r="996" spans="1:8" x14ac:dyDescent="0.35">
      <c r="A996">
        <v>103411503</v>
      </c>
      <c r="B996" t="s">
        <v>4076</v>
      </c>
      <c r="C996" s="2">
        <v>44749</v>
      </c>
      <c r="D996">
        <v>383.89</v>
      </c>
      <c r="E996">
        <v>1</v>
      </c>
      <c r="F996">
        <v>1</v>
      </c>
      <c r="G996">
        <v>383.89</v>
      </c>
      <c r="H996">
        <v>383.89</v>
      </c>
    </row>
    <row r="997" spans="1:8" x14ac:dyDescent="0.35">
      <c r="A997">
        <v>103411510</v>
      </c>
      <c r="B997" t="s">
        <v>4076</v>
      </c>
      <c r="C997" s="2">
        <v>44749</v>
      </c>
      <c r="D997">
        <v>7149</v>
      </c>
      <c r="E997">
        <v>1</v>
      </c>
      <c r="F997">
        <v>1</v>
      </c>
      <c r="G997">
        <v>7149</v>
      </c>
      <c r="H997">
        <v>7149</v>
      </c>
    </row>
    <row r="998" spans="1:8" x14ac:dyDescent="0.35">
      <c r="A998">
        <v>103411518</v>
      </c>
      <c r="B998" t="s">
        <v>4076</v>
      </c>
      <c r="C998" s="2">
        <v>44749</v>
      </c>
      <c r="D998">
        <v>10923.1</v>
      </c>
      <c r="E998">
        <v>2</v>
      </c>
      <c r="F998">
        <v>1</v>
      </c>
      <c r="G998">
        <v>5461.55</v>
      </c>
      <c r="H998">
        <v>10923.1</v>
      </c>
    </row>
    <row r="999" spans="1:8" x14ac:dyDescent="0.35">
      <c r="A999">
        <v>103411519</v>
      </c>
      <c r="B999" t="s">
        <v>4076</v>
      </c>
      <c r="C999" s="2">
        <v>44749</v>
      </c>
      <c r="D999">
        <v>10661.85</v>
      </c>
      <c r="E999">
        <v>7</v>
      </c>
      <c r="F999">
        <v>1</v>
      </c>
      <c r="G999">
        <v>1523.12142857142</v>
      </c>
      <c r="H999">
        <v>10661.85</v>
      </c>
    </row>
    <row r="1000" spans="1:8" x14ac:dyDescent="0.35">
      <c r="A1000">
        <v>103411521</v>
      </c>
      <c r="B1000" t="s">
        <v>4076</v>
      </c>
      <c r="C1000" s="2">
        <v>44749</v>
      </c>
      <c r="D1000">
        <v>2647.6499999999901</v>
      </c>
      <c r="E1000">
        <v>3</v>
      </c>
      <c r="F1000">
        <v>1</v>
      </c>
      <c r="G1000">
        <v>882.54999999999905</v>
      </c>
      <c r="H1000">
        <v>2647.6499999999901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E543-1A6C-4A1F-8E03-D5663115D575}">
  <sheetPr codeName="Sheet3" filterMode="1"/>
  <dimension ref="A1:U1683"/>
  <sheetViews>
    <sheetView tabSelected="1" workbookViewId="0">
      <selection activeCell="L9" sqref="L9"/>
    </sheetView>
  </sheetViews>
  <sheetFormatPr defaultRowHeight="14.5" x14ac:dyDescent="0.35"/>
  <cols>
    <col min="1" max="1" width="9.81640625" bestFit="1" customWidth="1"/>
    <col min="2" max="2" width="24" customWidth="1"/>
    <col min="3" max="3" width="18.81640625" customWidth="1"/>
    <col min="8" max="8" width="19.36328125" customWidth="1"/>
  </cols>
  <sheetData>
    <row r="1" spans="1:21" x14ac:dyDescent="0.35">
      <c r="A1" s="3" t="s">
        <v>0</v>
      </c>
      <c r="B1" s="3" t="s">
        <v>1</v>
      </c>
      <c r="C1" s="3" t="s">
        <v>4063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t="s">
        <v>4078</v>
      </c>
      <c r="L1" t="s">
        <v>4079</v>
      </c>
      <c r="N1" t="s">
        <v>4808</v>
      </c>
    </row>
    <row r="2" spans="1:21" x14ac:dyDescent="0.35">
      <c r="A2" s="3">
        <v>103411292</v>
      </c>
      <c r="B2" s="3" t="s">
        <v>4082</v>
      </c>
      <c r="C2" s="3" t="str">
        <f>LEFT(B2,FIND("T",B2)-1)</f>
        <v>2022-07-07</v>
      </c>
      <c r="D2" s="3" t="s">
        <v>9</v>
      </c>
      <c r="E2" s="3" t="s">
        <v>5</v>
      </c>
      <c r="F2" s="3" t="s">
        <v>10</v>
      </c>
      <c r="G2" s="3" t="s">
        <v>4083</v>
      </c>
      <c r="H2" s="3" t="s">
        <v>4084</v>
      </c>
      <c r="I2" s="4">
        <v>6839.14</v>
      </c>
      <c r="J2" s="3" t="s">
        <v>11</v>
      </c>
      <c r="K2" t="e">
        <f>MATCH(A2,Database!$A$2:$A$948,0)</f>
        <v>#N/A</v>
      </c>
      <c r="L2" t="e">
        <f>VLOOKUP(A2,Database!$A$2:$I$948,4,0)</f>
        <v>#N/A</v>
      </c>
      <c r="M2" t="e">
        <f>I2=L2</f>
        <v>#N/A</v>
      </c>
      <c r="N2" t="e">
        <f>VLOOKUP(A2,Database!$A$2:$I$948,5,0)</f>
        <v>#N/A</v>
      </c>
    </row>
    <row r="3" spans="1:21" x14ac:dyDescent="0.35">
      <c r="A3" s="3">
        <v>103411281</v>
      </c>
      <c r="B3" s="3" t="s">
        <v>4085</v>
      </c>
      <c r="C3" s="3" t="str">
        <f t="shared" ref="C3:C66" si="0">LEFT(B3,FIND("T",B3)-1)</f>
        <v>2022-07-07</v>
      </c>
      <c r="D3" s="3" t="s">
        <v>9</v>
      </c>
      <c r="E3" s="3" t="s">
        <v>5</v>
      </c>
      <c r="F3" s="3" t="s">
        <v>10</v>
      </c>
      <c r="G3" s="3" t="s">
        <v>4086</v>
      </c>
      <c r="H3" s="3" t="s">
        <v>4087</v>
      </c>
      <c r="I3" s="4">
        <v>2468.1</v>
      </c>
      <c r="J3" s="3" t="s">
        <v>11</v>
      </c>
      <c r="K3" t="e">
        <f>MATCH(A3,Database!$A$2:$A$948,0)</f>
        <v>#N/A</v>
      </c>
      <c r="L3" t="e">
        <f>VLOOKUP(A3,Database!$A$2:$I$948,4,0)</f>
        <v>#N/A</v>
      </c>
      <c r="M3" t="e">
        <f t="shared" ref="M3:M66" si="1">I3=L3</f>
        <v>#N/A</v>
      </c>
      <c r="N3" t="e">
        <f>VLOOKUP(A3,Database!$A$2:$I$948,5,0)</f>
        <v>#N/A</v>
      </c>
    </row>
    <row r="4" spans="1:21" x14ac:dyDescent="0.35">
      <c r="A4" s="3">
        <v>103411274</v>
      </c>
      <c r="B4" s="3" t="s">
        <v>4088</v>
      </c>
      <c r="C4" s="3" t="str">
        <f t="shared" si="0"/>
        <v>2022-07-07</v>
      </c>
      <c r="D4" s="3" t="s">
        <v>9</v>
      </c>
      <c r="E4" s="3" t="s">
        <v>5</v>
      </c>
      <c r="F4" s="3" t="s">
        <v>10</v>
      </c>
      <c r="G4" s="3" t="s">
        <v>4089</v>
      </c>
      <c r="H4" s="3" t="s">
        <v>4090</v>
      </c>
      <c r="I4" s="5">
        <v>5849</v>
      </c>
      <c r="J4" s="3" t="s">
        <v>11</v>
      </c>
      <c r="K4" t="e">
        <f>MATCH(A4,Database!$A$2:$A$948,0)</f>
        <v>#N/A</v>
      </c>
      <c r="L4" t="e">
        <f>VLOOKUP(A4,Database!$A$2:$I$948,4,0)</f>
        <v>#N/A</v>
      </c>
      <c r="M4" t="e">
        <f t="shared" si="1"/>
        <v>#N/A</v>
      </c>
      <c r="N4" t="e">
        <f>VLOOKUP(A4,Database!$A$2:$I$948,5,0)</f>
        <v>#N/A</v>
      </c>
    </row>
    <row r="5" spans="1:21" x14ac:dyDescent="0.35">
      <c r="A5" s="3">
        <v>103411272</v>
      </c>
      <c r="B5" s="3" t="s">
        <v>4091</v>
      </c>
      <c r="C5" s="3" t="str">
        <f t="shared" si="0"/>
        <v>2022-07-07</v>
      </c>
      <c r="D5" s="3" t="s">
        <v>9</v>
      </c>
      <c r="E5" s="3" t="s">
        <v>5</v>
      </c>
      <c r="F5" s="3" t="s">
        <v>12</v>
      </c>
      <c r="G5" s="3" t="s">
        <v>4092</v>
      </c>
      <c r="H5" s="3" t="s">
        <v>4093</v>
      </c>
      <c r="I5" s="5">
        <v>1249</v>
      </c>
      <c r="J5" s="3" t="s">
        <v>14</v>
      </c>
      <c r="K5" t="e">
        <f>MATCH(A5,Database!$A$2:$A$948,0)</f>
        <v>#N/A</v>
      </c>
      <c r="L5" t="e">
        <f>VLOOKUP(A5,Database!$A$2:$I$948,4,0)</f>
        <v>#N/A</v>
      </c>
      <c r="M5" t="e">
        <f t="shared" si="1"/>
        <v>#N/A</v>
      </c>
      <c r="N5" t="e">
        <f>VLOOKUP(A5,Database!$A$2:$I$948,5,0)</f>
        <v>#N/A</v>
      </c>
    </row>
    <row r="6" spans="1:21" hidden="1" x14ac:dyDescent="0.35">
      <c r="A6" s="3">
        <v>103411192</v>
      </c>
      <c r="B6" s="3" t="s">
        <v>4094</v>
      </c>
      <c r="C6" s="3" t="str">
        <f t="shared" si="0"/>
        <v>2022-07-07</v>
      </c>
      <c r="D6" s="3" t="s">
        <v>9</v>
      </c>
      <c r="E6" s="3" t="s">
        <v>5</v>
      </c>
      <c r="F6" s="3" t="s">
        <v>10</v>
      </c>
      <c r="G6" s="3" t="s">
        <v>4095</v>
      </c>
      <c r="H6" s="3" t="s">
        <v>4096</v>
      </c>
      <c r="I6" s="5">
        <v>9598</v>
      </c>
      <c r="J6" s="3" t="s">
        <v>14</v>
      </c>
      <c r="K6">
        <f>MATCH(A6,Database!$A$2:$A$948,0)</f>
        <v>936</v>
      </c>
      <c r="L6">
        <f>VLOOKUP(A6,Database!$A$2:$I$948,4,0)</f>
        <v>9598</v>
      </c>
      <c r="M6" t="b">
        <f t="shared" si="1"/>
        <v>1</v>
      </c>
      <c r="N6">
        <f>VLOOKUP(A6,Database!$A$2:$I$948,5,0)</f>
        <v>2</v>
      </c>
    </row>
    <row r="7" spans="1:21" x14ac:dyDescent="0.35">
      <c r="A7" s="3">
        <v>103411270</v>
      </c>
      <c r="B7" s="3" t="s">
        <v>4097</v>
      </c>
      <c r="C7" s="3" t="str">
        <f t="shared" si="0"/>
        <v>2022-07-07</v>
      </c>
      <c r="D7" s="3" t="s">
        <v>9</v>
      </c>
      <c r="E7" s="3" t="s">
        <v>5</v>
      </c>
      <c r="F7" s="3" t="s">
        <v>10</v>
      </c>
      <c r="G7" s="3" t="s">
        <v>4098</v>
      </c>
      <c r="H7" s="3" t="s">
        <v>4099</v>
      </c>
      <c r="I7" s="3">
        <v>616.54999999999995</v>
      </c>
      <c r="J7" s="3" t="s">
        <v>14</v>
      </c>
      <c r="K7" t="e">
        <f>MATCH(A7,Database!$A$2:$A$948,0)</f>
        <v>#N/A</v>
      </c>
      <c r="L7" t="e">
        <f>VLOOKUP(A7,Database!$A$2:$I$948,4,0)</f>
        <v>#N/A</v>
      </c>
      <c r="M7" t="e">
        <f t="shared" si="1"/>
        <v>#N/A</v>
      </c>
      <c r="N7" t="e">
        <f>VLOOKUP(A7,Database!$A$2:$I$948,5,0)</f>
        <v>#N/A</v>
      </c>
    </row>
    <row r="8" spans="1:21" x14ac:dyDescent="0.35">
      <c r="A8" s="3">
        <v>103411266</v>
      </c>
      <c r="B8" s="3" t="s">
        <v>4100</v>
      </c>
      <c r="C8" s="3" t="str">
        <f t="shared" si="0"/>
        <v>2022-07-07</v>
      </c>
      <c r="D8" s="3" t="s">
        <v>9</v>
      </c>
      <c r="E8" s="3" t="s">
        <v>5</v>
      </c>
      <c r="F8" s="3" t="s">
        <v>10</v>
      </c>
      <c r="G8" s="3" t="s">
        <v>4101</v>
      </c>
      <c r="H8" s="3" t="s">
        <v>4102</v>
      </c>
      <c r="I8" s="4">
        <v>3051.49</v>
      </c>
      <c r="J8" s="3" t="s">
        <v>14</v>
      </c>
      <c r="K8" t="e">
        <f>MATCH(A8,Database!$A$2:$A$948,0)</f>
        <v>#N/A</v>
      </c>
      <c r="L8" t="e">
        <f>VLOOKUP(A8,Database!$A$2:$I$948,4,0)</f>
        <v>#N/A</v>
      </c>
      <c r="M8" t="e">
        <f t="shared" si="1"/>
        <v>#N/A</v>
      </c>
      <c r="N8" t="e">
        <f>VLOOKUP(A8,Database!$A$2:$I$948,5,0)</f>
        <v>#N/A</v>
      </c>
      <c r="S8">
        <v>2</v>
      </c>
      <c r="T8">
        <v>200</v>
      </c>
      <c r="U8">
        <v>250</v>
      </c>
    </row>
    <row r="9" spans="1:21" x14ac:dyDescent="0.35">
      <c r="A9" s="3">
        <v>103411265</v>
      </c>
      <c r="B9" s="3" t="s">
        <v>4103</v>
      </c>
      <c r="C9" s="3" t="str">
        <f t="shared" si="0"/>
        <v>2022-07-07</v>
      </c>
      <c r="D9" s="3" t="s">
        <v>9</v>
      </c>
      <c r="E9" s="3" t="s">
        <v>5</v>
      </c>
      <c r="F9" s="3" t="s">
        <v>10</v>
      </c>
      <c r="G9" s="3" t="s">
        <v>4104</v>
      </c>
      <c r="H9" s="3" t="s">
        <v>4105</v>
      </c>
      <c r="I9" s="3">
        <v>489</v>
      </c>
      <c r="J9" s="3" t="s">
        <v>14</v>
      </c>
      <c r="K9" t="e">
        <f>MATCH(A9,Database!$A$2:$A$948,0)</f>
        <v>#N/A</v>
      </c>
      <c r="L9" t="e">
        <f>VLOOKUP(A9,Database!$A$2:$I$948,4,0)</f>
        <v>#N/A</v>
      </c>
      <c r="M9" t="e">
        <f t="shared" si="1"/>
        <v>#N/A</v>
      </c>
      <c r="N9" t="e">
        <f>VLOOKUP(A9,Database!$A$2:$I$948,5,0)</f>
        <v>#N/A</v>
      </c>
      <c r="T9">
        <v>300</v>
      </c>
      <c r="U9">
        <v>250</v>
      </c>
    </row>
    <row r="10" spans="1:21" hidden="1" x14ac:dyDescent="0.35">
      <c r="A10" s="3">
        <v>103411188</v>
      </c>
      <c r="B10" s="3" t="s">
        <v>4106</v>
      </c>
      <c r="C10" s="3" t="str">
        <f t="shared" si="0"/>
        <v>2022-07-07</v>
      </c>
      <c r="D10" s="3" t="s">
        <v>9</v>
      </c>
      <c r="E10" s="3" t="s">
        <v>5</v>
      </c>
      <c r="F10" s="3" t="s">
        <v>10</v>
      </c>
      <c r="G10" s="3" t="s">
        <v>4107</v>
      </c>
      <c r="H10" s="3" t="s">
        <v>4108</v>
      </c>
      <c r="I10" s="3">
        <v>350.55</v>
      </c>
      <c r="J10" s="3" t="s">
        <v>14</v>
      </c>
      <c r="K10">
        <f>MATCH(A10,Database!$A$2:$A$948,0)</f>
        <v>935</v>
      </c>
      <c r="L10">
        <f>VLOOKUP(A10,Database!$A$2:$I$948,4,0)</f>
        <v>350.55</v>
      </c>
      <c r="M10" t="b">
        <f t="shared" si="1"/>
        <v>1</v>
      </c>
      <c r="N10">
        <f>VLOOKUP(A10,Database!$A$2:$I$948,5,0)</f>
        <v>1</v>
      </c>
      <c r="T10">
        <v>500</v>
      </c>
    </row>
    <row r="11" spans="1:21" hidden="1" x14ac:dyDescent="0.35">
      <c r="A11" s="3">
        <v>103411187</v>
      </c>
      <c r="B11" s="3" t="s">
        <v>4109</v>
      </c>
      <c r="C11" s="3" t="str">
        <f t="shared" si="0"/>
        <v>2022-07-07</v>
      </c>
      <c r="D11" s="3" t="s">
        <v>9</v>
      </c>
      <c r="E11" s="3" t="s">
        <v>5</v>
      </c>
      <c r="F11" s="3" t="s">
        <v>10</v>
      </c>
      <c r="G11" s="3" t="s">
        <v>4110</v>
      </c>
      <c r="H11" s="3" t="s">
        <v>4111</v>
      </c>
      <c r="I11" s="5">
        <v>1999</v>
      </c>
      <c r="J11" s="3" t="s">
        <v>14</v>
      </c>
      <c r="K11">
        <f>MATCH(A11,Database!$A$2:$A$948,0)</f>
        <v>934</v>
      </c>
      <c r="L11">
        <f>VLOOKUP(A11,Database!$A$2:$I$948,4,0)</f>
        <v>1999</v>
      </c>
      <c r="M11" t="b">
        <f t="shared" si="1"/>
        <v>1</v>
      </c>
      <c r="N11">
        <f>VLOOKUP(A11,Database!$A$2:$I$948,5,0)</f>
        <v>1</v>
      </c>
    </row>
    <row r="12" spans="1:21" hidden="1" x14ac:dyDescent="0.35">
      <c r="A12" s="3">
        <v>103411186</v>
      </c>
      <c r="B12" s="3" t="s">
        <v>4112</v>
      </c>
      <c r="C12" s="3" t="str">
        <f t="shared" si="0"/>
        <v>2022-07-07</v>
      </c>
      <c r="D12" s="3" t="s">
        <v>9</v>
      </c>
      <c r="E12" s="3" t="s">
        <v>5</v>
      </c>
      <c r="F12" s="3" t="s">
        <v>10</v>
      </c>
      <c r="G12" s="3" t="s">
        <v>3650</v>
      </c>
      <c r="H12" s="3" t="s">
        <v>3651</v>
      </c>
      <c r="I12" s="4">
        <v>1851.55</v>
      </c>
      <c r="J12" s="3" t="s">
        <v>14</v>
      </c>
      <c r="K12">
        <f>MATCH(A12,Database!$A$2:$A$948,0)</f>
        <v>933</v>
      </c>
      <c r="L12">
        <f>VLOOKUP(A12,Database!$A$2:$I$948,4,0)</f>
        <v>1851.55</v>
      </c>
      <c r="M12" t="b">
        <f t="shared" si="1"/>
        <v>1</v>
      </c>
      <c r="N12">
        <f>VLOOKUP(A12,Database!$A$2:$I$948,5,0)</f>
        <v>1</v>
      </c>
    </row>
    <row r="13" spans="1:21" hidden="1" x14ac:dyDescent="0.35">
      <c r="A13" s="3">
        <v>103411161</v>
      </c>
      <c r="B13" s="3" t="s">
        <v>4113</v>
      </c>
      <c r="C13" s="3" t="str">
        <f t="shared" si="0"/>
        <v>2022-07-07</v>
      </c>
      <c r="D13" s="3" t="s">
        <v>9</v>
      </c>
      <c r="E13" s="3" t="s">
        <v>5</v>
      </c>
      <c r="F13" s="3" t="s">
        <v>10</v>
      </c>
      <c r="G13" s="3" t="s">
        <v>4114</v>
      </c>
      <c r="H13" s="3" t="s">
        <v>4115</v>
      </c>
      <c r="I13" s="4">
        <v>6839.05</v>
      </c>
      <c r="J13" s="3" t="s">
        <v>14</v>
      </c>
      <c r="K13">
        <f>MATCH(A13,Database!$A$2:$A$948,0)</f>
        <v>928</v>
      </c>
      <c r="L13">
        <f>VLOOKUP(A13,Database!$A$2:$I$948,4,0)</f>
        <v>6839.05</v>
      </c>
      <c r="M13" t="b">
        <f t="shared" si="1"/>
        <v>1</v>
      </c>
      <c r="N13">
        <f>VLOOKUP(A13,Database!$A$2:$I$948,5,0)</f>
        <v>1</v>
      </c>
    </row>
    <row r="14" spans="1:21" hidden="1" x14ac:dyDescent="0.35">
      <c r="A14" s="3">
        <v>103411156</v>
      </c>
      <c r="B14" s="3" t="s">
        <v>4116</v>
      </c>
      <c r="C14" s="3" t="str">
        <f t="shared" si="0"/>
        <v>2022-07-07</v>
      </c>
      <c r="D14" s="3" t="s">
        <v>9</v>
      </c>
      <c r="E14" s="3" t="s">
        <v>5</v>
      </c>
      <c r="F14" s="3" t="s">
        <v>10</v>
      </c>
      <c r="G14" s="3" t="s">
        <v>4117</v>
      </c>
      <c r="H14" s="3" t="s">
        <v>4118</v>
      </c>
      <c r="I14" s="5">
        <v>5199</v>
      </c>
      <c r="J14" s="3" t="s">
        <v>14</v>
      </c>
      <c r="K14">
        <f>MATCH(A14,Database!$A$2:$A$948,0)</f>
        <v>927</v>
      </c>
      <c r="L14">
        <f>VLOOKUP(A14,Database!$A$2:$I$948,4,0)</f>
        <v>5199</v>
      </c>
      <c r="M14" t="b">
        <f t="shared" si="1"/>
        <v>1</v>
      </c>
      <c r="N14">
        <f>VLOOKUP(A14,Database!$A$2:$I$948,5,0)</f>
        <v>1</v>
      </c>
    </row>
    <row r="15" spans="1:21" hidden="1" x14ac:dyDescent="0.35">
      <c r="A15" s="3">
        <v>103411155</v>
      </c>
      <c r="B15" s="3" t="s">
        <v>4119</v>
      </c>
      <c r="C15" s="3" t="str">
        <f t="shared" si="0"/>
        <v>2022-07-07</v>
      </c>
      <c r="D15" s="3" t="s">
        <v>9</v>
      </c>
      <c r="E15" s="3" t="s">
        <v>5</v>
      </c>
      <c r="F15" s="3" t="s">
        <v>10</v>
      </c>
      <c r="G15" s="3" t="s">
        <v>4120</v>
      </c>
      <c r="H15" s="3" t="s">
        <v>4121</v>
      </c>
      <c r="I15" s="3">
        <v>389</v>
      </c>
      <c r="J15" s="3" t="s">
        <v>14</v>
      </c>
      <c r="K15">
        <f>MATCH(A15,Database!$A$2:$A$948,0)</f>
        <v>926</v>
      </c>
      <c r="L15">
        <f>VLOOKUP(A15,Database!$A$2:$I$948,4,0)</f>
        <v>389</v>
      </c>
      <c r="M15" t="b">
        <f t="shared" si="1"/>
        <v>1</v>
      </c>
      <c r="N15">
        <f>VLOOKUP(A15,Database!$A$2:$I$948,5,0)</f>
        <v>1</v>
      </c>
    </row>
    <row r="16" spans="1:21" hidden="1" x14ac:dyDescent="0.35">
      <c r="A16" s="3">
        <v>103411150</v>
      </c>
      <c r="B16" s="3" t="s">
        <v>4122</v>
      </c>
      <c r="C16" s="3" t="str">
        <f t="shared" si="0"/>
        <v>2022-07-07</v>
      </c>
      <c r="D16" s="3" t="s">
        <v>9</v>
      </c>
      <c r="E16" s="3" t="s">
        <v>5</v>
      </c>
      <c r="F16" s="3" t="s">
        <v>12</v>
      </c>
      <c r="G16" s="3" t="s">
        <v>4123</v>
      </c>
      <c r="H16" s="3" t="s">
        <v>4124</v>
      </c>
      <c r="I16" s="3">
        <v>806.55</v>
      </c>
      <c r="J16" s="3" t="s">
        <v>14</v>
      </c>
      <c r="K16">
        <f>MATCH(A16,Database!$A$2:$A$948,0)</f>
        <v>925</v>
      </c>
      <c r="L16">
        <f>VLOOKUP(A16,Database!$A$2:$I$948,4,0)</f>
        <v>806.55</v>
      </c>
      <c r="M16" t="b">
        <f t="shared" si="1"/>
        <v>1</v>
      </c>
      <c r="N16">
        <f>VLOOKUP(A16,Database!$A$2:$I$948,5,0)</f>
        <v>1</v>
      </c>
    </row>
    <row r="17" spans="1:20" hidden="1" x14ac:dyDescent="0.35">
      <c r="A17" s="3">
        <v>103411146</v>
      </c>
      <c r="B17" s="3" t="s">
        <v>4125</v>
      </c>
      <c r="C17" s="3" t="str">
        <f t="shared" si="0"/>
        <v>2022-07-07</v>
      </c>
      <c r="D17" s="3" t="s">
        <v>9</v>
      </c>
      <c r="E17" s="3" t="s">
        <v>5</v>
      </c>
      <c r="F17" s="3" t="s">
        <v>10</v>
      </c>
      <c r="G17" s="3" t="s">
        <v>4126</v>
      </c>
      <c r="H17" s="3" t="s">
        <v>4127</v>
      </c>
      <c r="I17" s="4">
        <v>2374.0500000000002</v>
      </c>
      <c r="J17" s="3" t="s">
        <v>14</v>
      </c>
      <c r="K17">
        <f>MATCH(A17,Database!$A$2:$A$948,0)</f>
        <v>924</v>
      </c>
      <c r="L17">
        <f>VLOOKUP(A17,Database!$A$2:$I$948,4,0)</f>
        <v>2374.0500000000002</v>
      </c>
      <c r="M17" t="b">
        <f t="shared" si="1"/>
        <v>1</v>
      </c>
      <c r="N17">
        <f>VLOOKUP(A17,Database!$A$2:$I$948,5,0)</f>
        <v>1</v>
      </c>
      <c r="S17" t="s">
        <v>4080</v>
      </c>
      <c r="T17" t="s">
        <v>4081</v>
      </c>
    </row>
    <row r="18" spans="1:20" hidden="1" x14ac:dyDescent="0.35">
      <c r="A18" s="3">
        <v>103411179</v>
      </c>
      <c r="B18" s="3" t="s">
        <v>4128</v>
      </c>
      <c r="C18" s="3" t="str">
        <f t="shared" si="0"/>
        <v>2022-07-07</v>
      </c>
      <c r="D18" s="3" t="s">
        <v>9</v>
      </c>
      <c r="E18" s="3" t="s">
        <v>5</v>
      </c>
      <c r="F18" s="3" t="s">
        <v>10</v>
      </c>
      <c r="G18" s="3" t="s">
        <v>4129</v>
      </c>
      <c r="H18" s="3" t="s">
        <v>4130</v>
      </c>
      <c r="I18" s="4">
        <v>4143.33</v>
      </c>
      <c r="J18" s="3" t="s">
        <v>14</v>
      </c>
      <c r="K18">
        <f>MATCH(A18,Database!$A$2:$A$948,0)</f>
        <v>932</v>
      </c>
      <c r="L18">
        <f>VLOOKUP(A18,Database!$A$2:$I$948,4,0)</f>
        <v>4143.33</v>
      </c>
      <c r="M18" t="b">
        <f t="shared" si="1"/>
        <v>1</v>
      </c>
      <c r="N18">
        <f>VLOOKUP(A18,Database!$A$2:$I$948,5,0)</f>
        <v>4</v>
      </c>
      <c r="S18">
        <v>5</v>
      </c>
      <c r="T18">
        <v>2</v>
      </c>
    </row>
    <row r="19" spans="1:20" hidden="1" x14ac:dyDescent="0.35">
      <c r="A19" s="3">
        <v>103411177</v>
      </c>
      <c r="B19" s="3" t="s">
        <v>4131</v>
      </c>
      <c r="C19" s="3" t="str">
        <f t="shared" si="0"/>
        <v>2022-07-07</v>
      </c>
      <c r="D19" s="3" t="s">
        <v>9</v>
      </c>
      <c r="E19" s="3" t="s">
        <v>5</v>
      </c>
      <c r="F19" s="3" t="s">
        <v>12</v>
      </c>
      <c r="G19" s="3" t="s">
        <v>4132</v>
      </c>
      <c r="H19" s="3" t="s">
        <v>4133</v>
      </c>
      <c r="I19" s="5">
        <v>3599</v>
      </c>
      <c r="J19" s="3" t="s">
        <v>14</v>
      </c>
      <c r="K19">
        <f>MATCH(A19,Database!$A$2:$A$948,0)</f>
        <v>931</v>
      </c>
      <c r="L19">
        <f>VLOOKUP(A19,Database!$A$2:$I$948,4,0)</f>
        <v>3599</v>
      </c>
      <c r="M19" t="b">
        <f t="shared" si="1"/>
        <v>1</v>
      </c>
      <c r="N19">
        <f>VLOOKUP(A19,Database!$A$2:$I$948,5,0)</f>
        <v>1</v>
      </c>
    </row>
    <row r="20" spans="1:20" hidden="1" x14ac:dyDescent="0.35">
      <c r="A20" s="3">
        <v>103411144</v>
      </c>
      <c r="B20" s="3" t="s">
        <v>4134</v>
      </c>
      <c r="C20" s="3" t="str">
        <f t="shared" si="0"/>
        <v>2022-07-07</v>
      </c>
      <c r="D20" s="3" t="s">
        <v>9</v>
      </c>
      <c r="E20" s="3" t="s">
        <v>5</v>
      </c>
      <c r="F20" s="3" t="s">
        <v>12</v>
      </c>
      <c r="G20" s="3" t="s">
        <v>4135</v>
      </c>
      <c r="H20" s="3" t="s">
        <v>4136</v>
      </c>
      <c r="I20" s="5">
        <v>6345</v>
      </c>
      <c r="J20" s="3" t="s">
        <v>14</v>
      </c>
      <c r="K20">
        <f>MATCH(A20,Database!$A$2:$A$948,0)</f>
        <v>923</v>
      </c>
      <c r="L20">
        <f>VLOOKUP(A20,Database!$A$2:$I$948,4,0)</f>
        <v>6345</v>
      </c>
      <c r="M20" t="b">
        <f t="shared" si="1"/>
        <v>1</v>
      </c>
      <c r="N20">
        <f>VLOOKUP(A20,Database!$A$2:$I$948,5,0)</f>
        <v>5</v>
      </c>
    </row>
    <row r="21" spans="1:20" hidden="1" x14ac:dyDescent="0.35">
      <c r="A21" s="3">
        <v>103411143</v>
      </c>
      <c r="B21" s="3" t="s">
        <v>4137</v>
      </c>
      <c r="C21" s="3" t="str">
        <f t="shared" si="0"/>
        <v>2022-07-07</v>
      </c>
      <c r="D21" s="3" t="s">
        <v>9</v>
      </c>
      <c r="E21" s="3" t="s">
        <v>5</v>
      </c>
      <c r="F21" s="3" t="s">
        <v>10</v>
      </c>
      <c r="G21" s="3" t="s">
        <v>4138</v>
      </c>
      <c r="H21" s="3" t="s">
        <v>4139</v>
      </c>
      <c r="I21" s="4">
        <v>1076.44</v>
      </c>
      <c r="J21" s="3" t="s">
        <v>14</v>
      </c>
      <c r="K21">
        <f>MATCH(A21,Database!$A$2:$A$948,0)</f>
        <v>922</v>
      </c>
      <c r="L21">
        <f>VLOOKUP(A21,Database!$A$2:$I$948,4,0)</f>
        <v>1076.44</v>
      </c>
      <c r="M21" t="b">
        <f t="shared" si="1"/>
        <v>1</v>
      </c>
      <c r="N21">
        <f>VLOOKUP(A21,Database!$A$2:$I$948,5,0)</f>
        <v>1</v>
      </c>
    </row>
    <row r="22" spans="1:20" hidden="1" x14ac:dyDescent="0.35">
      <c r="A22" s="3">
        <v>103411142</v>
      </c>
      <c r="B22" s="3" t="s">
        <v>4140</v>
      </c>
      <c r="C22" s="3" t="str">
        <f t="shared" si="0"/>
        <v>2022-07-07</v>
      </c>
      <c r="D22" s="3" t="s">
        <v>9</v>
      </c>
      <c r="E22" s="3" t="s">
        <v>5</v>
      </c>
      <c r="F22" s="3" t="s">
        <v>10</v>
      </c>
      <c r="G22" s="3" t="s">
        <v>4141</v>
      </c>
      <c r="H22" s="3" t="s">
        <v>4142</v>
      </c>
      <c r="I22" s="4">
        <v>3656.55</v>
      </c>
      <c r="J22" s="3" t="s">
        <v>14</v>
      </c>
      <c r="K22">
        <f>MATCH(A22,Database!$A$2:$A$948,0)</f>
        <v>921</v>
      </c>
      <c r="L22">
        <f>VLOOKUP(A22,Database!$A$2:$I$948,4,0)</f>
        <v>3656.55</v>
      </c>
      <c r="M22" t="b">
        <f t="shared" si="1"/>
        <v>1</v>
      </c>
      <c r="N22">
        <f>VLOOKUP(A22,Database!$A$2:$I$948,5,0)</f>
        <v>1</v>
      </c>
    </row>
    <row r="23" spans="1:20" hidden="1" x14ac:dyDescent="0.35">
      <c r="A23" s="3">
        <v>103411174</v>
      </c>
      <c r="B23" s="3" t="s">
        <v>4143</v>
      </c>
      <c r="C23" s="3" t="str">
        <f t="shared" si="0"/>
        <v>2022-07-07</v>
      </c>
      <c r="D23" s="3" t="s">
        <v>9</v>
      </c>
      <c r="E23" s="3" t="s">
        <v>5</v>
      </c>
      <c r="F23" s="3" t="s">
        <v>10</v>
      </c>
      <c r="G23" s="3" t="s">
        <v>4144</v>
      </c>
      <c r="H23" s="3" t="s">
        <v>4145</v>
      </c>
      <c r="I23" s="4">
        <v>1063.05</v>
      </c>
      <c r="J23" s="3" t="s">
        <v>14</v>
      </c>
      <c r="K23">
        <f>MATCH(A23,Database!$A$2:$A$948,0)</f>
        <v>930</v>
      </c>
      <c r="L23">
        <f>VLOOKUP(A23,Database!$A$2:$I$948,4,0)</f>
        <v>1063.05</v>
      </c>
      <c r="M23" t="b">
        <f t="shared" si="1"/>
        <v>1</v>
      </c>
      <c r="N23">
        <f>VLOOKUP(A23,Database!$A$2:$I$948,5,0)</f>
        <v>1</v>
      </c>
    </row>
    <row r="24" spans="1:20" hidden="1" x14ac:dyDescent="0.35">
      <c r="A24" s="3">
        <v>103411140</v>
      </c>
      <c r="B24" s="3" t="s">
        <v>4146</v>
      </c>
      <c r="C24" s="3" t="str">
        <f t="shared" si="0"/>
        <v>2022-07-07</v>
      </c>
      <c r="D24" s="3" t="s">
        <v>9</v>
      </c>
      <c r="E24" s="3" t="s">
        <v>5</v>
      </c>
      <c r="F24" s="3" t="s">
        <v>10</v>
      </c>
      <c r="G24" s="3" t="s">
        <v>4147</v>
      </c>
      <c r="H24" s="3" t="s">
        <v>4148</v>
      </c>
      <c r="I24" s="4">
        <v>4321.55</v>
      </c>
      <c r="J24" s="3" t="s">
        <v>14</v>
      </c>
      <c r="K24">
        <f>MATCH(A24,Database!$A$2:$A$948,0)</f>
        <v>920</v>
      </c>
      <c r="L24">
        <f>VLOOKUP(A24,Database!$A$2:$I$948,4,0)</f>
        <v>4321.55</v>
      </c>
      <c r="M24" t="b">
        <f t="shared" si="1"/>
        <v>1</v>
      </c>
      <c r="N24">
        <f>VLOOKUP(A24,Database!$A$2:$I$948,5,0)</f>
        <v>1</v>
      </c>
    </row>
    <row r="25" spans="1:20" hidden="1" x14ac:dyDescent="0.35">
      <c r="A25" s="3">
        <v>103411138</v>
      </c>
      <c r="B25" s="3" t="s">
        <v>4149</v>
      </c>
      <c r="C25" s="3" t="str">
        <f t="shared" si="0"/>
        <v>2022-07-07</v>
      </c>
      <c r="D25" s="3" t="s">
        <v>9</v>
      </c>
      <c r="E25" s="3" t="s">
        <v>5</v>
      </c>
      <c r="F25" s="3" t="s">
        <v>10</v>
      </c>
      <c r="G25" s="3" t="s">
        <v>4150</v>
      </c>
      <c r="H25" s="3" t="s">
        <v>4151</v>
      </c>
      <c r="I25" s="4">
        <v>1899.05</v>
      </c>
      <c r="J25" s="3" t="s">
        <v>14</v>
      </c>
      <c r="K25">
        <f>MATCH(A25,Database!$A$2:$A$948,0)</f>
        <v>919</v>
      </c>
      <c r="L25">
        <f>VLOOKUP(A25,Database!$A$2:$I$948,4,0)</f>
        <v>1899.05</v>
      </c>
      <c r="M25" t="b">
        <f t="shared" si="1"/>
        <v>1</v>
      </c>
      <c r="N25">
        <f>VLOOKUP(A25,Database!$A$2:$I$948,5,0)</f>
        <v>1</v>
      </c>
    </row>
    <row r="26" spans="1:20" hidden="1" x14ac:dyDescent="0.35">
      <c r="A26" s="3">
        <v>103411137</v>
      </c>
      <c r="B26" s="3" t="s">
        <v>4152</v>
      </c>
      <c r="C26" s="3" t="str">
        <f t="shared" si="0"/>
        <v>2022-07-07</v>
      </c>
      <c r="D26" s="3" t="s">
        <v>9</v>
      </c>
      <c r="E26" s="3" t="s">
        <v>5</v>
      </c>
      <c r="F26" s="3" t="s">
        <v>12</v>
      </c>
      <c r="G26" s="3" t="s">
        <v>4153</v>
      </c>
      <c r="H26" s="3" t="s">
        <v>4154</v>
      </c>
      <c r="I26" s="4">
        <v>4439.49</v>
      </c>
      <c r="J26" s="3" t="s">
        <v>14</v>
      </c>
      <c r="K26">
        <f>MATCH(A26,Database!$A$2:$A$948,0)</f>
        <v>918</v>
      </c>
      <c r="L26">
        <f>VLOOKUP(A26,Database!$A$2:$I$948,4,0)</f>
        <v>4439.49</v>
      </c>
      <c r="M26" t="b">
        <f t="shared" si="1"/>
        <v>1</v>
      </c>
      <c r="N26">
        <f>VLOOKUP(A26,Database!$A$2:$I$948,5,0)</f>
        <v>2</v>
      </c>
    </row>
    <row r="27" spans="1:20" hidden="1" x14ac:dyDescent="0.35">
      <c r="A27" s="3">
        <v>103411169</v>
      </c>
      <c r="B27" s="3" t="s">
        <v>4152</v>
      </c>
      <c r="C27" s="3" t="str">
        <f t="shared" si="0"/>
        <v>2022-07-07</v>
      </c>
      <c r="D27" s="3" t="s">
        <v>9</v>
      </c>
      <c r="E27" s="3" t="s">
        <v>5</v>
      </c>
      <c r="F27" s="3" t="s">
        <v>10</v>
      </c>
      <c r="G27" s="3" t="s">
        <v>4155</v>
      </c>
      <c r="H27" s="3" t="s">
        <v>4156</v>
      </c>
      <c r="I27" s="3">
        <v>806.55</v>
      </c>
      <c r="J27" s="3" t="s">
        <v>14</v>
      </c>
      <c r="K27">
        <f>MATCH(A27,Database!$A$2:$A$948,0)</f>
        <v>929</v>
      </c>
      <c r="L27">
        <f>VLOOKUP(A27,Database!$A$2:$I$948,4,0)</f>
        <v>806.55</v>
      </c>
      <c r="M27" t="b">
        <f t="shared" si="1"/>
        <v>1</v>
      </c>
      <c r="N27">
        <f>VLOOKUP(A27,Database!$A$2:$I$948,5,0)</f>
        <v>1</v>
      </c>
    </row>
    <row r="28" spans="1:20" hidden="1" x14ac:dyDescent="0.35">
      <c r="A28" s="3">
        <v>103411132</v>
      </c>
      <c r="B28" s="3" t="s">
        <v>4157</v>
      </c>
      <c r="C28" s="3" t="str">
        <f t="shared" si="0"/>
        <v>2022-07-07</v>
      </c>
      <c r="D28" s="3" t="s">
        <v>9</v>
      </c>
      <c r="E28" s="3" t="s">
        <v>5</v>
      </c>
      <c r="F28" s="3" t="s">
        <v>10</v>
      </c>
      <c r="G28" s="3" t="s">
        <v>4158</v>
      </c>
      <c r="H28" s="3" t="s">
        <v>4159</v>
      </c>
      <c r="I28" s="4">
        <v>1025.1400000000001</v>
      </c>
      <c r="J28" s="3" t="s">
        <v>14</v>
      </c>
      <c r="K28">
        <f>MATCH(A28,Database!$A$2:$A$948,0)</f>
        <v>917</v>
      </c>
      <c r="L28">
        <f>VLOOKUP(A28,Database!$A$2:$I$948,4,0)</f>
        <v>1025.1400000000001</v>
      </c>
      <c r="M28" t="b">
        <f t="shared" si="1"/>
        <v>1</v>
      </c>
      <c r="N28">
        <f>VLOOKUP(A28,Database!$A$2:$I$948,5,0)</f>
        <v>1</v>
      </c>
    </row>
    <row r="29" spans="1:20" hidden="1" x14ac:dyDescent="0.35">
      <c r="A29" s="3">
        <v>103411061</v>
      </c>
      <c r="B29" s="3" t="s">
        <v>4160</v>
      </c>
      <c r="C29" s="3" t="str">
        <f t="shared" si="0"/>
        <v>2022-07-07</v>
      </c>
      <c r="D29" s="3" t="s">
        <v>9</v>
      </c>
      <c r="E29" s="3" t="s">
        <v>5</v>
      </c>
      <c r="F29" s="3" t="s">
        <v>10</v>
      </c>
      <c r="G29" s="3" t="s">
        <v>4161</v>
      </c>
      <c r="H29" s="3" t="s">
        <v>4162</v>
      </c>
      <c r="I29" s="5">
        <v>5849</v>
      </c>
      <c r="J29" s="3" t="s">
        <v>14</v>
      </c>
      <c r="K29">
        <f>MATCH(A29,Database!$A$2:$A$948,0)</f>
        <v>901</v>
      </c>
      <c r="L29">
        <f>VLOOKUP(A29,Database!$A$2:$I$948,4,0)</f>
        <v>5849</v>
      </c>
      <c r="M29" t="b">
        <f t="shared" si="1"/>
        <v>1</v>
      </c>
      <c r="N29">
        <f>VLOOKUP(A29,Database!$A$2:$I$948,5,0)</f>
        <v>1</v>
      </c>
    </row>
    <row r="30" spans="1:20" hidden="1" x14ac:dyDescent="0.35">
      <c r="A30" s="3">
        <v>103411059</v>
      </c>
      <c r="B30" s="3" t="s">
        <v>4163</v>
      </c>
      <c r="C30" s="3" t="str">
        <f t="shared" si="0"/>
        <v>2022-07-07</v>
      </c>
      <c r="D30" s="3" t="s">
        <v>9</v>
      </c>
      <c r="E30" s="3" t="s">
        <v>5</v>
      </c>
      <c r="F30" s="3" t="s">
        <v>10</v>
      </c>
      <c r="G30" s="3" t="s">
        <v>48</v>
      </c>
      <c r="H30" s="3" t="s">
        <v>49</v>
      </c>
      <c r="I30" s="5">
        <v>3599</v>
      </c>
      <c r="J30" s="3" t="s">
        <v>14</v>
      </c>
      <c r="K30">
        <f>MATCH(A30,Database!$A$2:$A$948,0)</f>
        <v>900</v>
      </c>
      <c r="L30">
        <f>VLOOKUP(A30,Database!$A$2:$I$948,4,0)</f>
        <v>3599</v>
      </c>
      <c r="M30" t="b">
        <f t="shared" si="1"/>
        <v>1</v>
      </c>
      <c r="N30">
        <f>VLOOKUP(A30,Database!$A$2:$I$948,5,0)</f>
        <v>1</v>
      </c>
    </row>
    <row r="31" spans="1:20" hidden="1" x14ac:dyDescent="0.35">
      <c r="A31" s="3">
        <v>103411126</v>
      </c>
      <c r="B31" s="3" t="s">
        <v>4164</v>
      </c>
      <c r="C31" s="3" t="str">
        <f t="shared" si="0"/>
        <v>2022-07-07</v>
      </c>
      <c r="D31" s="3" t="s">
        <v>9</v>
      </c>
      <c r="E31" s="3" t="s">
        <v>5</v>
      </c>
      <c r="F31" s="3" t="s">
        <v>12</v>
      </c>
      <c r="G31" s="3" t="s">
        <v>4165</v>
      </c>
      <c r="H31" s="3" t="s">
        <v>4166</v>
      </c>
      <c r="I31" s="5">
        <v>1679</v>
      </c>
      <c r="J31" s="3" t="s">
        <v>14</v>
      </c>
      <c r="K31">
        <f>MATCH(A31,Database!$A$2:$A$948,0)</f>
        <v>916</v>
      </c>
      <c r="L31">
        <f>VLOOKUP(A31,Database!$A$2:$I$948,4,0)</f>
        <v>1679</v>
      </c>
      <c r="M31" t="b">
        <f t="shared" si="1"/>
        <v>1</v>
      </c>
      <c r="N31">
        <f>VLOOKUP(A31,Database!$A$2:$I$948,5,0)</f>
        <v>1</v>
      </c>
    </row>
    <row r="32" spans="1:20" hidden="1" x14ac:dyDescent="0.35">
      <c r="A32" s="3">
        <v>103411124</v>
      </c>
      <c r="B32" s="3" t="s">
        <v>4167</v>
      </c>
      <c r="C32" s="3" t="str">
        <f t="shared" si="0"/>
        <v>2022-07-07</v>
      </c>
      <c r="D32" s="3" t="s">
        <v>9</v>
      </c>
      <c r="E32" s="3" t="s">
        <v>5</v>
      </c>
      <c r="F32" s="3" t="s">
        <v>10</v>
      </c>
      <c r="G32" s="3" t="s">
        <v>4168</v>
      </c>
      <c r="H32" s="3" t="s">
        <v>4169</v>
      </c>
      <c r="I32" s="3">
        <v>635.54999999999995</v>
      </c>
      <c r="J32" s="3" t="s">
        <v>14</v>
      </c>
      <c r="K32">
        <f>MATCH(A32,Database!$A$2:$A$948,0)</f>
        <v>915</v>
      </c>
      <c r="L32">
        <f>VLOOKUP(A32,Database!$A$2:$I$948,4,0)</f>
        <v>635.54999999999995</v>
      </c>
      <c r="M32" t="b">
        <f t="shared" si="1"/>
        <v>1</v>
      </c>
      <c r="N32">
        <f>VLOOKUP(A32,Database!$A$2:$I$948,5,0)</f>
        <v>1</v>
      </c>
    </row>
    <row r="33" spans="1:14" hidden="1" x14ac:dyDescent="0.35">
      <c r="A33" s="3">
        <v>103411118</v>
      </c>
      <c r="B33" s="3" t="s">
        <v>4170</v>
      </c>
      <c r="C33" s="3" t="str">
        <f t="shared" si="0"/>
        <v>2022-07-07</v>
      </c>
      <c r="D33" s="3" t="s">
        <v>9</v>
      </c>
      <c r="E33" s="3" t="s">
        <v>5</v>
      </c>
      <c r="F33" s="3" t="s">
        <v>12</v>
      </c>
      <c r="G33" s="3" t="s">
        <v>4171</v>
      </c>
      <c r="H33" s="3" t="s">
        <v>4172</v>
      </c>
      <c r="I33" s="5">
        <v>1869</v>
      </c>
      <c r="J33" s="3" t="s">
        <v>14</v>
      </c>
      <c r="K33">
        <f>MATCH(A33,Database!$A$2:$A$948,0)</f>
        <v>914</v>
      </c>
      <c r="L33">
        <f>VLOOKUP(A33,Database!$A$2:$I$948,4,0)</f>
        <v>1869</v>
      </c>
      <c r="M33" t="b">
        <f t="shared" si="1"/>
        <v>1</v>
      </c>
      <c r="N33">
        <f>VLOOKUP(A33,Database!$A$2:$I$948,5,0)</f>
        <v>1</v>
      </c>
    </row>
    <row r="34" spans="1:14" hidden="1" x14ac:dyDescent="0.35">
      <c r="A34" s="3">
        <v>103411117</v>
      </c>
      <c r="B34" s="3" t="s">
        <v>4173</v>
      </c>
      <c r="C34" s="3" t="str">
        <f t="shared" si="0"/>
        <v>2022-07-07</v>
      </c>
      <c r="D34" s="3" t="s">
        <v>9</v>
      </c>
      <c r="E34" s="3" t="s">
        <v>5</v>
      </c>
      <c r="F34" s="3" t="s">
        <v>10</v>
      </c>
      <c r="G34" s="3" t="s">
        <v>2855</v>
      </c>
      <c r="H34" s="3" t="s">
        <v>2856</v>
      </c>
      <c r="I34" s="4">
        <v>1682.1</v>
      </c>
      <c r="J34" s="3" t="s">
        <v>14</v>
      </c>
      <c r="K34">
        <f>MATCH(A34,Database!$A$2:$A$948,0)</f>
        <v>913</v>
      </c>
      <c r="L34">
        <f>VLOOKUP(A34,Database!$A$2:$I$948,4,0)</f>
        <v>1682.1</v>
      </c>
      <c r="M34" t="b">
        <f t="shared" si="1"/>
        <v>1</v>
      </c>
      <c r="N34">
        <f>VLOOKUP(A34,Database!$A$2:$I$948,5,0)</f>
        <v>1</v>
      </c>
    </row>
    <row r="35" spans="1:14" hidden="1" x14ac:dyDescent="0.35">
      <c r="A35" s="3">
        <v>103411114</v>
      </c>
      <c r="B35" s="3" t="s">
        <v>4174</v>
      </c>
      <c r="C35" s="3" t="str">
        <f t="shared" si="0"/>
        <v>2022-07-07</v>
      </c>
      <c r="D35" s="3" t="s">
        <v>9</v>
      </c>
      <c r="E35" s="3" t="s">
        <v>5</v>
      </c>
      <c r="F35" s="3" t="s">
        <v>10</v>
      </c>
      <c r="G35" s="3" t="s">
        <v>4175</v>
      </c>
      <c r="H35" s="3" t="s">
        <v>4176</v>
      </c>
      <c r="I35" s="4">
        <v>2887.05</v>
      </c>
      <c r="J35" s="3" t="s">
        <v>14</v>
      </c>
      <c r="K35">
        <f>MATCH(A35,Database!$A$2:$A$948,0)</f>
        <v>912</v>
      </c>
      <c r="L35">
        <f>VLOOKUP(A35,Database!$A$2:$I$948,4,0)</f>
        <v>2887.05</v>
      </c>
      <c r="M35" t="b">
        <f t="shared" si="1"/>
        <v>1</v>
      </c>
      <c r="N35">
        <f>VLOOKUP(A35,Database!$A$2:$I$948,5,0)</f>
        <v>1</v>
      </c>
    </row>
    <row r="36" spans="1:14" hidden="1" x14ac:dyDescent="0.35">
      <c r="A36" s="3">
        <v>103411112</v>
      </c>
      <c r="B36" s="3" t="s">
        <v>4177</v>
      </c>
      <c r="C36" s="3" t="str">
        <f t="shared" si="0"/>
        <v>2022-07-07</v>
      </c>
      <c r="D36" s="3" t="s">
        <v>9</v>
      </c>
      <c r="E36" s="3" t="s">
        <v>5</v>
      </c>
      <c r="F36" s="3" t="s">
        <v>10</v>
      </c>
      <c r="G36" s="3" t="s">
        <v>1702</v>
      </c>
      <c r="H36" s="3" t="s">
        <v>1703</v>
      </c>
      <c r="I36" s="4">
        <v>2228.27</v>
      </c>
      <c r="J36" s="3" t="s">
        <v>14</v>
      </c>
      <c r="K36">
        <f>MATCH(A36,Database!$A$2:$A$948,0)</f>
        <v>911</v>
      </c>
      <c r="L36">
        <f>VLOOKUP(A36,Database!$A$2:$I$948,4,0)</f>
        <v>2228.27</v>
      </c>
      <c r="M36" t="b">
        <f t="shared" si="1"/>
        <v>1</v>
      </c>
      <c r="N36">
        <f>VLOOKUP(A36,Database!$A$2:$I$948,5,0)</f>
        <v>1</v>
      </c>
    </row>
    <row r="37" spans="1:14" hidden="1" x14ac:dyDescent="0.35">
      <c r="A37" s="3">
        <v>103411038</v>
      </c>
      <c r="B37" s="3" t="s">
        <v>4178</v>
      </c>
      <c r="C37" s="3" t="str">
        <f t="shared" si="0"/>
        <v>2022-07-07</v>
      </c>
      <c r="D37" s="3" t="s">
        <v>9</v>
      </c>
      <c r="E37" s="3" t="s">
        <v>5</v>
      </c>
      <c r="F37" s="3" t="s">
        <v>10</v>
      </c>
      <c r="G37" s="3" t="s">
        <v>4179</v>
      </c>
      <c r="H37" s="3" t="s">
        <v>4180</v>
      </c>
      <c r="I37" s="3">
        <v>359</v>
      </c>
      <c r="J37" s="3" t="s">
        <v>14</v>
      </c>
      <c r="K37">
        <f>MATCH(A37,Database!$A$2:$A$948,0)</f>
        <v>899</v>
      </c>
      <c r="L37">
        <f>VLOOKUP(A37,Database!$A$2:$I$948,4,0)</f>
        <v>359</v>
      </c>
      <c r="M37" t="b">
        <f t="shared" si="1"/>
        <v>1</v>
      </c>
      <c r="N37">
        <f>VLOOKUP(A37,Database!$A$2:$I$948,5,0)</f>
        <v>1</v>
      </c>
    </row>
    <row r="38" spans="1:14" hidden="1" x14ac:dyDescent="0.35">
      <c r="A38" s="3">
        <v>103411035</v>
      </c>
      <c r="B38" s="3" t="s">
        <v>4181</v>
      </c>
      <c r="C38" s="3" t="str">
        <f t="shared" si="0"/>
        <v>2022-07-07</v>
      </c>
      <c r="D38" s="3" t="s">
        <v>9</v>
      </c>
      <c r="E38" s="3" t="s">
        <v>5</v>
      </c>
      <c r="F38" s="3" t="s">
        <v>10</v>
      </c>
      <c r="G38" s="3" t="s">
        <v>4182</v>
      </c>
      <c r="H38" s="3" t="s">
        <v>4183</v>
      </c>
      <c r="I38" s="4">
        <v>2849.05</v>
      </c>
      <c r="J38" s="3" t="s">
        <v>14</v>
      </c>
      <c r="K38">
        <f>MATCH(A38,Database!$A$2:$A$948,0)</f>
        <v>898</v>
      </c>
      <c r="L38">
        <f>VLOOKUP(A38,Database!$A$2:$I$948,4,0)</f>
        <v>2849.05</v>
      </c>
      <c r="M38" t="b">
        <f t="shared" si="1"/>
        <v>1</v>
      </c>
      <c r="N38">
        <f>VLOOKUP(A38,Database!$A$2:$I$948,5,0)</f>
        <v>1</v>
      </c>
    </row>
    <row r="39" spans="1:14" hidden="1" x14ac:dyDescent="0.35">
      <c r="A39" s="3">
        <v>103411034</v>
      </c>
      <c r="B39" s="3" t="s">
        <v>4184</v>
      </c>
      <c r="C39" s="3" t="str">
        <f t="shared" si="0"/>
        <v>2022-07-07</v>
      </c>
      <c r="D39" s="3" t="s">
        <v>9</v>
      </c>
      <c r="E39" s="3" t="s">
        <v>5</v>
      </c>
      <c r="F39" s="3" t="s">
        <v>10</v>
      </c>
      <c r="G39" s="3" t="s">
        <v>4185</v>
      </c>
      <c r="H39" s="3" t="s">
        <v>4186</v>
      </c>
      <c r="I39" s="5">
        <v>2099</v>
      </c>
      <c r="J39" s="3" t="s">
        <v>14</v>
      </c>
      <c r="K39">
        <f>MATCH(A39,Database!$A$2:$A$948,0)</f>
        <v>897</v>
      </c>
      <c r="L39">
        <f>VLOOKUP(A39,Database!$A$2:$I$948,4,0)</f>
        <v>2099</v>
      </c>
      <c r="M39" t="b">
        <f t="shared" si="1"/>
        <v>1</v>
      </c>
      <c r="N39">
        <f>VLOOKUP(A39,Database!$A$2:$I$948,5,0)</f>
        <v>1</v>
      </c>
    </row>
    <row r="40" spans="1:14" hidden="1" x14ac:dyDescent="0.35">
      <c r="A40" s="3">
        <v>103411033</v>
      </c>
      <c r="B40" s="3" t="s">
        <v>4187</v>
      </c>
      <c r="C40" s="3" t="str">
        <f t="shared" si="0"/>
        <v>2022-07-07</v>
      </c>
      <c r="D40" s="3" t="s">
        <v>9</v>
      </c>
      <c r="E40" s="3" t="s">
        <v>5</v>
      </c>
      <c r="F40" s="3" t="s">
        <v>10</v>
      </c>
      <c r="G40" s="3" t="s">
        <v>4188</v>
      </c>
      <c r="H40" s="3" t="s">
        <v>4189</v>
      </c>
      <c r="I40" s="3">
        <v>350.55</v>
      </c>
      <c r="J40" s="3" t="s">
        <v>14</v>
      </c>
      <c r="K40">
        <f>MATCH(A40,Database!$A$2:$A$948,0)</f>
        <v>896</v>
      </c>
      <c r="L40">
        <f>VLOOKUP(A40,Database!$A$2:$I$948,4,0)</f>
        <v>350.55</v>
      </c>
      <c r="M40" t="b">
        <f t="shared" si="1"/>
        <v>1</v>
      </c>
      <c r="N40">
        <f>VLOOKUP(A40,Database!$A$2:$I$948,5,0)</f>
        <v>1</v>
      </c>
    </row>
    <row r="41" spans="1:14" hidden="1" x14ac:dyDescent="0.35">
      <c r="A41" s="3">
        <v>103411105</v>
      </c>
      <c r="B41" s="3" t="s">
        <v>4190</v>
      </c>
      <c r="C41" s="3" t="str">
        <f t="shared" si="0"/>
        <v>2022-07-07</v>
      </c>
      <c r="D41" s="3" t="s">
        <v>9</v>
      </c>
      <c r="E41" s="3" t="s">
        <v>5</v>
      </c>
      <c r="F41" s="3" t="s">
        <v>10</v>
      </c>
      <c r="G41" s="3" t="s">
        <v>4191</v>
      </c>
      <c r="H41" s="3" t="s">
        <v>4192</v>
      </c>
      <c r="I41" s="5">
        <v>1749</v>
      </c>
      <c r="J41" s="3" t="s">
        <v>14</v>
      </c>
      <c r="K41">
        <f>MATCH(A41,Database!$A$2:$A$948,0)</f>
        <v>910</v>
      </c>
      <c r="L41">
        <f>VLOOKUP(A41,Database!$A$2:$I$948,4,0)</f>
        <v>1749</v>
      </c>
      <c r="M41" t="b">
        <f t="shared" si="1"/>
        <v>1</v>
      </c>
      <c r="N41">
        <f>VLOOKUP(A41,Database!$A$2:$I$948,5,0)</f>
        <v>1</v>
      </c>
    </row>
    <row r="42" spans="1:14" hidden="1" x14ac:dyDescent="0.35">
      <c r="A42" s="3">
        <v>103411103</v>
      </c>
      <c r="B42" s="3" t="s">
        <v>4193</v>
      </c>
      <c r="C42" s="3" t="str">
        <f t="shared" si="0"/>
        <v>2022-07-07</v>
      </c>
      <c r="D42" s="3" t="s">
        <v>9</v>
      </c>
      <c r="E42" s="3" t="s">
        <v>5</v>
      </c>
      <c r="F42" s="3" t="s">
        <v>10</v>
      </c>
      <c r="G42" s="3" t="s">
        <v>4194</v>
      </c>
      <c r="H42" s="3" t="s">
        <v>4195</v>
      </c>
      <c r="I42" s="4">
        <v>1196.05</v>
      </c>
      <c r="J42" s="3" t="s">
        <v>14</v>
      </c>
      <c r="K42">
        <f>MATCH(A42,Database!$A$2:$A$948,0)</f>
        <v>909</v>
      </c>
      <c r="L42">
        <f>VLOOKUP(A42,Database!$A$2:$I$948,4,0)</f>
        <v>1196.05</v>
      </c>
      <c r="M42" t="b">
        <f t="shared" si="1"/>
        <v>1</v>
      </c>
      <c r="N42">
        <f>VLOOKUP(A42,Database!$A$2:$I$948,5,0)</f>
        <v>1</v>
      </c>
    </row>
    <row r="43" spans="1:14" hidden="1" x14ac:dyDescent="0.35">
      <c r="A43" s="3">
        <v>103411101</v>
      </c>
      <c r="B43" s="3" t="s">
        <v>4196</v>
      </c>
      <c r="C43" s="3" t="str">
        <f t="shared" si="0"/>
        <v>2022-07-07</v>
      </c>
      <c r="D43" s="3" t="s">
        <v>9</v>
      </c>
      <c r="E43" s="3" t="s">
        <v>5</v>
      </c>
      <c r="F43" s="3" t="s">
        <v>10</v>
      </c>
      <c r="G43" s="3" t="s">
        <v>4197</v>
      </c>
      <c r="H43" s="3" t="s">
        <v>4198</v>
      </c>
      <c r="I43" s="5">
        <v>2749</v>
      </c>
      <c r="J43" s="3" t="s">
        <v>14</v>
      </c>
      <c r="K43">
        <f>MATCH(A43,Database!$A$2:$A$948,0)</f>
        <v>908</v>
      </c>
      <c r="L43">
        <f>VLOOKUP(A43,Database!$A$2:$I$948,4,0)</f>
        <v>2749</v>
      </c>
      <c r="M43" t="b">
        <f t="shared" si="1"/>
        <v>1</v>
      </c>
      <c r="N43">
        <f>VLOOKUP(A43,Database!$A$2:$I$948,5,0)</f>
        <v>1</v>
      </c>
    </row>
    <row r="44" spans="1:14" hidden="1" x14ac:dyDescent="0.35">
      <c r="A44" s="3">
        <v>103411099</v>
      </c>
      <c r="B44" s="3" t="s">
        <v>4199</v>
      </c>
      <c r="C44" s="3" t="str">
        <f t="shared" si="0"/>
        <v>2022-07-07</v>
      </c>
      <c r="D44" s="3" t="s">
        <v>9</v>
      </c>
      <c r="E44" s="3" t="s">
        <v>5</v>
      </c>
      <c r="F44" s="3" t="s">
        <v>10</v>
      </c>
      <c r="G44" s="3" t="s">
        <v>4200</v>
      </c>
      <c r="H44" s="3" t="s">
        <v>4201</v>
      </c>
      <c r="I44" s="4">
        <v>1271.0999999999999</v>
      </c>
      <c r="J44" s="3" t="s">
        <v>14</v>
      </c>
      <c r="K44">
        <f>MATCH(A44,Database!$A$2:$A$948,0)</f>
        <v>907</v>
      </c>
      <c r="L44">
        <f>VLOOKUP(A44,Database!$A$2:$I$948,4,0)</f>
        <v>1271.0999999999999</v>
      </c>
      <c r="M44" t="b">
        <f t="shared" si="1"/>
        <v>1</v>
      </c>
      <c r="N44">
        <f>VLOOKUP(A44,Database!$A$2:$I$948,5,0)</f>
        <v>2</v>
      </c>
    </row>
    <row r="45" spans="1:14" hidden="1" x14ac:dyDescent="0.35">
      <c r="A45" s="3">
        <v>103411098</v>
      </c>
      <c r="B45" s="3" t="s">
        <v>4202</v>
      </c>
      <c r="C45" s="3" t="str">
        <f t="shared" si="0"/>
        <v>2022-07-07</v>
      </c>
      <c r="D45" s="3" t="s">
        <v>9</v>
      </c>
      <c r="E45" s="3" t="s">
        <v>5</v>
      </c>
      <c r="F45" s="3" t="s">
        <v>10</v>
      </c>
      <c r="G45" s="3" t="s">
        <v>4203</v>
      </c>
      <c r="H45" s="3" t="s">
        <v>4204</v>
      </c>
      <c r="I45" s="4">
        <v>3419.05</v>
      </c>
      <c r="J45" s="3" t="s">
        <v>14</v>
      </c>
      <c r="K45">
        <f>MATCH(A45,Database!$A$2:$A$948,0)</f>
        <v>906</v>
      </c>
      <c r="L45">
        <f>VLOOKUP(A45,Database!$A$2:$I$948,4,0)</f>
        <v>3419.05</v>
      </c>
      <c r="M45" t="b">
        <f t="shared" si="1"/>
        <v>1</v>
      </c>
      <c r="N45">
        <f>VLOOKUP(A45,Database!$A$2:$I$948,5,0)</f>
        <v>1</v>
      </c>
    </row>
    <row r="46" spans="1:14" hidden="1" x14ac:dyDescent="0.35">
      <c r="A46" s="3">
        <v>103411032</v>
      </c>
      <c r="B46" s="3" t="s">
        <v>4205</v>
      </c>
      <c r="C46" s="3" t="str">
        <f t="shared" si="0"/>
        <v>2022-07-07</v>
      </c>
      <c r="D46" s="3" t="s">
        <v>9</v>
      </c>
      <c r="E46" s="3" t="s">
        <v>5</v>
      </c>
      <c r="F46" s="3" t="s">
        <v>10</v>
      </c>
      <c r="G46" s="3" t="s">
        <v>4206</v>
      </c>
      <c r="H46" s="3" t="s">
        <v>4207</v>
      </c>
      <c r="I46" s="5">
        <v>3848</v>
      </c>
      <c r="J46" s="3" t="s">
        <v>14</v>
      </c>
      <c r="K46">
        <f>MATCH(A46,Database!$A$2:$A$948,0)</f>
        <v>895</v>
      </c>
      <c r="L46">
        <f>VLOOKUP(A46,Database!$A$2:$I$948,4,0)</f>
        <v>3848</v>
      </c>
      <c r="M46" t="b">
        <f t="shared" si="1"/>
        <v>1</v>
      </c>
      <c r="N46">
        <f>VLOOKUP(A46,Database!$A$2:$I$948,5,0)</f>
        <v>2</v>
      </c>
    </row>
    <row r="47" spans="1:14" hidden="1" x14ac:dyDescent="0.35">
      <c r="A47" s="3">
        <v>103411030</v>
      </c>
      <c r="B47" s="3" t="s">
        <v>4208</v>
      </c>
      <c r="C47" s="3" t="str">
        <f t="shared" si="0"/>
        <v>2022-07-07</v>
      </c>
      <c r="D47" s="3" t="s">
        <v>9</v>
      </c>
      <c r="E47" s="3" t="s">
        <v>5</v>
      </c>
      <c r="F47" s="3" t="s">
        <v>10</v>
      </c>
      <c r="G47" s="3" t="s">
        <v>4209</v>
      </c>
      <c r="H47" s="3" t="s">
        <v>4210</v>
      </c>
      <c r="I47" s="3">
        <v>969</v>
      </c>
      <c r="J47" s="3" t="s">
        <v>14</v>
      </c>
      <c r="K47">
        <f>MATCH(A47,Database!$A$2:$A$948,0)</f>
        <v>894</v>
      </c>
      <c r="L47">
        <f>VLOOKUP(A47,Database!$A$2:$I$948,4,0)</f>
        <v>969</v>
      </c>
      <c r="M47" t="b">
        <f t="shared" si="1"/>
        <v>1</v>
      </c>
      <c r="N47">
        <f>VLOOKUP(A47,Database!$A$2:$I$948,5,0)</f>
        <v>1</v>
      </c>
    </row>
    <row r="48" spans="1:14" hidden="1" x14ac:dyDescent="0.35">
      <c r="A48" s="3">
        <v>103411091</v>
      </c>
      <c r="B48" s="3" t="s">
        <v>4211</v>
      </c>
      <c r="C48" s="3" t="str">
        <f t="shared" si="0"/>
        <v>2022-07-07</v>
      </c>
      <c r="D48" s="3" t="s">
        <v>9</v>
      </c>
      <c r="E48" s="3" t="s">
        <v>5</v>
      </c>
      <c r="F48" s="3" t="s">
        <v>12</v>
      </c>
      <c r="G48" s="3" t="s">
        <v>4212</v>
      </c>
      <c r="H48" s="3" t="s">
        <v>4213</v>
      </c>
      <c r="I48" s="5">
        <v>2399</v>
      </c>
      <c r="J48" s="3" t="s">
        <v>14</v>
      </c>
      <c r="K48">
        <f>MATCH(A48,Database!$A$2:$A$948,0)</f>
        <v>905</v>
      </c>
      <c r="L48">
        <f>VLOOKUP(A48,Database!$A$2:$I$948,4,0)</f>
        <v>2399</v>
      </c>
      <c r="M48" t="b">
        <f t="shared" si="1"/>
        <v>1</v>
      </c>
      <c r="N48">
        <f>VLOOKUP(A48,Database!$A$2:$I$948,5,0)</f>
        <v>1</v>
      </c>
    </row>
    <row r="49" spans="1:14" hidden="1" x14ac:dyDescent="0.35">
      <c r="A49" s="3">
        <v>103411028</v>
      </c>
      <c r="B49" s="3" t="s">
        <v>4214</v>
      </c>
      <c r="C49" s="3" t="str">
        <f t="shared" si="0"/>
        <v>2022-07-07</v>
      </c>
      <c r="D49" s="3" t="s">
        <v>9</v>
      </c>
      <c r="E49" s="3" t="s">
        <v>5</v>
      </c>
      <c r="F49" s="3" t="s">
        <v>10</v>
      </c>
      <c r="G49" s="3" t="s">
        <v>4215</v>
      </c>
      <c r="H49" s="3" t="s">
        <v>4216</v>
      </c>
      <c r="I49" s="5">
        <v>4798</v>
      </c>
      <c r="J49" s="3" t="s">
        <v>14</v>
      </c>
      <c r="K49">
        <f>MATCH(A49,Database!$A$2:$A$948,0)</f>
        <v>893</v>
      </c>
      <c r="L49">
        <f>VLOOKUP(A49,Database!$A$2:$I$948,4,0)</f>
        <v>4798</v>
      </c>
      <c r="M49" t="b">
        <f t="shared" si="1"/>
        <v>1</v>
      </c>
      <c r="N49">
        <f>VLOOKUP(A49,Database!$A$2:$I$948,5,0)</f>
        <v>2</v>
      </c>
    </row>
    <row r="50" spans="1:14" hidden="1" x14ac:dyDescent="0.35">
      <c r="A50" s="3">
        <v>103411085</v>
      </c>
      <c r="B50" s="3" t="s">
        <v>4217</v>
      </c>
      <c r="C50" s="3" t="str">
        <f t="shared" si="0"/>
        <v>2022-07-07</v>
      </c>
      <c r="D50" s="3" t="s">
        <v>9</v>
      </c>
      <c r="E50" s="3" t="s">
        <v>5</v>
      </c>
      <c r="F50" s="3" t="s">
        <v>10</v>
      </c>
      <c r="G50" s="3" t="s">
        <v>4218</v>
      </c>
      <c r="H50" s="3" t="s">
        <v>4219</v>
      </c>
      <c r="I50" s="4">
        <v>2091.33</v>
      </c>
      <c r="J50" s="3" t="s">
        <v>14</v>
      </c>
      <c r="K50">
        <f>MATCH(A50,Database!$A$2:$A$948,0)</f>
        <v>904</v>
      </c>
      <c r="L50">
        <f>VLOOKUP(A50,Database!$A$2:$I$948,4,0)</f>
        <v>2091.33</v>
      </c>
      <c r="M50" t="b">
        <f t="shared" si="1"/>
        <v>1</v>
      </c>
      <c r="N50">
        <f>VLOOKUP(A50,Database!$A$2:$I$948,5,0)</f>
        <v>4</v>
      </c>
    </row>
    <row r="51" spans="1:14" hidden="1" x14ac:dyDescent="0.35">
      <c r="A51" s="3">
        <v>103411024</v>
      </c>
      <c r="B51" s="3" t="s">
        <v>4220</v>
      </c>
      <c r="C51" s="3" t="str">
        <f t="shared" si="0"/>
        <v>2022-07-07</v>
      </c>
      <c r="D51" s="3" t="s">
        <v>9</v>
      </c>
      <c r="E51" s="3" t="s">
        <v>5</v>
      </c>
      <c r="F51" s="3" t="s">
        <v>12</v>
      </c>
      <c r="G51" s="3" t="s">
        <v>4221</v>
      </c>
      <c r="H51" s="3" t="s">
        <v>4222</v>
      </c>
      <c r="I51" s="5">
        <v>1079</v>
      </c>
      <c r="J51" s="3" t="s">
        <v>14</v>
      </c>
      <c r="K51">
        <f>MATCH(A51,Database!$A$2:$A$948,0)</f>
        <v>892</v>
      </c>
      <c r="L51">
        <f>VLOOKUP(A51,Database!$A$2:$I$948,4,0)</f>
        <v>1079</v>
      </c>
      <c r="M51" t="b">
        <f t="shared" si="1"/>
        <v>1</v>
      </c>
      <c r="N51">
        <f>VLOOKUP(A51,Database!$A$2:$I$948,5,0)</f>
        <v>1</v>
      </c>
    </row>
    <row r="52" spans="1:14" hidden="1" x14ac:dyDescent="0.35">
      <c r="A52" s="3">
        <v>103411023</v>
      </c>
      <c r="B52" s="3" t="s">
        <v>4223</v>
      </c>
      <c r="C52" s="3" t="str">
        <f t="shared" si="0"/>
        <v>2022-07-07</v>
      </c>
      <c r="D52" s="3" t="s">
        <v>9</v>
      </c>
      <c r="E52" s="3" t="s">
        <v>5</v>
      </c>
      <c r="F52" s="3" t="s">
        <v>10</v>
      </c>
      <c r="G52" s="3" t="s">
        <v>4224</v>
      </c>
      <c r="H52" s="3" t="s">
        <v>4225</v>
      </c>
      <c r="I52" s="5">
        <v>1999</v>
      </c>
      <c r="J52" s="3" t="s">
        <v>14</v>
      </c>
      <c r="K52">
        <f>MATCH(A52,Database!$A$2:$A$948,0)</f>
        <v>891</v>
      </c>
      <c r="L52">
        <f>VLOOKUP(A52,Database!$A$2:$I$948,4,0)</f>
        <v>1999</v>
      </c>
      <c r="M52" t="b">
        <f t="shared" si="1"/>
        <v>1</v>
      </c>
      <c r="N52">
        <f>VLOOKUP(A52,Database!$A$2:$I$948,5,0)</f>
        <v>1</v>
      </c>
    </row>
    <row r="53" spans="1:14" hidden="1" x14ac:dyDescent="0.35">
      <c r="A53" s="3">
        <v>103411078</v>
      </c>
      <c r="B53" s="3" t="s">
        <v>4226</v>
      </c>
      <c r="C53" s="3" t="str">
        <f t="shared" si="0"/>
        <v>2022-07-07</v>
      </c>
      <c r="D53" s="3" t="s">
        <v>9</v>
      </c>
      <c r="E53" s="3" t="s">
        <v>5</v>
      </c>
      <c r="F53" s="3" t="s">
        <v>10</v>
      </c>
      <c r="G53" s="3" t="s">
        <v>4227</v>
      </c>
      <c r="H53" s="3" t="s">
        <v>4228</v>
      </c>
      <c r="I53" s="5">
        <v>1499</v>
      </c>
      <c r="J53" s="3" t="s">
        <v>14</v>
      </c>
      <c r="K53">
        <f>MATCH(A53,Database!$A$2:$A$948,0)</f>
        <v>903</v>
      </c>
      <c r="L53">
        <f>VLOOKUP(A53,Database!$A$2:$I$948,4,0)</f>
        <v>1499</v>
      </c>
      <c r="M53" t="b">
        <f t="shared" si="1"/>
        <v>1</v>
      </c>
      <c r="N53">
        <f>VLOOKUP(A53,Database!$A$2:$I$948,5,0)</f>
        <v>1</v>
      </c>
    </row>
    <row r="54" spans="1:14" hidden="1" x14ac:dyDescent="0.35">
      <c r="A54" s="3">
        <v>103411076</v>
      </c>
      <c r="B54" s="3" t="s">
        <v>4229</v>
      </c>
      <c r="C54" s="3" t="str">
        <f t="shared" si="0"/>
        <v>2022-07-07</v>
      </c>
      <c r="D54" s="3" t="s">
        <v>9</v>
      </c>
      <c r="E54" s="3" t="s">
        <v>5</v>
      </c>
      <c r="F54" s="3" t="s">
        <v>12</v>
      </c>
      <c r="G54" s="3" t="s">
        <v>4230</v>
      </c>
      <c r="H54" s="3" t="s">
        <v>4213</v>
      </c>
      <c r="I54" s="5">
        <v>1999</v>
      </c>
      <c r="J54" s="3" t="s">
        <v>14</v>
      </c>
      <c r="K54">
        <f>MATCH(A54,Database!$A$2:$A$948,0)</f>
        <v>902</v>
      </c>
      <c r="L54">
        <f>VLOOKUP(A54,Database!$A$2:$I$948,4,0)</f>
        <v>1999</v>
      </c>
      <c r="M54" t="b">
        <f t="shared" si="1"/>
        <v>1</v>
      </c>
      <c r="N54">
        <f>VLOOKUP(A54,Database!$A$2:$I$948,5,0)</f>
        <v>1</v>
      </c>
    </row>
    <row r="55" spans="1:14" hidden="1" x14ac:dyDescent="0.35">
      <c r="A55" s="3">
        <v>103410962</v>
      </c>
      <c r="B55" s="3" t="s">
        <v>4231</v>
      </c>
      <c r="C55" s="3" t="str">
        <f t="shared" si="0"/>
        <v>2022-07-07</v>
      </c>
      <c r="D55" s="3" t="s">
        <v>9</v>
      </c>
      <c r="E55" s="3" t="s">
        <v>5</v>
      </c>
      <c r="F55" s="3" t="s">
        <v>10</v>
      </c>
      <c r="G55" s="3" t="s">
        <v>4232</v>
      </c>
      <c r="H55" s="3" t="s">
        <v>4233</v>
      </c>
      <c r="I55" s="5">
        <v>1799</v>
      </c>
      <c r="J55" s="3" t="s">
        <v>14</v>
      </c>
      <c r="K55">
        <f>MATCH(A55,Database!$A$2:$A$948,0)</f>
        <v>876</v>
      </c>
      <c r="L55">
        <f>VLOOKUP(A55,Database!$A$2:$I$948,4,0)</f>
        <v>1799</v>
      </c>
      <c r="M55" t="b">
        <f t="shared" si="1"/>
        <v>1</v>
      </c>
      <c r="N55">
        <f>VLOOKUP(A55,Database!$A$2:$I$948,5,0)</f>
        <v>1</v>
      </c>
    </row>
    <row r="56" spans="1:14" hidden="1" x14ac:dyDescent="0.35">
      <c r="A56" s="3">
        <v>103410958</v>
      </c>
      <c r="B56" s="3" t="s">
        <v>4234</v>
      </c>
      <c r="C56" s="3" t="str">
        <f t="shared" si="0"/>
        <v>2022-07-07</v>
      </c>
      <c r="D56" s="3" t="s">
        <v>9</v>
      </c>
      <c r="E56" s="3" t="s">
        <v>5</v>
      </c>
      <c r="F56" s="3" t="s">
        <v>10</v>
      </c>
      <c r="G56" s="3" t="s">
        <v>4235</v>
      </c>
      <c r="H56" s="3" t="s">
        <v>4236</v>
      </c>
      <c r="I56" s="4">
        <v>2469.0500000000002</v>
      </c>
      <c r="J56" s="3" t="s">
        <v>14</v>
      </c>
      <c r="K56">
        <f>MATCH(A56,Database!$A$2:$A$948,0)</f>
        <v>875</v>
      </c>
      <c r="L56">
        <f>VLOOKUP(A56,Database!$A$2:$I$948,4,0)</f>
        <v>2469.0500000000002</v>
      </c>
      <c r="M56" t="b">
        <f t="shared" si="1"/>
        <v>1</v>
      </c>
      <c r="N56">
        <f>VLOOKUP(A56,Database!$A$2:$I$948,5,0)</f>
        <v>1</v>
      </c>
    </row>
    <row r="57" spans="1:14" hidden="1" x14ac:dyDescent="0.35">
      <c r="A57" s="3">
        <v>103410953</v>
      </c>
      <c r="B57" s="3" t="s">
        <v>4237</v>
      </c>
      <c r="C57" s="3" t="str">
        <f t="shared" si="0"/>
        <v>2022-07-07</v>
      </c>
      <c r="D57" s="3" t="s">
        <v>9</v>
      </c>
      <c r="E57" s="3" t="s">
        <v>5</v>
      </c>
      <c r="F57" s="3" t="s">
        <v>10</v>
      </c>
      <c r="G57" s="3" t="s">
        <v>4238</v>
      </c>
      <c r="H57" s="3" t="s">
        <v>4239</v>
      </c>
      <c r="I57" s="4">
        <v>3077.14</v>
      </c>
      <c r="J57" s="3" t="s">
        <v>14</v>
      </c>
      <c r="K57">
        <f>MATCH(A57,Database!$A$2:$A$948,0)</f>
        <v>874</v>
      </c>
      <c r="L57">
        <f>VLOOKUP(A57,Database!$A$2:$I$948,4,0)</f>
        <v>3077.14</v>
      </c>
      <c r="M57" t="b">
        <f t="shared" si="1"/>
        <v>1</v>
      </c>
      <c r="N57">
        <f>VLOOKUP(A57,Database!$A$2:$I$948,5,0)</f>
        <v>1</v>
      </c>
    </row>
    <row r="58" spans="1:14" hidden="1" x14ac:dyDescent="0.35">
      <c r="A58" s="3">
        <v>103410952</v>
      </c>
      <c r="B58" s="3" t="s">
        <v>4240</v>
      </c>
      <c r="C58" s="3" t="str">
        <f t="shared" si="0"/>
        <v>2022-07-07</v>
      </c>
      <c r="D58" s="3" t="s">
        <v>9</v>
      </c>
      <c r="E58" s="3" t="s">
        <v>5</v>
      </c>
      <c r="F58" s="3" t="s">
        <v>10</v>
      </c>
      <c r="G58" s="3" t="s">
        <v>4241</v>
      </c>
      <c r="H58" s="3" t="s">
        <v>4242</v>
      </c>
      <c r="I58" s="3">
        <v>709</v>
      </c>
      <c r="J58" s="3" t="s">
        <v>14</v>
      </c>
      <c r="K58">
        <f>MATCH(A58,Database!$A$2:$A$948,0)</f>
        <v>873</v>
      </c>
      <c r="L58">
        <f>VLOOKUP(A58,Database!$A$2:$I$948,4,0)</f>
        <v>709</v>
      </c>
      <c r="M58" t="b">
        <f t="shared" si="1"/>
        <v>1</v>
      </c>
      <c r="N58">
        <f>VLOOKUP(A58,Database!$A$2:$I$948,5,0)</f>
        <v>1</v>
      </c>
    </row>
    <row r="59" spans="1:14" hidden="1" x14ac:dyDescent="0.35">
      <c r="A59" s="3">
        <v>103411012</v>
      </c>
      <c r="B59" s="3" t="s">
        <v>4243</v>
      </c>
      <c r="C59" s="3" t="str">
        <f t="shared" si="0"/>
        <v>2022-07-07</v>
      </c>
      <c r="D59" s="3" t="s">
        <v>9</v>
      </c>
      <c r="E59" s="3" t="s">
        <v>5</v>
      </c>
      <c r="F59" s="3" t="s">
        <v>10</v>
      </c>
      <c r="G59" s="3" t="s">
        <v>4244</v>
      </c>
      <c r="H59" s="3" t="s">
        <v>4245</v>
      </c>
      <c r="I59" s="4">
        <v>4510.6000000000004</v>
      </c>
      <c r="J59" s="3" t="s">
        <v>14</v>
      </c>
      <c r="K59">
        <f>MATCH(A59,Database!$A$2:$A$948,0)</f>
        <v>890</v>
      </c>
      <c r="L59">
        <f>VLOOKUP(A59,Database!$A$2:$I$948,4,0)</f>
        <v>4510.6000000000004</v>
      </c>
      <c r="M59" t="b">
        <f t="shared" si="1"/>
        <v>1</v>
      </c>
      <c r="N59">
        <f>VLOOKUP(A59,Database!$A$2:$I$948,5,0)</f>
        <v>2</v>
      </c>
    </row>
    <row r="60" spans="1:14" hidden="1" x14ac:dyDescent="0.35">
      <c r="A60" s="3">
        <v>103410949</v>
      </c>
      <c r="B60" s="3" t="s">
        <v>4246</v>
      </c>
      <c r="C60" s="3" t="str">
        <f t="shared" si="0"/>
        <v>2022-07-07</v>
      </c>
      <c r="D60" s="3" t="s">
        <v>9</v>
      </c>
      <c r="E60" s="3" t="s">
        <v>5</v>
      </c>
      <c r="F60" s="3" t="s">
        <v>10</v>
      </c>
      <c r="G60" s="3" t="s">
        <v>4247</v>
      </c>
      <c r="H60" s="3" t="s">
        <v>4248</v>
      </c>
      <c r="I60" s="4">
        <v>4435.55</v>
      </c>
      <c r="J60" s="3" t="s">
        <v>14</v>
      </c>
      <c r="K60">
        <f>MATCH(A60,Database!$A$2:$A$948,0)</f>
        <v>872</v>
      </c>
      <c r="L60">
        <f>VLOOKUP(A60,Database!$A$2:$I$948,4,0)</f>
        <v>4435.55</v>
      </c>
      <c r="M60" t="b">
        <f t="shared" si="1"/>
        <v>1</v>
      </c>
      <c r="N60">
        <f>VLOOKUP(A60,Database!$A$2:$I$948,5,0)</f>
        <v>1</v>
      </c>
    </row>
    <row r="61" spans="1:14" hidden="1" x14ac:dyDescent="0.35">
      <c r="A61" s="3">
        <v>103411011</v>
      </c>
      <c r="B61" s="3" t="s">
        <v>4249</v>
      </c>
      <c r="C61" s="3" t="str">
        <f t="shared" si="0"/>
        <v>2022-07-07</v>
      </c>
      <c r="D61" s="3" t="s">
        <v>9</v>
      </c>
      <c r="E61" s="3" t="s">
        <v>5</v>
      </c>
      <c r="F61" s="3" t="s">
        <v>10</v>
      </c>
      <c r="G61" s="3" t="s">
        <v>4250</v>
      </c>
      <c r="H61" s="3" t="s">
        <v>4251</v>
      </c>
      <c r="I61" s="4">
        <v>1649.29</v>
      </c>
      <c r="J61" s="3" t="s">
        <v>14</v>
      </c>
      <c r="K61">
        <f>MATCH(A61,Database!$A$2:$A$948,0)</f>
        <v>889</v>
      </c>
      <c r="L61">
        <f>VLOOKUP(A61,Database!$A$2:$I$948,4,0)</f>
        <v>1649.29</v>
      </c>
      <c r="M61" t="b">
        <f t="shared" si="1"/>
        <v>1</v>
      </c>
      <c r="N61">
        <f>VLOOKUP(A61,Database!$A$2:$I$948,5,0)</f>
        <v>1</v>
      </c>
    </row>
    <row r="62" spans="1:14" hidden="1" x14ac:dyDescent="0.35">
      <c r="A62" s="3">
        <v>103411006</v>
      </c>
      <c r="B62" s="3" t="s">
        <v>4252</v>
      </c>
      <c r="C62" s="3" t="str">
        <f t="shared" si="0"/>
        <v>2022-07-07</v>
      </c>
      <c r="D62" s="3" t="s">
        <v>9</v>
      </c>
      <c r="E62" s="3" t="s">
        <v>5</v>
      </c>
      <c r="F62" s="3" t="s">
        <v>10</v>
      </c>
      <c r="G62" s="3" t="s">
        <v>4253</v>
      </c>
      <c r="H62" s="3" t="s">
        <v>4254</v>
      </c>
      <c r="I62" s="4">
        <v>2222.14</v>
      </c>
      <c r="J62" s="3" t="s">
        <v>14</v>
      </c>
      <c r="K62">
        <f>MATCH(A62,Database!$A$2:$A$948,0)</f>
        <v>888</v>
      </c>
      <c r="L62">
        <f>VLOOKUP(A62,Database!$A$2:$I$948,4,0)</f>
        <v>2222.14</v>
      </c>
      <c r="M62" t="b">
        <f t="shared" si="1"/>
        <v>1</v>
      </c>
      <c r="N62">
        <f>VLOOKUP(A62,Database!$A$2:$I$948,5,0)</f>
        <v>1</v>
      </c>
    </row>
    <row r="63" spans="1:14" hidden="1" x14ac:dyDescent="0.35">
      <c r="A63" s="3">
        <v>103411003</v>
      </c>
      <c r="B63" s="3" t="s">
        <v>4255</v>
      </c>
      <c r="C63" s="3" t="str">
        <f t="shared" si="0"/>
        <v>2022-07-07</v>
      </c>
      <c r="D63" s="3" t="s">
        <v>9</v>
      </c>
      <c r="E63" s="3" t="s">
        <v>5</v>
      </c>
      <c r="F63" s="3" t="s">
        <v>10</v>
      </c>
      <c r="G63" s="3" t="s">
        <v>4256</v>
      </c>
      <c r="H63" s="3" t="s">
        <v>4257</v>
      </c>
      <c r="I63" s="5">
        <v>3118</v>
      </c>
      <c r="J63" s="3" t="s">
        <v>14</v>
      </c>
      <c r="K63">
        <f>MATCH(A63,Database!$A$2:$A$948,0)</f>
        <v>887</v>
      </c>
      <c r="L63">
        <f>VLOOKUP(A63,Database!$A$2:$I$948,4,0)</f>
        <v>3118</v>
      </c>
      <c r="M63" t="b">
        <f t="shared" si="1"/>
        <v>1</v>
      </c>
      <c r="N63">
        <f>VLOOKUP(A63,Database!$A$2:$I$948,5,0)</f>
        <v>2</v>
      </c>
    </row>
    <row r="64" spans="1:14" x14ac:dyDescent="0.35">
      <c r="A64" s="3">
        <v>103411000</v>
      </c>
      <c r="B64" s="3" t="s">
        <v>4258</v>
      </c>
      <c r="C64" s="3" t="str">
        <f t="shared" si="0"/>
        <v>2022-07-07</v>
      </c>
      <c r="D64" s="3" t="s">
        <v>9</v>
      </c>
      <c r="E64" s="3" t="s">
        <v>5</v>
      </c>
      <c r="F64" s="3" t="s">
        <v>10</v>
      </c>
      <c r="G64" s="3" t="s">
        <v>4259</v>
      </c>
      <c r="H64" s="3" t="s">
        <v>4260</v>
      </c>
      <c r="I64" s="3">
        <v>976.6</v>
      </c>
      <c r="J64" s="3" t="s">
        <v>14</v>
      </c>
      <c r="K64">
        <f>MATCH(A64,Database!$A$2:$A$948,0)</f>
        <v>886</v>
      </c>
      <c r="L64">
        <f>VLOOKUP(A64,Database!$A$2:$I$948,4,0)</f>
        <v>976.599999999999</v>
      </c>
      <c r="M64" t="b">
        <f t="shared" si="1"/>
        <v>0</v>
      </c>
      <c r="N64">
        <f>VLOOKUP(A64,Database!$A$2:$I$948,5,0)</f>
        <v>2</v>
      </c>
    </row>
    <row r="65" spans="1:14" hidden="1" x14ac:dyDescent="0.35">
      <c r="A65" s="3">
        <v>103410999</v>
      </c>
      <c r="B65" s="3" t="s">
        <v>4261</v>
      </c>
      <c r="C65" s="3" t="str">
        <f t="shared" si="0"/>
        <v>2022-07-07</v>
      </c>
      <c r="D65" s="3" t="s">
        <v>9</v>
      </c>
      <c r="E65" s="3" t="s">
        <v>5</v>
      </c>
      <c r="F65" s="3" t="s">
        <v>10</v>
      </c>
      <c r="G65" s="3" t="s">
        <v>4262</v>
      </c>
      <c r="H65" s="3" t="s">
        <v>4263</v>
      </c>
      <c r="I65" s="4">
        <v>1661.55</v>
      </c>
      <c r="J65" s="3" t="s">
        <v>14</v>
      </c>
      <c r="K65">
        <f>MATCH(A65,Database!$A$2:$A$948,0)</f>
        <v>885</v>
      </c>
      <c r="L65">
        <f>VLOOKUP(A65,Database!$A$2:$I$948,4,0)</f>
        <v>1661.55</v>
      </c>
      <c r="M65" t="b">
        <f t="shared" si="1"/>
        <v>1</v>
      </c>
      <c r="N65">
        <f>VLOOKUP(A65,Database!$A$2:$I$948,5,0)</f>
        <v>1</v>
      </c>
    </row>
    <row r="66" spans="1:14" hidden="1" x14ac:dyDescent="0.35">
      <c r="A66" s="3">
        <v>103410998</v>
      </c>
      <c r="B66" s="3" t="s">
        <v>4264</v>
      </c>
      <c r="C66" s="3" t="str">
        <f t="shared" si="0"/>
        <v>2022-07-07</v>
      </c>
      <c r="D66" s="3" t="s">
        <v>9</v>
      </c>
      <c r="E66" s="3" t="s">
        <v>5</v>
      </c>
      <c r="F66" s="3" t="s">
        <v>10</v>
      </c>
      <c r="G66" s="3" t="s">
        <v>4265</v>
      </c>
      <c r="H66" s="3" t="s">
        <v>4266</v>
      </c>
      <c r="I66" s="4">
        <v>4103.1400000000003</v>
      </c>
      <c r="J66" s="3" t="s">
        <v>14</v>
      </c>
      <c r="K66">
        <f>MATCH(A66,Database!$A$2:$A$948,0)</f>
        <v>884</v>
      </c>
      <c r="L66">
        <f>VLOOKUP(A66,Database!$A$2:$I$948,4,0)</f>
        <v>4103.1400000000003</v>
      </c>
      <c r="M66" t="b">
        <f t="shared" si="1"/>
        <v>1</v>
      </c>
      <c r="N66">
        <f>VLOOKUP(A66,Database!$A$2:$I$948,5,0)</f>
        <v>1</v>
      </c>
    </row>
    <row r="67" spans="1:14" hidden="1" x14ac:dyDescent="0.35">
      <c r="A67" s="3">
        <v>103410935</v>
      </c>
      <c r="B67" s="3" t="s">
        <v>4267</v>
      </c>
      <c r="C67" s="3" t="str">
        <f t="shared" ref="C67:C130" si="2">LEFT(B67,FIND("T",B67)-1)</f>
        <v>2022-07-07</v>
      </c>
      <c r="D67" s="3" t="s">
        <v>9</v>
      </c>
      <c r="E67" s="3" t="s">
        <v>5</v>
      </c>
      <c r="F67" s="3" t="s">
        <v>12</v>
      </c>
      <c r="G67" s="3" t="s">
        <v>4268</v>
      </c>
      <c r="H67" s="3" t="s">
        <v>4269</v>
      </c>
      <c r="I67" s="5">
        <v>2499</v>
      </c>
      <c r="J67" s="3" t="s">
        <v>14</v>
      </c>
      <c r="K67">
        <f>MATCH(A67,Database!$A$2:$A$948,0)</f>
        <v>871</v>
      </c>
      <c r="L67">
        <f>VLOOKUP(A67,Database!$A$2:$I$948,4,0)</f>
        <v>2499</v>
      </c>
      <c r="M67" t="b">
        <f t="shared" ref="M67:M130" si="3">I67=L67</f>
        <v>1</v>
      </c>
      <c r="N67">
        <f>VLOOKUP(A67,Database!$A$2:$I$948,5,0)</f>
        <v>1</v>
      </c>
    </row>
    <row r="68" spans="1:14" hidden="1" x14ac:dyDescent="0.35">
      <c r="A68" s="3">
        <v>103410933</v>
      </c>
      <c r="B68" s="3" t="s">
        <v>4270</v>
      </c>
      <c r="C68" s="3" t="str">
        <f t="shared" si="2"/>
        <v>2022-07-07</v>
      </c>
      <c r="D68" s="3" t="s">
        <v>9</v>
      </c>
      <c r="E68" s="3" t="s">
        <v>5</v>
      </c>
      <c r="F68" s="3" t="s">
        <v>12</v>
      </c>
      <c r="G68" s="3" t="s">
        <v>4271</v>
      </c>
      <c r="H68" s="3" t="s">
        <v>4272</v>
      </c>
      <c r="I68" s="3">
        <v>549</v>
      </c>
      <c r="J68" s="3" t="s">
        <v>14</v>
      </c>
      <c r="K68">
        <f>MATCH(A68,Database!$A$2:$A$948,0)</f>
        <v>870</v>
      </c>
      <c r="L68">
        <f>VLOOKUP(A68,Database!$A$2:$I$948,4,0)</f>
        <v>549</v>
      </c>
      <c r="M68" t="b">
        <f t="shared" si="3"/>
        <v>1</v>
      </c>
      <c r="N68">
        <f>VLOOKUP(A68,Database!$A$2:$I$948,5,0)</f>
        <v>1</v>
      </c>
    </row>
    <row r="69" spans="1:14" hidden="1" x14ac:dyDescent="0.35">
      <c r="A69" s="3">
        <v>103410930</v>
      </c>
      <c r="B69" s="3" t="s">
        <v>4273</v>
      </c>
      <c r="C69" s="3" t="str">
        <f t="shared" si="2"/>
        <v>2022-07-07</v>
      </c>
      <c r="D69" s="3" t="s">
        <v>9</v>
      </c>
      <c r="E69" s="3" t="s">
        <v>5</v>
      </c>
      <c r="F69" s="3" t="s">
        <v>10</v>
      </c>
      <c r="G69" s="3" t="s">
        <v>4274</v>
      </c>
      <c r="H69" s="3" t="s">
        <v>4275</v>
      </c>
      <c r="I69" s="4">
        <v>2659.05</v>
      </c>
      <c r="J69" s="3" t="s">
        <v>14</v>
      </c>
      <c r="K69">
        <f>MATCH(A69,Database!$A$2:$A$948,0)</f>
        <v>869</v>
      </c>
      <c r="L69">
        <f>VLOOKUP(A69,Database!$A$2:$I$948,4,0)</f>
        <v>2659.05</v>
      </c>
      <c r="M69" t="b">
        <f t="shared" si="3"/>
        <v>1</v>
      </c>
      <c r="N69">
        <f>VLOOKUP(A69,Database!$A$2:$I$948,5,0)</f>
        <v>1</v>
      </c>
    </row>
    <row r="70" spans="1:14" hidden="1" x14ac:dyDescent="0.35">
      <c r="A70" s="3">
        <v>103410928</v>
      </c>
      <c r="B70" s="3" t="s">
        <v>4276</v>
      </c>
      <c r="C70" s="3" t="str">
        <f t="shared" si="2"/>
        <v>2022-07-07</v>
      </c>
      <c r="D70" s="3" t="s">
        <v>9</v>
      </c>
      <c r="E70" s="3" t="s">
        <v>5</v>
      </c>
      <c r="F70" s="3" t="s">
        <v>10</v>
      </c>
      <c r="G70" s="3" t="s">
        <v>4277</v>
      </c>
      <c r="H70" s="3" t="s">
        <v>4278</v>
      </c>
      <c r="I70" s="4">
        <v>3473.72</v>
      </c>
      <c r="J70" s="3" t="s">
        <v>14</v>
      </c>
      <c r="K70">
        <f>MATCH(A70,Database!$A$2:$A$948,0)</f>
        <v>868</v>
      </c>
      <c r="L70">
        <f>VLOOKUP(A70,Database!$A$2:$I$948,4,0)</f>
        <v>3473.72</v>
      </c>
      <c r="M70" t="b">
        <f t="shared" si="3"/>
        <v>1</v>
      </c>
      <c r="N70">
        <f>VLOOKUP(A70,Database!$A$2:$I$948,5,0)</f>
        <v>1</v>
      </c>
    </row>
    <row r="71" spans="1:14" hidden="1" x14ac:dyDescent="0.35">
      <c r="A71" s="3">
        <v>103410994</v>
      </c>
      <c r="B71" s="3" t="s">
        <v>4279</v>
      </c>
      <c r="C71" s="3" t="str">
        <f t="shared" si="2"/>
        <v>2022-07-07</v>
      </c>
      <c r="D71" s="3" t="s">
        <v>9</v>
      </c>
      <c r="E71" s="3" t="s">
        <v>5</v>
      </c>
      <c r="F71" s="3" t="s">
        <v>10</v>
      </c>
      <c r="G71" s="3" t="s">
        <v>4280</v>
      </c>
      <c r="H71" s="3" t="s">
        <v>4281</v>
      </c>
      <c r="I71" s="4">
        <v>2841.97</v>
      </c>
      <c r="J71" s="3" t="s">
        <v>14</v>
      </c>
      <c r="K71">
        <f>MATCH(A71,Database!$A$2:$A$948,0)</f>
        <v>883</v>
      </c>
      <c r="L71">
        <f>VLOOKUP(A71,Database!$A$2:$I$948,4,0)</f>
        <v>2841.97</v>
      </c>
      <c r="M71" t="b">
        <f t="shared" si="3"/>
        <v>1</v>
      </c>
      <c r="N71">
        <f>VLOOKUP(A71,Database!$A$2:$I$948,5,0)</f>
        <v>1</v>
      </c>
    </row>
    <row r="72" spans="1:14" hidden="1" x14ac:dyDescent="0.35">
      <c r="A72" s="3">
        <v>103410919</v>
      </c>
      <c r="B72" s="3" t="s">
        <v>4282</v>
      </c>
      <c r="C72" s="3" t="str">
        <f t="shared" si="2"/>
        <v>2022-07-07</v>
      </c>
      <c r="D72" s="3" t="s">
        <v>9</v>
      </c>
      <c r="E72" s="3" t="s">
        <v>5</v>
      </c>
      <c r="F72" s="3" t="s">
        <v>10</v>
      </c>
      <c r="G72" s="3" t="s">
        <v>4283</v>
      </c>
      <c r="H72" s="3" t="s">
        <v>4284</v>
      </c>
      <c r="I72" s="3">
        <v>868</v>
      </c>
      <c r="J72" s="3" t="s">
        <v>14</v>
      </c>
      <c r="K72">
        <f>MATCH(A72,Database!$A$2:$A$948,0)</f>
        <v>867</v>
      </c>
      <c r="L72">
        <f>VLOOKUP(A72,Database!$A$2:$I$948,4,0)</f>
        <v>868</v>
      </c>
      <c r="M72" t="b">
        <f t="shared" si="3"/>
        <v>1</v>
      </c>
      <c r="N72">
        <f>VLOOKUP(A72,Database!$A$2:$I$948,5,0)</f>
        <v>2</v>
      </c>
    </row>
    <row r="73" spans="1:14" hidden="1" x14ac:dyDescent="0.35">
      <c r="A73" s="3">
        <v>103410986</v>
      </c>
      <c r="B73" s="3" t="s">
        <v>4285</v>
      </c>
      <c r="C73" s="3" t="str">
        <f t="shared" si="2"/>
        <v>2022-07-07</v>
      </c>
      <c r="D73" s="3" t="s">
        <v>9</v>
      </c>
      <c r="E73" s="3" t="s">
        <v>5</v>
      </c>
      <c r="F73" s="3" t="s">
        <v>12</v>
      </c>
      <c r="G73" s="3" t="s">
        <v>4286</v>
      </c>
      <c r="H73" s="3" t="s">
        <v>4287</v>
      </c>
      <c r="I73" s="3">
        <v>869</v>
      </c>
      <c r="J73" s="3" t="s">
        <v>14</v>
      </c>
      <c r="K73">
        <f>MATCH(A73,Database!$A$2:$A$948,0)</f>
        <v>882</v>
      </c>
      <c r="L73">
        <f>VLOOKUP(A73,Database!$A$2:$I$948,4,0)</f>
        <v>869</v>
      </c>
      <c r="M73" t="b">
        <f t="shared" si="3"/>
        <v>1</v>
      </c>
      <c r="N73">
        <f>VLOOKUP(A73,Database!$A$2:$I$948,5,0)</f>
        <v>1</v>
      </c>
    </row>
    <row r="74" spans="1:14" hidden="1" x14ac:dyDescent="0.35">
      <c r="A74" s="3">
        <v>103410984</v>
      </c>
      <c r="B74" s="3" t="s">
        <v>4288</v>
      </c>
      <c r="C74" s="3" t="str">
        <f t="shared" si="2"/>
        <v>2022-07-07</v>
      </c>
      <c r="D74" s="3" t="s">
        <v>9</v>
      </c>
      <c r="E74" s="3" t="s">
        <v>5</v>
      </c>
      <c r="F74" s="3" t="s">
        <v>10</v>
      </c>
      <c r="G74" s="3" t="s">
        <v>4289</v>
      </c>
      <c r="H74" s="3" t="s">
        <v>4290</v>
      </c>
      <c r="I74" s="3">
        <v>699</v>
      </c>
      <c r="J74" s="3" t="s">
        <v>14</v>
      </c>
      <c r="K74">
        <f>MATCH(A74,Database!$A$2:$A$948,0)</f>
        <v>881</v>
      </c>
      <c r="L74">
        <f>VLOOKUP(A74,Database!$A$2:$I$948,4,0)</f>
        <v>699</v>
      </c>
      <c r="M74" t="b">
        <f t="shared" si="3"/>
        <v>1</v>
      </c>
      <c r="N74">
        <f>VLOOKUP(A74,Database!$A$2:$I$948,5,0)</f>
        <v>1</v>
      </c>
    </row>
    <row r="75" spans="1:14" hidden="1" x14ac:dyDescent="0.35">
      <c r="A75" s="3">
        <v>103410913</v>
      </c>
      <c r="B75" s="3" t="s">
        <v>4291</v>
      </c>
      <c r="C75" s="3" t="str">
        <f t="shared" si="2"/>
        <v>2022-07-07</v>
      </c>
      <c r="D75" s="3" t="s">
        <v>9</v>
      </c>
      <c r="E75" s="3" t="s">
        <v>5</v>
      </c>
      <c r="F75" s="3" t="s">
        <v>12</v>
      </c>
      <c r="G75" s="3" t="s">
        <v>4292</v>
      </c>
      <c r="H75" s="3" t="s">
        <v>4293</v>
      </c>
      <c r="I75" s="4">
        <v>1545.84</v>
      </c>
      <c r="J75" s="3" t="s">
        <v>14</v>
      </c>
      <c r="K75">
        <f>MATCH(A75,Database!$A$2:$A$948,0)</f>
        <v>866</v>
      </c>
      <c r="L75">
        <f>VLOOKUP(A75,Database!$A$2:$I$948,4,0)</f>
        <v>1545.84</v>
      </c>
      <c r="M75" t="b">
        <f t="shared" si="3"/>
        <v>1</v>
      </c>
      <c r="N75">
        <f>VLOOKUP(A75,Database!$A$2:$I$948,5,0)</f>
        <v>2</v>
      </c>
    </row>
    <row r="76" spans="1:14" hidden="1" x14ac:dyDescent="0.35">
      <c r="A76" s="3">
        <v>103410912</v>
      </c>
      <c r="B76" s="3" t="s">
        <v>4294</v>
      </c>
      <c r="C76" s="3" t="str">
        <f t="shared" si="2"/>
        <v>2022-07-07</v>
      </c>
      <c r="D76" s="3" t="s">
        <v>9</v>
      </c>
      <c r="E76" s="3" t="s">
        <v>5</v>
      </c>
      <c r="F76" s="3" t="s">
        <v>12</v>
      </c>
      <c r="G76" s="3" t="s">
        <v>4295</v>
      </c>
      <c r="H76" s="3" t="s">
        <v>4296</v>
      </c>
      <c r="I76" s="4">
        <v>2800.6</v>
      </c>
      <c r="J76" s="3" t="s">
        <v>14</v>
      </c>
      <c r="K76">
        <f>MATCH(A76,Database!$A$2:$A$948,0)</f>
        <v>865</v>
      </c>
      <c r="L76">
        <f>VLOOKUP(A76,Database!$A$2:$I$948,4,0)</f>
        <v>2800.6</v>
      </c>
      <c r="M76" t="b">
        <f t="shared" si="3"/>
        <v>1</v>
      </c>
      <c r="N76">
        <f>VLOOKUP(A76,Database!$A$2:$I$948,5,0)</f>
        <v>2</v>
      </c>
    </row>
    <row r="77" spans="1:14" hidden="1" x14ac:dyDescent="0.35">
      <c r="A77" s="3">
        <v>103410911</v>
      </c>
      <c r="B77" s="3" t="s">
        <v>4297</v>
      </c>
      <c r="C77" s="3" t="str">
        <f t="shared" si="2"/>
        <v>2022-07-07</v>
      </c>
      <c r="D77" s="3" t="s">
        <v>9</v>
      </c>
      <c r="E77" s="3" t="s">
        <v>5</v>
      </c>
      <c r="F77" s="3" t="s">
        <v>12</v>
      </c>
      <c r="G77" s="3" t="s">
        <v>4298</v>
      </c>
      <c r="H77" s="3" t="s">
        <v>4299</v>
      </c>
      <c r="I77" s="5">
        <v>1999</v>
      </c>
      <c r="J77" s="3" t="s">
        <v>14</v>
      </c>
      <c r="K77">
        <f>MATCH(A77,Database!$A$2:$A$948,0)</f>
        <v>864</v>
      </c>
      <c r="L77">
        <f>VLOOKUP(A77,Database!$A$2:$I$948,4,0)</f>
        <v>1999</v>
      </c>
      <c r="M77" t="b">
        <f t="shared" si="3"/>
        <v>1</v>
      </c>
      <c r="N77">
        <f>VLOOKUP(A77,Database!$A$2:$I$948,5,0)</f>
        <v>1</v>
      </c>
    </row>
    <row r="78" spans="1:14" hidden="1" x14ac:dyDescent="0.35">
      <c r="A78" s="3">
        <v>103410978</v>
      </c>
      <c r="B78" s="3" t="s">
        <v>4300</v>
      </c>
      <c r="C78" s="3" t="str">
        <f t="shared" si="2"/>
        <v>2022-07-07</v>
      </c>
      <c r="D78" s="3" t="s">
        <v>9</v>
      </c>
      <c r="E78" s="3" t="s">
        <v>5</v>
      </c>
      <c r="F78" s="3" t="s">
        <v>10</v>
      </c>
      <c r="G78" s="3" t="s">
        <v>4301</v>
      </c>
      <c r="H78" s="3" t="s">
        <v>4302</v>
      </c>
      <c r="I78" s="4">
        <v>3419.05</v>
      </c>
      <c r="J78" s="3" t="s">
        <v>14</v>
      </c>
      <c r="K78">
        <f>MATCH(A78,Database!$A$2:$A$948,0)</f>
        <v>880</v>
      </c>
      <c r="L78">
        <f>VLOOKUP(A78,Database!$A$2:$I$948,4,0)</f>
        <v>3419.05</v>
      </c>
      <c r="M78" t="b">
        <f t="shared" si="3"/>
        <v>1</v>
      </c>
      <c r="N78">
        <f>VLOOKUP(A78,Database!$A$2:$I$948,5,0)</f>
        <v>1</v>
      </c>
    </row>
    <row r="79" spans="1:14" hidden="1" x14ac:dyDescent="0.35">
      <c r="A79" s="3">
        <v>103410977</v>
      </c>
      <c r="B79" s="3" t="s">
        <v>4303</v>
      </c>
      <c r="C79" s="3" t="str">
        <f t="shared" si="2"/>
        <v>2022-07-07</v>
      </c>
      <c r="D79" s="3" t="s">
        <v>9</v>
      </c>
      <c r="E79" s="3" t="s">
        <v>5</v>
      </c>
      <c r="F79" s="3" t="s">
        <v>10</v>
      </c>
      <c r="G79" s="3" t="s">
        <v>4304</v>
      </c>
      <c r="H79" s="3" t="s">
        <v>4305</v>
      </c>
      <c r="I79" s="5">
        <v>2309</v>
      </c>
      <c r="J79" s="3" t="s">
        <v>14</v>
      </c>
      <c r="K79">
        <f>MATCH(A79,Database!$A$2:$A$948,0)</f>
        <v>879</v>
      </c>
      <c r="L79">
        <f>VLOOKUP(A79,Database!$A$2:$I$948,4,0)</f>
        <v>2309</v>
      </c>
      <c r="M79" t="b">
        <f t="shared" si="3"/>
        <v>1</v>
      </c>
      <c r="N79">
        <f>VLOOKUP(A79,Database!$A$2:$I$948,5,0)</f>
        <v>1</v>
      </c>
    </row>
    <row r="80" spans="1:14" hidden="1" x14ac:dyDescent="0.35">
      <c r="A80" s="3">
        <v>103410905</v>
      </c>
      <c r="B80" s="3" t="s">
        <v>4306</v>
      </c>
      <c r="C80" s="3" t="str">
        <f t="shared" si="2"/>
        <v>2022-07-07</v>
      </c>
      <c r="D80" s="3" t="s">
        <v>9</v>
      </c>
      <c r="E80" s="3" t="s">
        <v>5</v>
      </c>
      <c r="F80" s="3" t="s">
        <v>10</v>
      </c>
      <c r="G80" s="3" t="s">
        <v>4307</v>
      </c>
      <c r="H80" s="3" t="s">
        <v>4308</v>
      </c>
      <c r="I80" s="5">
        <v>1999</v>
      </c>
      <c r="J80" s="3" t="s">
        <v>14</v>
      </c>
      <c r="K80">
        <f>MATCH(A80,Database!$A$2:$A$948,0)</f>
        <v>863</v>
      </c>
      <c r="L80">
        <f>VLOOKUP(A80,Database!$A$2:$I$948,4,0)</f>
        <v>1999</v>
      </c>
      <c r="M80" t="b">
        <f t="shared" si="3"/>
        <v>1</v>
      </c>
      <c r="N80">
        <f>VLOOKUP(A80,Database!$A$2:$I$948,5,0)</f>
        <v>1</v>
      </c>
    </row>
    <row r="81" spans="1:14" hidden="1" x14ac:dyDescent="0.35">
      <c r="A81" s="3">
        <v>103410975</v>
      </c>
      <c r="B81" s="3" t="s">
        <v>4309</v>
      </c>
      <c r="C81" s="3" t="str">
        <f t="shared" si="2"/>
        <v>2022-07-07</v>
      </c>
      <c r="D81" s="3" t="s">
        <v>9</v>
      </c>
      <c r="E81" s="3" t="s">
        <v>5</v>
      </c>
      <c r="F81" s="3" t="s">
        <v>10</v>
      </c>
      <c r="G81" s="3" t="s">
        <v>4310</v>
      </c>
      <c r="H81" s="3" t="s">
        <v>4311</v>
      </c>
      <c r="I81" s="5">
        <v>1499</v>
      </c>
      <c r="J81" s="3" t="s">
        <v>11</v>
      </c>
      <c r="K81">
        <f>MATCH(A81,Database!$A$2:$A$948,0)</f>
        <v>878</v>
      </c>
      <c r="L81">
        <f>VLOOKUP(A81,Database!$A$2:$I$948,4,0)</f>
        <v>1499</v>
      </c>
      <c r="M81" t="b">
        <f t="shared" si="3"/>
        <v>1</v>
      </c>
      <c r="N81">
        <f>VLOOKUP(A81,Database!$A$2:$I$948,5,0)</f>
        <v>1</v>
      </c>
    </row>
    <row r="82" spans="1:14" hidden="1" x14ac:dyDescent="0.35">
      <c r="A82" s="3">
        <v>103410900</v>
      </c>
      <c r="B82" s="3" t="s">
        <v>4312</v>
      </c>
      <c r="C82" s="3" t="str">
        <f t="shared" si="2"/>
        <v>2022-07-07</v>
      </c>
      <c r="D82" s="3" t="s">
        <v>9</v>
      </c>
      <c r="E82" s="3" t="s">
        <v>5</v>
      </c>
      <c r="F82" s="3" t="s">
        <v>12</v>
      </c>
      <c r="G82" s="3" t="s">
        <v>4313</v>
      </c>
      <c r="H82" s="3" t="s">
        <v>4314</v>
      </c>
      <c r="I82" s="5">
        <v>2799</v>
      </c>
      <c r="J82" s="3" t="s">
        <v>11</v>
      </c>
      <c r="K82">
        <f>MATCH(A82,Database!$A$2:$A$948,0)</f>
        <v>862</v>
      </c>
      <c r="L82">
        <f>VLOOKUP(A82,Database!$A$2:$I$948,4,0)</f>
        <v>2799</v>
      </c>
      <c r="M82" t="b">
        <f t="shared" si="3"/>
        <v>1</v>
      </c>
      <c r="N82">
        <f>VLOOKUP(A82,Database!$A$2:$I$948,5,0)</f>
        <v>1</v>
      </c>
    </row>
    <row r="83" spans="1:14" hidden="1" x14ac:dyDescent="0.35">
      <c r="A83" s="3">
        <v>103410968</v>
      </c>
      <c r="B83" s="3" t="s">
        <v>4315</v>
      </c>
      <c r="C83" s="3" t="str">
        <f t="shared" si="2"/>
        <v>2022-07-07</v>
      </c>
      <c r="D83" s="3" t="s">
        <v>9</v>
      </c>
      <c r="E83" s="3" t="s">
        <v>5</v>
      </c>
      <c r="F83" s="3" t="s">
        <v>10</v>
      </c>
      <c r="G83" s="3" t="s">
        <v>4316</v>
      </c>
      <c r="H83" s="3" t="s">
        <v>4317</v>
      </c>
      <c r="I83" s="3">
        <v>493.05</v>
      </c>
      <c r="J83" s="3" t="s">
        <v>11</v>
      </c>
      <c r="K83">
        <f>MATCH(A83,Database!$A$2:$A$948,0)</f>
        <v>877</v>
      </c>
      <c r="L83">
        <f>VLOOKUP(A83,Database!$A$2:$I$948,4,0)</f>
        <v>493.05</v>
      </c>
      <c r="M83" t="b">
        <f t="shared" si="3"/>
        <v>1</v>
      </c>
      <c r="N83">
        <f>VLOOKUP(A83,Database!$A$2:$I$948,5,0)</f>
        <v>1</v>
      </c>
    </row>
    <row r="84" spans="1:14" hidden="1" x14ac:dyDescent="0.35">
      <c r="A84" s="3">
        <v>103410896</v>
      </c>
      <c r="B84" s="3" t="s">
        <v>4318</v>
      </c>
      <c r="C84" s="3" t="str">
        <f t="shared" si="2"/>
        <v>2022-07-07</v>
      </c>
      <c r="D84" s="3" t="s">
        <v>9</v>
      </c>
      <c r="E84" s="3" t="s">
        <v>5</v>
      </c>
      <c r="F84" s="3" t="s">
        <v>12</v>
      </c>
      <c r="G84" s="3" t="s">
        <v>4319</v>
      </c>
      <c r="H84" s="3" t="s">
        <v>4320</v>
      </c>
      <c r="I84" s="5">
        <v>1049</v>
      </c>
      <c r="J84" s="3" t="s">
        <v>11</v>
      </c>
      <c r="K84">
        <f>MATCH(A84,Database!$A$2:$A$948,0)</f>
        <v>861</v>
      </c>
      <c r="L84">
        <f>VLOOKUP(A84,Database!$A$2:$I$948,4,0)</f>
        <v>1049</v>
      </c>
      <c r="M84" t="b">
        <f t="shared" si="3"/>
        <v>1</v>
      </c>
      <c r="N84">
        <f>VLOOKUP(A84,Database!$A$2:$I$948,5,0)</f>
        <v>1</v>
      </c>
    </row>
    <row r="85" spans="1:14" hidden="1" x14ac:dyDescent="0.35">
      <c r="A85" s="3">
        <v>103410762</v>
      </c>
      <c r="B85" s="3" t="s">
        <v>4321</v>
      </c>
      <c r="C85" s="3" t="str">
        <f t="shared" si="2"/>
        <v>2022-07-07</v>
      </c>
      <c r="D85" s="3" t="s">
        <v>9</v>
      </c>
      <c r="E85" s="3" t="s">
        <v>5</v>
      </c>
      <c r="F85" s="3" t="s">
        <v>10</v>
      </c>
      <c r="G85" s="3" t="s">
        <v>4322</v>
      </c>
      <c r="H85" s="3" t="s">
        <v>4323</v>
      </c>
      <c r="I85" s="5">
        <v>3149</v>
      </c>
      <c r="J85" s="3" t="s">
        <v>11</v>
      </c>
      <c r="K85">
        <f>MATCH(A85,Database!$A$2:$A$948,0)</f>
        <v>835</v>
      </c>
      <c r="L85">
        <f>VLOOKUP(A85,Database!$A$2:$I$948,4,0)</f>
        <v>3149</v>
      </c>
      <c r="M85" t="b">
        <f t="shared" si="3"/>
        <v>1</v>
      </c>
      <c r="N85">
        <f>VLOOKUP(A85,Database!$A$2:$I$948,5,0)</f>
        <v>1</v>
      </c>
    </row>
    <row r="86" spans="1:14" hidden="1" x14ac:dyDescent="0.35">
      <c r="A86" s="3">
        <v>103410757</v>
      </c>
      <c r="B86" s="3" t="s">
        <v>4324</v>
      </c>
      <c r="C86" s="3" t="str">
        <f t="shared" si="2"/>
        <v>2022-07-07</v>
      </c>
      <c r="D86" s="3" t="s">
        <v>9</v>
      </c>
      <c r="E86" s="3" t="s">
        <v>5</v>
      </c>
      <c r="F86" s="3" t="s">
        <v>10</v>
      </c>
      <c r="G86" s="3" t="s">
        <v>4325</v>
      </c>
      <c r="H86" s="3" t="s">
        <v>4326</v>
      </c>
      <c r="I86" s="3">
        <v>489</v>
      </c>
      <c r="J86" s="3" t="s">
        <v>11</v>
      </c>
      <c r="K86">
        <f>MATCH(A86,Database!$A$2:$A$948,0)</f>
        <v>834</v>
      </c>
      <c r="L86">
        <f>VLOOKUP(A86,Database!$A$2:$I$948,4,0)</f>
        <v>489</v>
      </c>
      <c r="M86" t="b">
        <f t="shared" si="3"/>
        <v>1</v>
      </c>
      <c r="N86">
        <f>VLOOKUP(A86,Database!$A$2:$I$948,5,0)</f>
        <v>1</v>
      </c>
    </row>
    <row r="87" spans="1:14" hidden="1" x14ac:dyDescent="0.35">
      <c r="A87" s="3">
        <v>103410894</v>
      </c>
      <c r="B87" s="3" t="s">
        <v>4324</v>
      </c>
      <c r="C87" s="3" t="str">
        <f t="shared" si="2"/>
        <v>2022-07-07</v>
      </c>
      <c r="D87" s="3" t="s">
        <v>9</v>
      </c>
      <c r="E87" s="3" t="s">
        <v>5</v>
      </c>
      <c r="F87" s="3" t="s">
        <v>10</v>
      </c>
      <c r="G87" s="3" t="s">
        <v>4327</v>
      </c>
      <c r="H87" s="3" t="s">
        <v>4328</v>
      </c>
      <c r="I87" s="4">
        <v>1329.05</v>
      </c>
      <c r="J87" s="3" t="s">
        <v>11</v>
      </c>
      <c r="K87">
        <f>MATCH(A87,Database!$A$2:$A$948,0)</f>
        <v>860</v>
      </c>
      <c r="L87">
        <f>VLOOKUP(A87,Database!$A$2:$I$948,4,0)</f>
        <v>1329.05</v>
      </c>
      <c r="M87" t="b">
        <f t="shared" si="3"/>
        <v>1</v>
      </c>
      <c r="N87">
        <f>VLOOKUP(A87,Database!$A$2:$I$948,5,0)</f>
        <v>1</v>
      </c>
    </row>
    <row r="88" spans="1:14" hidden="1" x14ac:dyDescent="0.35">
      <c r="A88" s="3">
        <v>103410755</v>
      </c>
      <c r="B88" s="3" t="s">
        <v>4329</v>
      </c>
      <c r="C88" s="3" t="str">
        <f t="shared" si="2"/>
        <v>2022-07-07</v>
      </c>
      <c r="D88" s="3" t="s">
        <v>9</v>
      </c>
      <c r="E88" s="3" t="s">
        <v>5</v>
      </c>
      <c r="F88" s="3" t="s">
        <v>10</v>
      </c>
      <c r="G88" s="3" t="s">
        <v>4330</v>
      </c>
      <c r="H88" s="3" t="s">
        <v>4331</v>
      </c>
      <c r="I88" s="4">
        <v>4872.6000000000004</v>
      </c>
      <c r="J88" s="3" t="s">
        <v>11</v>
      </c>
      <c r="K88">
        <f>MATCH(A88,Database!$A$2:$A$948,0)</f>
        <v>833</v>
      </c>
      <c r="L88">
        <f>VLOOKUP(A88,Database!$A$2:$I$948,4,0)</f>
        <v>4872.6000000000004</v>
      </c>
      <c r="M88" t="b">
        <f t="shared" si="3"/>
        <v>1</v>
      </c>
      <c r="N88">
        <f>VLOOKUP(A88,Database!$A$2:$I$948,5,0)</f>
        <v>1</v>
      </c>
    </row>
    <row r="89" spans="1:14" hidden="1" x14ac:dyDescent="0.35">
      <c r="A89" s="3">
        <v>103410891</v>
      </c>
      <c r="B89" s="3" t="s">
        <v>4332</v>
      </c>
      <c r="C89" s="3" t="str">
        <f t="shared" si="2"/>
        <v>2022-07-07</v>
      </c>
      <c r="D89" s="3" t="s">
        <v>9</v>
      </c>
      <c r="E89" s="3" t="s">
        <v>5</v>
      </c>
      <c r="F89" s="3" t="s">
        <v>10</v>
      </c>
      <c r="G89" s="3" t="s">
        <v>4333</v>
      </c>
      <c r="H89" s="3" t="s">
        <v>4334</v>
      </c>
      <c r="I89" s="3">
        <v>468.4</v>
      </c>
      <c r="J89" s="3" t="s">
        <v>11</v>
      </c>
      <c r="K89">
        <f>MATCH(A89,Database!$A$2:$A$948,0)</f>
        <v>859</v>
      </c>
      <c r="L89">
        <f>VLOOKUP(A89,Database!$A$2:$I$948,4,0)</f>
        <v>468.4</v>
      </c>
      <c r="M89" t="b">
        <f t="shared" si="3"/>
        <v>1</v>
      </c>
      <c r="N89">
        <f>VLOOKUP(A89,Database!$A$2:$I$948,5,0)</f>
        <v>1</v>
      </c>
    </row>
    <row r="90" spans="1:14" hidden="1" x14ac:dyDescent="0.35">
      <c r="A90" s="3">
        <v>103410883</v>
      </c>
      <c r="B90" s="3" t="s">
        <v>4335</v>
      </c>
      <c r="C90" s="3" t="str">
        <f t="shared" si="2"/>
        <v>2022-07-07</v>
      </c>
      <c r="D90" s="3" t="s">
        <v>9</v>
      </c>
      <c r="E90" s="3" t="s">
        <v>5</v>
      </c>
      <c r="F90" s="3" t="s">
        <v>10</v>
      </c>
      <c r="G90" s="3" t="s">
        <v>4336</v>
      </c>
      <c r="H90" s="3" t="s">
        <v>4337</v>
      </c>
      <c r="I90" s="3">
        <v>819</v>
      </c>
      <c r="J90" s="3" t="s">
        <v>11</v>
      </c>
      <c r="K90">
        <f>MATCH(A90,Database!$A$2:$A$948,0)</f>
        <v>858</v>
      </c>
      <c r="L90">
        <f>VLOOKUP(A90,Database!$A$2:$I$948,4,0)</f>
        <v>819</v>
      </c>
      <c r="M90" t="b">
        <f t="shared" si="3"/>
        <v>1</v>
      </c>
      <c r="N90">
        <f>VLOOKUP(A90,Database!$A$2:$I$948,5,0)</f>
        <v>1</v>
      </c>
    </row>
    <row r="91" spans="1:14" hidden="1" x14ac:dyDescent="0.35">
      <c r="A91" s="3">
        <v>103410746</v>
      </c>
      <c r="B91" s="3" t="s">
        <v>4338</v>
      </c>
      <c r="C91" s="3" t="str">
        <f t="shared" si="2"/>
        <v>2022-07-07</v>
      </c>
      <c r="D91" s="3" t="s">
        <v>9</v>
      </c>
      <c r="E91" s="3" t="s">
        <v>5</v>
      </c>
      <c r="F91" s="3" t="s">
        <v>10</v>
      </c>
      <c r="G91" s="3" t="s">
        <v>3900</v>
      </c>
      <c r="H91" s="3" t="s">
        <v>3901</v>
      </c>
      <c r="I91" s="4">
        <v>4244.6000000000004</v>
      </c>
      <c r="J91" s="3" t="s">
        <v>11</v>
      </c>
      <c r="K91">
        <f>MATCH(A91,Database!$A$2:$A$948,0)</f>
        <v>832</v>
      </c>
      <c r="L91">
        <f>VLOOKUP(A91,Database!$A$2:$I$948,4,0)</f>
        <v>4244.6000000000004</v>
      </c>
      <c r="M91" t="b">
        <f t="shared" si="3"/>
        <v>1</v>
      </c>
      <c r="N91">
        <f>VLOOKUP(A91,Database!$A$2:$I$948,5,0)</f>
        <v>2</v>
      </c>
    </row>
    <row r="92" spans="1:14" hidden="1" x14ac:dyDescent="0.35">
      <c r="A92" s="3">
        <v>103410875</v>
      </c>
      <c r="B92" s="3" t="s">
        <v>4339</v>
      </c>
      <c r="C92" s="3" t="str">
        <f t="shared" si="2"/>
        <v>2022-07-07</v>
      </c>
      <c r="D92" s="3" t="s">
        <v>9</v>
      </c>
      <c r="E92" s="3" t="s">
        <v>5</v>
      </c>
      <c r="F92" s="3" t="s">
        <v>10</v>
      </c>
      <c r="G92" s="3" t="s">
        <v>4340</v>
      </c>
      <c r="H92" s="3" t="s">
        <v>4341</v>
      </c>
      <c r="I92" s="4">
        <v>2222.14</v>
      </c>
      <c r="J92" s="3" t="s">
        <v>11</v>
      </c>
      <c r="K92">
        <f>MATCH(A92,Database!$A$2:$A$948,0)</f>
        <v>857</v>
      </c>
      <c r="L92">
        <f>VLOOKUP(A92,Database!$A$2:$I$948,4,0)</f>
        <v>2222.14</v>
      </c>
      <c r="M92" t="b">
        <f t="shared" si="3"/>
        <v>1</v>
      </c>
      <c r="N92">
        <f>VLOOKUP(A92,Database!$A$2:$I$948,5,0)</f>
        <v>1</v>
      </c>
    </row>
    <row r="93" spans="1:14" hidden="1" x14ac:dyDescent="0.35">
      <c r="A93" s="3">
        <v>103410745</v>
      </c>
      <c r="B93" s="3" t="s">
        <v>4342</v>
      </c>
      <c r="C93" s="3" t="str">
        <f t="shared" si="2"/>
        <v>2022-07-07</v>
      </c>
      <c r="D93" s="3" t="s">
        <v>9</v>
      </c>
      <c r="E93" s="3" t="s">
        <v>5</v>
      </c>
      <c r="F93" s="3" t="s">
        <v>10</v>
      </c>
      <c r="G93" s="3" t="s">
        <v>4343</v>
      </c>
      <c r="H93" s="3" t="s">
        <v>4344</v>
      </c>
      <c r="I93" s="4">
        <v>3418.1</v>
      </c>
      <c r="J93" s="3" t="s">
        <v>11</v>
      </c>
      <c r="K93">
        <f>MATCH(A93,Database!$A$2:$A$948,0)</f>
        <v>831</v>
      </c>
      <c r="L93">
        <f>VLOOKUP(A93,Database!$A$2:$I$948,4,0)</f>
        <v>3418.1</v>
      </c>
      <c r="M93" t="b">
        <f t="shared" si="3"/>
        <v>1</v>
      </c>
      <c r="N93">
        <f>VLOOKUP(A93,Database!$A$2:$I$948,5,0)</f>
        <v>2</v>
      </c>
    </row>
    <row r="94" spans="1:14" hidden="1" x14ac:dyDescent="0.35">
      <c r="A94" s="3">
        <v>103410742</v>
      </c>
      <c r="B94" s="3" t="s">
        <v>4345</v>
      </c>
      <c r="C94" s="3" t="str">
        <f t="shared" si="2"/>
        <v>2022-07-07</v>
      </c>
      <c r="D94" s="3" t="s">
        <v>9</v>
      </c>
      <c r="E94" s="3" t="s">
        <v>5</v>
      </c>
      <c r="F94" s="3" t="s">
        <v>10</v>
      </c>
      <c r="G94" s="3" t="s">
        <v>4346</v>
      </c>
      <c r="H94" s="3" t="s">
        <v>4347</v>
      </c>
      <c r="I94" s="4">
        <v>3704.05</v>
      </c>
      <c r="J94" s="3" t="s">
        <v>11</v>
      </c>
      <c r="K94">
        <f>MATCH(A94,Database!$A$2:$A$948,0)</f>
        <v>830</v>
      </c>
      <c r="L94">
        <f>VLOOKUP(A94,Database!$A$2:$I$948,4,0)</f>
        <v>3704.05</v>
      </c>
      <c r="M94" t="b">
        <f t="shared" si="3"/>
        <v>1</v>
      </c>
      <c r="N94">
        <f>VLOOKUP(A94,Database!$A$2:$I$948,5,0)</f>
        <v>1</v>
      </c>
    </row>
    <row r="95" spans="1:14" hidden="1" x14ac:dyDescent="0.35">
      <c r="A95" s="3">
        <v>103410874</v>
      </c>
      <c r="B95" s="3" t="s">
        <v>4348</v>
      </c>
      <c r="C95" s="3" t="str">
        <f t="shared" si="2"/>
        <v>2022-07-07</v>
      </c>
      <c r="D95" s="3" t="s">
        <v>9</v>
      </c>
      <c r="E95" s="3" t="s">
        <v>5</v>
      </c>
      <c r="F95" s="3" t="s">
        <v>10</v>
      </c>
      <c r="G95" s="3" t="s">
        <v>4349</v>
      </c>
      <c r="H95" s="3" t="s">
        <v>4350</v>
      </c>
      <c r="I95" s="3">
        <v>799</v>
      </c>
      <c r="J95" s="3" t="s">
        <v>11</v>
      </c>
      <c r="K95">
        <f>MATCH(A95,Database!$A$2:$A$948,0)</f>
        <v>856</v>
      </c>
      <c r="L95">
        <f>VLOOKUP(A95,Database!$A$2:$I$948,4,0)</f>
        <v>799</v>
      </c>
      <c r="M95" t="b">
        <f t="shared" si="3"/>
        <v>1</v>
      </c>
      <c r="N95">
        <f>VLOOKUP(A95,Database!$A$2:$I$948,5,0)</f>
        <v>1</v>
      </c>
    </row>
    <row r="96" spans="1:14" hidden="1" x14ac:dyDescent="0.35">
      <c r="A96" s="3">
        <v>103410733</v>
      </c>
      <c r="B96" s="3" t="s">
        <v>4351</v>
      </c>
      <c r="C96" s="3" t="str">
        <f t="shared" si="2"/>
        <v>2022-07-07</v>
      </c>
      <c r="D96" s="3" t="s">
        <v>9</v>
      </c>
      <c r="E96" s="3" t="s">
        <v>5</v>
      </c>
      <c r="F96" s="3" t="s">
        <v>10</v>
      </c>
      <c r="G96" s="3" t="s">
        <v>640</v>
      </c>
      <c r="H96" s="3" t="s">
        <v>4352</v>
      </c>
      <c r="I96" s="4">
        <v>2699.25</v>
      </c>
      <c r="J96" s="3" t="s">
        <v>11</v>
      </c>
      <c r="K96">
        <f>MATCH(A96,Database!$A$2:$A$948,0)</f>
        <v>829</v>
      </c>
      <c r="L96">
        <f>VLOOKUP(A96,Database!$A$2:$I$948,4,0)</f>
        <v>2699.25</v>
      </c>
      <c r="M96" t="b">
        <f t="shared" si="3"/>
        <v>1</v>
      </c>
      <c r="N96">
        <f>VLOOKUP(A96,Database!$A$2:$I$948,5,0)</f>
        <v>1</v>
      </c>
    </row>
    <row r="97" spans="1:14" hidden="1" x14ac:dyDescent="0.35">
      <c r="A97" s="3">
        <v>103410861</v>
      </c>
      <c r="B97" s="3" t="s">
        <v>4353</v>
      </c>
      <c r="C97" s="3" t="str">
        <f t="shared" si="2"/>
        <v>2022-07-07</v>
      </c>
      <c r="D97" s="3" t="s">
        <v>9</v>
      </c>
      <c r="E97" s="3" t="s">
        <v>5</v>
      </c>
      <c r="F97" s="3" t="s">
        <v>12</v>
      </c>
      <c r="G97" s="3" t="s">
        <v>4354</v>
      </c>
      <c r="H97" s="3" t="s">
        <v>4355</v>
      </c>
      <c r="I97" s="3">
        <v>849</v>
      </c>
      <c r="J97" s="3" t="s">
        <v>11</v>
      </c>
      <c r="K97">
        <f>MATCH(A97,Database!$A$2:$A$948,0)</f>
        <v>855</v>
      </c>
      <c r="L97">
        <f>VLOOKUP(A97,Database!$A$2:$I$948,4,0)</f>
        <v>849</v>
      </c>
      <c r="M97" t="b">
        <f t="shared" si="3"/>
        <v>1</v>
      </c>
      <c r="N97">
        <f>VLOOKUP(A97,Database!$A$2:$I$948,5,0)</f>
        <v>1</v>
      </c>
    </row>
    <row r="98" spans="1:14" hidden="1" x14ac:dyDescent="0.35">
      <c r="A98" s="3">
        <v>103410732</v>
      </c>
      <c r="B98" s="3" t="s">
        <v>4356</v>
      </c>
      <c r="C98" s="3" t="str">
        <f t="shared" si="2"/>
        <v>2022-07-07</v>
      </c>
      <c r="D98" s="3" t="s">
        <v>9</v>
      </c>
      <c r="E98" s="3" t="s">
        <v>5</v>
      </c>
      <c r="F98" s="3" t="s">
        <v>10</v>
      </c>
      <c r="G98" s="3" t="s">
        <v>4357</v>
      </c>
      <c r="H98" s="3" t="s">
        <v>4358</v>
      </c>
      <c r="I98" s="3">
        <v>549</v>
      </c>
      <c r="J98" s="3" t="s">
        <v>11</v>
      </c>
      <c r="K98">
        <f>MATCH(A98,Database!$A$2:$A$948,0)</f>
        <v>828</v>
      </c>
      <c r="L98">
        <f>VLOOKUP(A98,Database!$A$2:$I$948,4,0)</f>
        <v>549</v>
      </c>
      <c r="M98" t="b">
        <f t="shared" si="3"/>
        <v>1</v>
      </c>
      <c r="N98">
        <f>VLOOKUP(A98,Database!$A$2:$I$948,5,0)</f>
        <v>1</v>
      </c>
    </row>
    <row r="99" spans="1:14" x14ac:dyDescent="0.35">
      <c r="A99" s="3">
        <v>103410858</v>
      </c>
      <c r="B99" s="3" t="s">
        <v>4359</v>
      </c>
      <c r="C99" s="3" t="str">
        <f t="shared" si="2"/>
        <v>2022-07-07</v>
      </c>
      <c r="D99" s="3" t="s">
        <v>9</v>
      </c>
      <c r="E99" s="3" t="s">
        <v>5</v>
      </c>
      <c r="F99" s="3" t="s">
        <v>10</v>
      </c>
      <c r="G99" s="3" t="s">
        <v>337</v>
      </c>
      <c r="H99" s="3" t="s">
        <v>4360</v>
      </c>
      <c r="I99" s="4">
        <v>4654.05</v>
      </c>
      <c r="J99" s="3" t="s">
        <v>11</v>
      </c>
      <c r="K99" t="e">
        <f>MATCH(A99,Database!$A$2:$A$948,0)</f>
        <v>#N/A</v>
      </c>
      <c r="L99" t="e">
        <f>VLOOKUP(A99,Database!$A$2:$I$948,4,0)</f>
        <v>#N/A</v>
      </c>
      <c r="M99" t="e">
        <f t="shared" si="3"/>
        <v>#N/A</v>
      </c>
      <c r="N99" t="e">
        <f>VLOOKUP(A99,Database!$A$2:$I$948,5,0)</f>
        <v>#N/A</v>
      </c>
    </row>
    <row r="100" spans="1:14" hidden="1" x14ac:dyDescent="0.35">
      <c r="A100" s="3">
        <v>103410728</v>
      </c>
      <c r="B100" s="3" t="s">
        <v>4361</v>
      </c>
      <c r="C100" s="3" t="str">
        <f t="shared" si="2"/>
        <v>2022-07-07</v>
      </c>
      <c r="D100" s="3" t="s">
        <v>9</v>
      </c>
      <c r="E100" s="3" t="s">
        <v>5</v>
      </c>
      <c r="F100" s="3" t="s">
        <v>12</v>
      </c>
      <c r="G100" s="3" t="s">
        <v>4362</v>
      </c>
      <c r="H100" s="3" t="s">
        <v>4363</v>
      </c>
      <c r="I100" s="4">
        <v>2249.6</v>
      </c>
      <c r="J100" s="3" t="s">
        <v>11</v>
      </c>
      <c r="K100">
        <f>MATCH(A100,Database!$A$2:$A$948,0)</f>
        <v>827</v>
      </c>
      <c r="L100">
        <f>VLOOKUP(A100,Database!$A$2:$I$948,4,0)</f>
        <v>2249.6</v>
      </c>
      <c r="M100" t="b">
        <f t="shared" si="3"/>
        <v>1</v>
      </c>
      <c r="N100">
        <f>VLOOKUP(A100,Database!$A$2:$I$948,5,0)</f>
        <v>2</v>
      </c>
    </row>
    <row r="101" spans="1:14" hidden="1" x14ac:dyDescent="0.35">
      <c r="A101" s="3">
        <v>103410854</v>
      </c>
      <c r="B101" s="3" t="s">
        <v>4364</v>
      </c>
      <c r="C101" s="3" t="str">
        <f t="shared" si="2"/>
        <v>2022-07-07</v>
      </c>
      <c r="D101" s="3" t="s">
        <v>9</v>
      </c>
      <c r="E101" s="3" t="s">
        <v>5</v>
      </c>
      <c r="F101" s="3" t="s">
        <v>10</v>
      </c>
      <c r="G101" s="3" t="s">
        <v>4365</v>
      </c>
      <c r="H101" s="3" t="s">
        <v>4366</v>
      </c>
      <c r="I101" s="5">
        <v>3499</v>
      </c>
      <c r="J101" s="3" t="s">
        <v>11</v>
      </c>
      <c r="K101">
        <f>MATCH(A101,Database!$A$2:$A$948,0)</f>
        <v>854</v>
      </c>
      <c r="L101">
        <f>VLOOKUP(A101,Database!$A$2:$I$948,4,0)</f>
        <v>3499</v>
      </c>
      <c r="M101" t="b">
        <f t="shared" si="3"/>
        <v>1</v>
      </c>
      <c r="N101">
        <f>VLOOKUP(A101,Database!$A$2:$I$948,5,0)</f>
        <v>1</v>
      </c>
    </row>
    <row r="102" spans="1:14" hidden="1" x14ac:dyDescent="0.35">
      <c r="A102" s="3">
        <v>103410725</v>
      </c>
      <c r="B102" s="3" t="s">
        <v>4367</v>
      </c>
      <c r="C102" s="3" t="str">
        <f t="shared" si="2"/>
        <v>2022-07-07</v>
      </c>
      <c r="D102" s="3" t="s">
        <v>9</v>
      </c>
      <c r="E102" s="3" t="s">
        <v>5</v>
      </c>
      <c r="F102" s="3" t="s">
        <v>10</v>
      </c>
      <c r="G102" s="3" t="s">
        <v>4368</v>
      </c>
      <c r="H102" s="3" t="s">
        <v>4369</v>
      </c>
      <c r="I102" s="3">
        <v>449</v>
      </c>
      <c r="J102" s="3" t="s">
        <v>11</v>
      </c>
      <c r="K102">
        <f>MATCH(A102,Database!$A$2:$A$948,0)</f>
        <v>826</v>
      </c>
      <c r="L102">
        <f>VLOOKUP(A102,Database!$A$2:$I$948,4,0)</f>
        <v>449</v>
      </c>
      <c r="M102" t="b">
        <f t="shared" si="3"/>
        <v>1</v>
      </c>
      <c r="N102">
        <f>VLOOKUP(A102,Database!$A$2:$I$948,5,0)</f>
        <v>1</v>
      </c>
    </row>
    <row r="103" spans="1:14" hidden="1" x14ac:dyDescent="0.35">
      <c r="A103" s="3">
        <v>103410724</v>
      </c>
      <c r="B103" s="3" t="s">
        <v>4370</v>
      </c>
      <c r="C103" s="3" t="str">
        <f t="shared" si="2"/>
        <v>2022-07-07</v>
      </c>
      <c r="D103" s="3" t="s">
        <v>9</v>
      </c>
      <c r="E103" s="3" t="s">
        <v>5</v>
      </c>
      <c r="F103" s="3" t="s">
        <v>12</v>
      </c>
      <c r="G103" s="3" t="s">
        <v>4371</v>
      </c>
      <c r="H103" s="3" t="s">
        <v>4372</v>
      </c>
      <c r="I103" s="4">
        <v>1281.55</v>
      </c>
      <c r="J103" s="3" t="s">
        <v>11</v>
      </c>
      <c r="K103">
        <f>MATCH(A103,Database!$A$2:$A$948,0)</f>
        <v>825</v>
      </c>
      <c r="L103">
        <f>VLOOKUP(A103,Database!$A$2:$I$948,4,0)</f>
        <v>1281.55</v>
      </c>
      <c r="M103" t="b">
        <f t="shared" si="3"/>
        <v>1</v>
      </c>
      <c r="N103">
        <f>VLOOKUP(A103,Database!$A$2:$I$948,5,0)</f>
        <v>1</v>
      </c>
    </row>
    <row r="104" spans="1:14" hidden="1" x14ac:dyDescent="0.35">
      <c r="A104" s="3">
        <v>103410720</v>
      </c>
      <c r="B104" s="3" t="s">
        <v>4373</v>
      </c>
      <c r="C104" s="3" t="str">
        <f t="shared" si="2"/>
        <v>2022-07-07</v>
      </c>
      <c r="D104" s="3" t="s">
        <v>9</v>
      </c>
      <c r="E104" s="3" t="s">
        <v>5</v>
      </c>
      <c r="F104" s="3" t="s">
        <v>10</v>
      </c>
      <c r="G104" s="3" t="s">
        <v>4374</v>
      </c>
      <c r="H104" s="3" t="s">
        <v>4375</v>
      </c>
      <c r="I104" s="4">
        <v>1424.05</v>
      </c>
      <c r="J104" s="3" t="s">
        <v>11</v>
      </c>
      <c r="K104">
        <f>MATCH(A104,Database!$A$2:$A$948,0)</f>
        <v>824</v>
      </c>
      <c r="L104">
        <f>VLOOKUP(A104,Database!$A$2:$I$948,4,0)</f>
        <v>1424.05</v>
      </c>
      <c r="M104" t="b">
        <f t="shared" si="3"/>
        <v>1</v>
      </c>
      <c r="N104">
        <f>VLOOKUP(A104,Database!$A$2:$I$948,5,0)</f>
        <v>1</v>
      </c>
    </row>
    <row r="105" spans="1:14" hidden="1" x14ac:dyDescent="0.35">
      <c r="A105" s="3">
        <v>103410838</v>
      </c>
      <c r="B105" s="3" t="s">
        <v>4376</v>
      </c>
      <c r="C105" s="3" t="str">
        <f t="shared" si="2"/>
        <v>2022-07-07</v>
      </c>
      <c r="D105" s="3" t="s">
        <v>9</v>
      </c>
      <c r="E105" s="3" t="s">
        <v>5</v>
      </c>
      <c r="F105" s="3" t="s">
        <v>10</v>
      </c>
      <c r="G105" s="3" t="s">
        <v>4377</v>
      </c>
      <c r="H105" s="3" t="s">
        <v>4378</v>
      </c>
      <c r="I105" s="4">
        <v>2991.64</v>
      </c>
      <c r="J105" s="3" t="s">
        <v>11</v>
      </c>
      <c r="K105">
        <f>MATCH(A105,Database!$A$2:$A$948,0)</f>
        <v>853</v>
      </c>
      <c r="L105">
        <f>VLOOKUP(A105,Database!$A$2:$I$948,4,0)</f>
        <v>2991.64</v>
      </c>
      <c r="M105" t="b">
        <f t="shared" si="3"/>
        <v>1</v>
      </c>
      <c r="N105">
        <f>VLOOKUP(A105,Database!$A$2:$I$948,5,0)</f>
        <v>1</v>
      </c>
    </row>
    <row r="106" spans="1:14" hidden="1" x14ac:dyDescent="0.35">
      <c r="A106" s="3">
        <v>103410837</v>
      </c>
      <c r="B106" s="3" t="s">
        <v>4379</v>
      </c>
      <c r="C106" s="3" t="str">
        <f t="shared" si="2"/>
        <v>2022-07-07</v>
      </c>
      <c r="D106" s="3" t="s">
        <v>9</v>
      </c>
      <c r="E106" s="3" t="s">
        <v>5</v>
      </c>
      <c r="F106" s="3" t="s">
        <v>10</v>
      </c>
      <c r="G106" s="3" t="s">
        <v>4380</v>
      </c>
      <c r="H106" s="3" t="s">
        <v>4381</v>
      </c>
      <c r="I106" s="5">
        <v>1148</v>
      </c>
      <c r="J106" s="3" t="s">
        <v>11</v>
      </c>
      <c r="K106">
        <f>MATCH(A106,Database!$A$2:$A$948,0)</f>
        <v>852</v>
      </c>
      <c r="L106">
        <f>VLOOKUP(A106,Database!$A$2:$I$948,4,0)</f>
        <v>1148</v>
      </c>
      <c r="M106" t="b">
        <f t="shared" si="3"/>
        <v>1</v>
      </c>
      <c r="N106">
        <f>VLOOKUP(A106,Database!$A$2:$I$948,5,0)</f>
        <v>2</v>
      </c>
    </row>
    <row r="107" spans="1:14" hidden="1" x14ac:dyDescent="0.35">
      <c r="A107" s="3">
        <v>103410834</v>
      </c>
      <c r="B107" s="3" t="s">
        <v>4382</v>
      </c>
      <c r="C107" s="3" t="str">
        <f t="shared" si="2"/>
        <v>2022-07-07</v>
      </c>
      <c r="D107" s="3" t="s">
        <v>9</v>
      </c>
      <c r="E107" s="3" t="s">
        <v>5</v>
      </c>
      <c r="F107" s="3" t="s">
        <v>10</v>
      </c>
      <c r="G107" s="3" t="s">
        <v>4383</v>
      </c>
      <c r="H107" s="3" t="s">
        <v>4384</v>
      </c>
      <c r="I107" s="5">
        <v>2778</v>
      </c>
      <c r="J107" s="3" t="s">
        <v>11</v>
      </c>
      <c r="K107">
        <f>MATCH(A107,Database!$A$2:$A$948,0)</f>
        <v>851</v>
      </c>
      <c r="L107">
        <f>VLOOKUP(A107,Database!$A$2:$I$948,4,0)</f>
        <v>2778</v>
      </c>
      <c r="M107" t="b">
        <f t="shared" si="3"/>
        <v>1</v>
      </c>
      <c r="N107">
        <f>VLOOKUP(A107,Database!$A$2:$I$948,5,0)</f>
        <v>2</v>
      </c>
    </row>
    <row r="108" spans="1:14" hidden="1" x14ac:dyDescent="0.35">
      <c r="A108" s="3">
        <v>103410708</v>
      </c>
      <c r="B108" s="3" t="s">
        <v>4385</v>
      </c>
      <c r="C108" s="3" t="str">
        <f t="shared" si="2"/>
        <v>2022-07-07</v>
      </c>
      <c r="D108" s="3" t="s">
        <v>9</v>
      </c>
      <c r="E108" s="3" t="s">
        <v>5</v>
      </c>
      <c r="F108" s="3" t="s">
        <v>10</v>
      </c>
      <c r="G108" s="3" t="s">
        <v>4386</v>
      </c>
      <c r="H108" s="3" t="s">
        <v>4387</v>
      </c>
      <c r="I108" s="4">
        <v>1129.55</v>
      </c>
      <c r="J108" s="3" t="s">
        <v>11</v>
      </c>
      <c r="K108">
        <f>MATCH(A108,Database!$A$2:$A$948,0)</f>
        <v>823</v>
      </c>
      <c r="L108">
        <f>VLOOKUP(A108,Database!$A$2:$I$948,4,0)</f>
        <v>1129.55</v>
      </c>
      <c r="M108" t="b">
        <f t="shared" si="3"/>
        <v>1</v>
      </c>
      <c r="N108">
        <f>VLOOKUP(A108,Database!$A$2:$I$948,5,0)</f>
        <v>1</v>
      </c>
    </row>
    <row r="109" spans="1:14" hidden="1" x14ac:dyDescent="0.35">
      <c r="A109" s="3">
        <v>103410706</v>
      </c>
      <c r="B109" s="3" t="s">
        <v>4388</v>
      </c>
      <c r="C109" s="3" t="str">
        <f t="shared" si="2"/>
        <v>2022-07-07</v>
      </c>
      <c r="D109" s="3" t="s">
        <v>9</v>
      </c>
      <c r="E109" s="3" t="s">
        <v>5</v>
      </c>
      <c r="F109" s="3" t="s">
        <v>10</v>
      </c>
      <c r="G109" s="3" t="s">
        <v>4389</v>
      </c>
      <c r="H109" s="3" t="s">
        <v>4390</v>
      </c>
      <c r="I109" s="3">
        <v>701.1</v>
      </c>
      <c r="J109" s="3" t="s">
        <v>11</v>
      </c>
      <c r="K109">
        <f>MATCH(A109,Database!$A$2:$A$948,0)</f>
        <v>822</v>
      </c>
      <c r="L109">
        <f>VLOOKUP(A109,Database!$A$2:$I$948,4,0)</f>
        <v>701.1</v>
      </c>
      <c r="M109" t="b">
        <f t="shared" si="3"/>
        <v>1</v>
      </c>
      <c r="N109">
        <f>VLOOKUP(A109,Database!$A$2:$I$948,5,0)</f>
        <v>1</v>
      </c>
    </row>
    <row r="110" spans="1:14" hidden="1" x14ac:dyDescent="0.35">
      <c r="A110" s="3">
        <v>103410704</v>
      </c>
      <c r="B110" s="3" t="s">
        <v>4391</v>
      </c>
      <c r="C110" s="3" t="str">
        <f t="shared" si="2"/>
        <v>2022-07-07</v>
      </c>
      <c r="D110" s="3" t="s">
        <v>9</v>
      </c>
      <c r="E110" s="3" t="s">
        <v>5</v>
      </c>
      <c r="F110" s="3" t="s">
        <v>10</v>
      </c>
      <c r="G110" s="3" t="s">
        <v>4392</v>
      </c>
      <c r="H110" s="3" t="s">
        <v>4393</v>
      </c>
      <c r="I110" s="5">
        <v>1199</v>
      </c>
      <c r="J110" s="3" t="s">
        <v>11</v>
      </c>
      <c r="K110">
        <f>MATCH(A110,Database!$A$2:$A$948,0)</f>
        <v>821</v>
      </c>
      <c r="L110">
        <f>VLOOKUP(A110,Database!$A$2:$I$948,4,0)</f>
        <v>1199</v>
      </c>
      <c r="M110" t="b">
        <f t="shared" si="3"/>
        <v>1</v>
      </c>
      <c r="N110">
        <f>VLOOKUP(A110,Database!$A$2:$I$948,5,0)</f>
        <v>1</v>
      </c>
    </row>
    <row r="111" spans="1:14" x14ac:dyDescent="0.35">
      <c r="A111" s="3">
        <v>103410703</v>
      </c>
      <c r="B111" s="3" t="s">
        <v>4394</v>
      </c>
      <c r="C111" s="3" t="str">
        <f t="shared" si="2"/>
        <v>2022-07-07</v>
      </c>
      <c r="D111" s="3" t="s">
        <v>9</v>
      </c>
      <c r="E111" s="3" t="s">
        <v>5</v>
      </c>
      <c r="F111" s="3" t="s">
        <v>10</v>
      </c>
      <c r="G111" s="3" t="s">
        <v>4395</v>
      </c>
      <c r="H111" s="3" t="s">
        <v>4396</v>
      </c>
      <c r="I111" s="5">
        <v>2338</v>
      </c>
      <c r="J111" s="3" t="s">
        <v>11</v>
      </c>
      <c r="K111" t="e">
        <f>MATCH(A111,Database!$A$2:$A$948,0)</f>
        <v>#N/A</v>
      </c>
      <c r="L111" t="e">
        <f>VLOOKUP(A111,Database!$A$2:$I$948,4,0)</f>
        <v>#N/A</v>
      </c>
      <c r="M111" t="e">
        <f t="shared" si="3"/>
        <v>#N/A</v>
      </c>
      <c r="N111" t="e">
        <f>VLOOKUP(A111,Database!$A$2:$I$948,5,0)</f>
        <v>#N/A</v>
      </c>
    </row>
    <row r="112" spans="1:14" hidden="1" x14ac:dyDescent="0.35">
      <c r="A112" s="3">
        <v>103410828</v>
      </c>
      <c r="B112" s="3" t="s">
        <v>4397</v>
      </c>
      <c r="C112" s="3" t="str">
        <f t="shared" si="2"/>
        <v>2022-07-07</v>
      </c>
      <c r="D112" s="3" t="s">
        <v>9</v>
      </c>
      <c r="E112" s="3" t="s">
        <v>5</v>
      </c>
      <c r="F112" s="3" t="s">
        <v>10</v>
      </c>
      <c r="G112" s="3" t="s">
        <v>4398</v>
      </c>
      <c r="H112" s="3" t="s">
        <v>4399</v>
      </c>
      <c r="I112" s="3">
        <v>999</v>
      </c>
      <c r="J112" s="3" t="s">
        <v>11</v>
      </c>
      <c r="K112">
        <f>MATCH(A112,Database!$A$2:$A$948,0)</f>
        <v>850</v>
      </c>
      <c r="L112">
        <f>VLOOKUP(A112,Database!$A$2:$I$948,4,0)</f>
        <v>999</v>
      </c>
      <c r="M112" t="b">
        <f t="shared" si="3"/>
        <v>1</v>
      </c>
      <c r="N112">
        <f>VLOOKUP(A112,Database!$A$2:$I$948,5,0)</f>
        <v>1</v>
      </c>
    </row>
    <row r="113" spans="1:15" hidden="1" x14ac:dyDescent="0.35">
      <c r="A113" s="3">
        <v>103410827</v>
      </c>
      <c r="B113" s="3" t="s">
        <v>4400</v>
      </c>
      <c r="C113" s="3" t="str">
        <f t="shared" si="2"/>
        <v>2022-07-07</v>
      </c>
      <c r="D113" s="3" t="s">
        <v>9</v>
      </c>
      <c r="E113" s="3" t="s">
        <v>5</v>
      </c>
      <c r="F113" s="3" t="s">
        <v>10</v>
      </c>
      <c r="G113" s="3" t="s">
        <v>4401</v>
      </c>
      <c r="H113" s="3" t="s">
        <v>4402</v>
      </c>
      <c r="I113" s="4">
        <v>1918.05</v>
      </c>
      <c r="J113" s="3" t="s">
        <v>11</v>
      </c>
      <c r="K113">
        <f>MATCH(A113,Database!$A$2:$A$948,0)</f>
        <v>849</v>
      </c>
      <c r="L113">
        <f>VLOOKUP(A113,Database!$A$2:$I$948,4,0)</f>
        <v>1918.05</v>
      </c>
      <c r="M113" t="b">
        <f t="shared" si="3"/>
        <v>1</v>
      </c>
      <c r="N113">
        <f>VLOOKUP(A113,Database!$A$2:$I$948,5,0)</f>
        <v>1</v>
      </c>
    </row>
    <row r="114" spans="1:15" hidden="1" x14ac:dyDescent="0.35">
      <c r="A114" s="3">
        <v>103410823</v>
      </c>
      <c r="B114" s="3" t="s">
        <v>4403</v>
      </c>
      <c r="C114" s="3" t="str">
        <f t="shared" si="2"/>
        <v>2022-07-07</v>
      </c>
      <c r="D114" s="3" t="s">
        <v>9</v>
      </c>
      <c r="E114" s="3" t="s">
        <v>5</v>
      </c>
      <c r="F114" s="3" t="s">
        <v>10</v>
      </c>
      <c r="G114" s="3" t="s">
        <v>4404</v>
      </c>
      <c r="H114" s="3" t="s">
        <v>4405</v>
      </c>
      <c r="I114" s="4">
        <v>1851.55</v>
      </c>
      <c r="J114" s="3" t="s">
        <v>11</v>
      </c>
      <c r="K114">
        <f>MATCH(A114,Database!$A$2:$A$948,0)</f>
        <v>848</v>
      </c>
      <c r="L114">
        <f>VLOOKUP(A114,Database!$A$2:$I$948,4,0)</f>
        <v>1851.55</v>
      </c>
      <c r="M114" t="b">
        <f t="shared" si="3"/>
        <v>1</v>
      </c>
      <c r="N114">
        <f>VLOOKUP(A114,Database!$A$2:$I$948,5,0)</f>
        <v>1</v>
      </c>
    </row>
    <row r="115" spans="1:15" hidden="1" x14ac:dyDescent="0.35">
      <c r="A115" s="3">
        <v>103410699</v>
      </c>
      <c r="B115" s="3" t="s">
        <v>4406</v>
      </c>
      <c r="C115" s="3" t="str">
        <f t="shared" si="2"/>
        <v>2022-07-07</v>
      </c>
      <c r="D115" s="3" t="s">
        <v>9</v>
      </c>
      <c r="E115" s="3" t="s">
        <v>5</v>
      </c>
      <c r="F115" s="3" t="s">
        <v>10</v>
      </c>
      <c r="G115" s="3" t="s">
        <v>4407</v>
      </c>
      <c r="H115" s="3" t="s">
        <v>4408</v>
      </c>
      <c r="I115" s="4">
        <v>14367.8</v>
      </c>
      <c r="J115" s="3" t="s">
        <v>11</v>
      </c>
      <c r="K115">
        <f>MATCH(A115,Database!$A$2:$A$948,0)</f>
        <v>820</v>
      </c>
      <c r="L115">
        <f>VLOOKUP(A115,Database!$A$2:$I$948,4,0)</f>
        <v>14367.8</v>
      </c>
      <c r="M115" t="b">
        <f t="shared" si="3"/>
        <v>1</v>
      </c>
      <c r="N115">
        <f>VLOOKUP(A115,Database!$A$2:$I$948,5,0)</f>
        <v>6</v>
      </c>
    </row>
    <row r="116" spans="1:15" hidden="1" x14ac:dyDescent="0.35">
      <c r="A116" s="3">
        <v>103410819</v>
      </c>
      <c r="B116" s="3" t="s">
        <v>4409</v>
      </c>
      <c r="C116" s="3" t="str">
        <f t="shared" si="2"/>
        <v>2022-07-07</v>
      </c>
      <c r="D116" s="3" t="s">
        <v>9</v>
      </c>
      <c r="E116" s="3" t="s">
        <v>5</v>
      </c>
      <c r="F116" s="3" t="s">
        <v>10</v>
      </c>
      <c r="G116" s="3" t="s">
        <v>4410</v>
      </c>
      <c r="H116" s="3" t="s">
        <v>4411</v>
      </c>
      <c r="I116" s="4">
        <v>2345.5500000000002</v>
      </c>
      <c r="J116" s="3" t="s">
        <v>11</v>
      </c>
      <c r="K116">
        <f>MATCH(A116,Database!$A$2:$A$948,0)</f>
        <v>847</v>
      </c>
      <c r="L116">
        <f>VLOOKUP(A116,Database!$A$2:$I$948,4,0)</f>
        <v>2345.5500000000002</v>
      </c>
      <c r="M116" t="b">
        <f t="shared" si="3"/>
        <v>1</v>
      </c>
      <c r="N116">
        <f>VLOOKUP(A116,Database!$A$2:$I$948,5,0)</f>
        <v>1</v>
      </c>
    </row>
    <row r="117" spans="1:15" hidden="1" x14ac:dyDescent="0.35">
      <c r="A117" s="3">
        <v>103410818</v>
      </c>
      <c r="B117" s="3" t="s">
        <v>4412</v>
      </c>
      <c r="C117" s="3" t="str">
        <f t="shared" si="2"/>
        <v>2022-07-07</v>
      </c>
      <c r="D117" s="3" t="s">
        <v>9</v>
      </c>
      <c r="E117" s="3" t="s">
        <v>5</v>
      </c>
      <c r="F117" s="3" t="s">
        <v>10</v>
      </c>
      <c r="G117" s="3" t="s">
        <v>2937</v>
      </c>
      <c r="H117" s="3" t="s">
        <v>2938</v>
      </c>
      <c r="I117" s="4">
        <v>4939.05</v>
      </c>
      <c r="J117" s="3" t="s">
        <v>11</v>
      </c>
      <c r="K117">
        <f>MATCH(A117,Database!$A$2:$A$948,0)</f>
        <v>846</v>
      </c>
      <c r="L117">
        <f>VLOOKUP(A117,Database!$A$2:$I$948,4,0)</f>
        <v>4939.05</v>
      </c>
      <c r="M117" t="b">
        <f t="shared" si="3"/>
        <v>1</v>
      </c>
      <c r="N117">
        <f>VLOOKUP(A117,Database!$A$2:$I$948,5,0)</f>
        <v>1</v>
      </c>
    </row>
    <row r="118" spans="1:15" hidden="1" x14ac:dyDescent="0.35">
      <c r="A118" s="3">
        <v>103410697</v>
      </c>
      <c r="B118" s="3" t="s">
        <v>4413</v>
      </c>
      <c r="C118" s="3" t="str">
        <f t="shared" si="2"/>
        <v>2022-07-07</v>
      </c>
      <c r="D118" s="3" t="s">
        <v>9</v>
      </c>
      <c r="E118" s="3" t="s">
        <v>5</v>
      </c>
      <c r="F118" s="3" t="s">
        <v>12</v>
      </c>
      <c r="G118" s="3" t="s">
        <v>4414</v>
      </c>
      <c r="H118" s="3" t="s">
        <v>2260</v>
      </c>
      <c r="I118" s="3">
        <v>768.55</v>
      </c>
      <c r="J118" s="3" t="s">
        <v>11</v>
      </c>
      <c r="K118">
        <f>MATCH(A118,Database!$A$2:$A$948,0)</f>
        <v>819</v>
      </c>
      <c r="L118">
        <f>VLOOKUP(A118,Database!$A$2:$I$948,4,0)</f>
        <v>768.55</v>
      </c>
      <c r="M118" t="b">
        <f t="shared" si="3"/>
        <v>1</v>
      </c>
      <c r="N118">
        <f>VLOOKUP(A118,Database!$A$2:$I$948,5,0)</f>
        <v>1</v>
      </c>
    </row>
    <row r="119" spans="1:15" hidden="1" x14ac:dyDescent="0.35">
      <c r="A119" s="3">
        <v>103410809</v>
      </c>
      <c r="B119" s="3" t="s">
        <v>4415</v>
      </c>
      <c r="C119" s="3" t="str">
        <f t="shared" si="2"/>
        <v>2022-07-07</v>
      </c>
      <c r="D119" s="3" t="s">
        <v>9</v>
      </c>
      <c r="E119" s="3" t="s">
        <v>5</v>
      </c>
      <c r="F119" s="3" t="s">
        <v>12</v>
      </c>
      <c r="G119" s="3" t="s">
        <v>4416</v>
      </c>
      <c r="H119" s="3" t="s">
        <v>4417</v>
      </c>
      <c r="I119" s="5">
        <v>1499</v>
      </c>
      <c r="J119" s="3" t="s">
        <v>11</v>
      </c>
      <c r="K119">
        <f>MATCH(A119,Database!$A$2:$A$948,0)</f>
        <v>845</v>
      </c>
      <c r="L119">
        <f>VLOOKUP(A119,Database!$A$2:$I$948,4,0)</f>
        <v>1499</v>
      </c>
      <c r="M119" t="b">
        <f t="shared" si="3"/>
        <v>1</v>
      </c>
      <c r="N119">
        <f>VLOOKUP(A119,Database!$A$2:$I$948,5,0)</f>
        <v>1</v>
      </c>
    </row>
    <row r="120" spans="1:15" hidden="1" x14ac:dyDescent="0.35">
      <c r="A120" s="3">
        <v>103410691</v>
      </c>
      <c r="B120" s="3" t="s">
        <v>4418</v>
      </c>
      <c r="C120" s="3" t="str">
        <f t="shared" si="2"/>
        <v>2022-07-07</v>
      </c>
      <c r="D120" s="3" t="s">
        <v>9</v>
      </c>
      <c r="E120" s="3" t="s">
        <v>5</v>
      </c>
      <c r="F120" s="3" t="s">
        <v>10</v>
      </c>
      <c r="G120" s="3" t="s">
        <v>4419</v>
      </c>
      <c r="H120" s="3" t="s">
        <v>4420</v>
      </c>
      <c r="I120" s="3">
        <v>799</v>
      </c>
      <c r="J120" s="3" t="s">
        <v>11</v>
      </c>
      <c r="K120">
        <f>MATCH(A120,Database!$A$2:$A$948,0)</f>
        <v>818</v>
      </c>
      <c r="L120">
        <f>VLOOKUP(A120,Database!$A$2:$I$948,4,0)</f>
        <v>799</v>
      </c>
      <c r="M120" t="b">
        <f t="shared" si="3"/>
        <v>1</v>
      </c>
      <c r="N120">
        <f>VLOOKUP(A120,Database!$A$2:$I$948,5,0)</f>
        <v>1</v>
      </c>
    </row>
    <row r="121" spans="1:15" hidden="1" x14ac:dyDescent="0.35">
      <c r="A121" s="3">
        <v>103410805</v>
      </c>
      <c r="B121" s="3" t="s">
        <v>4421</v>
      </c>
      <c r="C121" s="3" t="str">
        <f t="shared" si="2"/>
        <v>2022-07-07</v>
      </c>
      <c r="D121" s="3" t="s">
        <v>9</v>
      </c>
      <c r="E121" s="3" t="s">
        <v>5</v>
      </c>
      <c r="F121" s="3" t="s">
        <v>10</v>
      </c>
      <c r="G121" s="3" t="s">
        <v>4422</v>
      </c>
      <c r="H121" s="3" t="s">
        <v>4423</v>
      </c>
      <c r="I121" s="4">
        <v>3324.05</v>
      </c>
      <c r="J121" s="3" t="s">
        <v>11</v>
      </c>
      <c r="K121">
        <f>MATCH(A121,Database!$A$2:$A$948,0)</f>
        <v>844</v>
      </c>
      <c r="L121">
        <f>VLOOKUP(A121,Database!$A$2:$I$948,4,0)</f>
        <v>3324.05</v>
      </c>
      <c r="M121" t="b">
        <f t="shared" si="3"/>
        <v>1</v>
      </c>
      <c r="N121">
        <f>VLOOKUP(A121,Database!$A$2:$I$948,5,0)</f>
        <v>1</v>
      </c>
    </row>
    <row r="122" spans="1:15" hidden="1" x14ac:dyDescent="0.35">
      <c r="A122" s="3">
        <v>103410690</v>
      </c>
      <c r="B122" s="3" t="s">
        <v>4424</v>
      </c>
      <c r="C122" s="3" t="str">
        <f t="shared" si="2"/>
        <v>2022-07-07</v>
      </c>
      <c r="D122" s="3" t="s">
        <v>9</v>
      </c>
      <c r="E122" s="3" t="s">
        <v>5</v>
      </c>
      <c r="F122" s="3" t="s">
        <v>10</v>
      </c>
      <c r="G122" s="3" t="s">
        <v>4425</v>
      </c>
      <c r="H122" s="3" t="s">
        <v>4426</v>
      </c>
      <c r="I122" s="4">
        <v>4178.1000000000004</v>
      </c>
      <c r="J122" s="3" t="s">
        <v>11</v>
      </c>
      <c r="K122">
        <f>MATCH(A122,Database!$A$2:$A$948,0)</f>
        <v>817</v>
      </c>
      <c r="L122">
        <f>VLOOKUP(A122,Database!$A$2:$I$948,4,0)</f>
        <v>4178.1000000000004</v>
      </c>
      <c r="M122" t="b">
        <f t="shared" si="3"/>
        <v>1</v>
      </c>
      <c r="N122">
        <f>VLOOKUP(A122,Database!$A$2:$I$948,5,0)</f>
        <v>2</v>
      </c>
    </row>
    <row r="123" spans="1:15" hidden="1" x14ac:dyDescent="0.35">
      <c r="A123" s="3">
        <v>103410688</v>
      </c>
      <c r="B123" s="3" t="s">
        <v>4427</v>
      </c>
      <c r="C123" s="3" t="str">
        <f t="shared" si="2"/>
        <v>2022-07-07</v>
      </c>
      <c r="D123" s="3" t="s">
        <v>9</v>
      </c>
      <c r="E123" s="3" t="s">
        <v>5</v>
      </c>
      <c r="F123" s="3" t="s">
        <v>10</v>
      </c>
      <c r="G123" s="3" t="s">
        <v>4428</v>
      </c>
      <c r="H123" s="3" t="s">
        <v>4429</v>
      </c>
      <c r="I123" s="5">
        <v>3569</v>
      </c>
      <c r="J123" s="3" t="s">
        <v>11</v>
      </c>
      <c r="K123">
        <f>MATCH(A123,Database!$A$2:$A$948,0)</f>
        <v>816</v>
      </c>
      <c r="L123">
        <f>VLOOKUP(A123,Database!$A$2:$I$948,4,0)</f>
        <v>3569</v>
      </c>
      <c r="M123" t="b">
        <f t="shared" si="3"/>
        <v>1</v>
      </c>
      <c r="N123">
        <f>VLOOKUP(A123,Database!$A$2:$I$948,5,0)</f>
        <v>1</v>
      </c>
    </row>
    <row r="124" spans="1:15" hidden="1" x14ac:dyDescent="0.35">
      <c r="A124" s="3">
        <v>103410797</v>
      </c>
      <c r="B124" s="3" t="s">
        <v>4430</v>
      </c>
      <c r="C124" s="3" t="str">
        <f t="shared" si="2"/>
        <v>2022-07-07</v>
      </c>
      <c r="D124" s="3" t="s">
        <v>9</v>
      </c>
      <c r="E124" s="3" t="s">
        <v>5</v>
      </c>
      <c r="F124" s="3" t="s">
        <v>10</v>
      </c>
      <c r="G124" s="3" t="s">
        <v>4431</v>
      </c>
      <c r="H124" s="3" t="s">
        <v>4432</v>
      </c>
      <c r="I124" s="4">
        <v>1352.85</v>
      </c>
      <c r="J124" s="3" t="s">
        <v>11</v>
      </c>
      <c r="K124">
        <f>MATCH(A124,Database!$A$2:$A$948,0)</f>
        <v>843</v>
      </c>
      <c r="L124">
        <f>VLOOKUP(A124,Database!$A$2:$I$948,4,0)</f>
        <v>1352.85</v>
      </c>
      <c r="M124" t="b">
        <f t="shared" si="3"/>
        <v>1</v>
      </c>
      <c r="N124">
        <f>VLOOKUP(A124,Database!$A$2:$I$948,5,0)</f>
        <v>1</v>
      </c>
    </row>
    <row r="125" spans="1:15" hidden="1" x14ac:dyDescent="0.35">
      <c r="A125" s="3">
        <v>103410684</v>
      </c>
      <c r="B125" s="3" t="s">
        <v>4433</v>
      </c>
      <c r="C125" s="3" t="str">
        <f t="shared" si="2"/>
        <v>2022-07-07</v>
      </c>
      <c r="D125" s="3" t="s">
        <v>9</v>
      </c>
      <c r="E125" s="3" t="s">
        <v>5</v>
      </c>
      <c r="F125" s="3" t="s">
        <v>10</v>
      </c>
      <c r="G125" s="3" t="s">
        <v>4434</v>
      </c>
      <c r="H125" s="3" t="s">
        <v>4435</v>
      </c>
      <c r="I125" s="5">
        <v>3499</v>
      </c>
      <c r="J125" s="3" t="s">
        <v>11</v>
      </c>
      <c r="K125">
        <f>MATCH(A125,Database!$A$2:$A$948,0)</f>
        <v>815</v>
      </c>
      <c r="L125">
        <f>VLOOKUP(A125,Database!$A$2:$I$948,4,0)</f>
        <v>3499</v>
      </c>
      <c r="M125" t="b">
        <f t="shared" si="3"/>
        <v>1</v>
      </c>
      <c r="N125">
        <f>VLOOKUP(A125,Database!$A$2:$I$948,5,0)</f>
        <v>1</v>
      </c>
    </row>
    <row r="126" spans="1:15" hidden="1" x14ac:dyDescent="0.35">
      <c r="A126" s="3">
        <v>103410792</v>
      </c>
      <c r="B126" s="3" t="s">
        <v>4436</v>
      </c>
      <c r="C126" s="3" t="str">
        <f t="shared" si="2"/>
        <v>2022-07-07</v>
      </c>
      <c r="D126" s="3" t="s">
        <v>9</v>
      </c>
      <c r="E126" s="3" t="s">
        <v>5</v>
      </c>
      <c r="F126" s="3" t="s">
        <v>12</v>
      </c>
      <c r="G126" s="3" t="s">
        <v>4437</v>
      </c>
      <c r="H126" s="3" t="s">
        <v>4438</v>
      </c>
      <c r="I126" s="4">
        <v>1578.47</v>
      </c>
      <c r="J126" s="3" t="s">
        <v>11</v>
      </c>
      <c r="K126">
        <f>MATCH(A126,Database!$A$2:$A$948,0)</f>
        <v>842</v>
      </c>
      <c r="L126">
        <f>VLOOKUP(A126,Database!$A$2:$I$948,4,0)</f>
        <v>1578.47</v>
      </c>
      <c r="M126" t="b">
        <f t="shared" si="3"/>
        <v>1</v>
      </c>
      <c r="N126">
        <f>VLOOKUP(A126,Database!$A$2:$I$948,5,0)</f>
        <v>1</v>
      </c>
    </row>
    <row r="127" spans="1:15" hidden="1" x14ac:dyDescent="0.35">
      <c r="A127" s="3">
        <v>103410790</v>
      </c>
      <c r="B127" s="3" t="s">
        <v>4439</v>
      </c>
      <c r="C127" s="3" t="str">
        <f t="shared" si="2"/>
        <v>2022-07-07</v>
      </c>
      <c r="D127" s="3" t="s">
        <v>9</v>
      </c>
      <c r="E127" s="3" t="s">
        <v>5</v>
      </c>
      <c r="F127" s="3" t="s">
        <v>10</v>
      </c>
      <c r="G127" s="3" t="s">
        <v>4440</v>
      </c>
      <c r="H127" s="3" t="s">
        <v>4441</v>
      </c>
      <c r="I127" s="5">
        <v>3599</v>
      </c>
      <c r="J127" s="3" t="s">
        <v>11</v>
      </c>
      <c r="K127">
        <f>MATCH(A127,Database!$A$2:$A$948,0)</f>
        <v>841</v>
      </c>
      <c r="L127">
        <f>VLOOKUP(A127,Database!$A$2:$I$948,4,0)</f>
        <v>3599</v>
      </c>
      <c r="M127" t="b">
        <f t="shared" si="3"/>
        <v>1</v>
      </c>
      <c r="N127">
        <f>VLOOKUP(A127,Database!$A$2:$I$948,5,0)</f>
        <v>1</v>
      </c>
    </row>
    <row r="128" spans="1:15" x14ac:dyDescent="0.35">
      <c r="A128" s="3">
        <v>103410683</v>
      </c>
      <c r="B128" s="3" t="s">
        <v>4439</v>
      </c>
      <c r="C128" s="3" t="str">
        <f t="shared" si="2"/>
        <v>2022-07-07</v>
      </c>
      <c r="D128" s="3" t="s">
        <v>9</v>
      </c>
      <c r="E128" s="3" t="s">
        <v>5</v>
      </c>
      <c r="F128" s="3" t="s">
        <v>12</v>
      </c>
      <c r="G128" s="3" t="s">
        <v>4442</v>
      </c>
      <c r="H128" s="3" t="s">
        <v>4443</v>
      </c>
      <c r="I128" s="4">
        <v>3474.15</v>
      </c>
      <c r="J128" s="3" t="s">
        <v>11</v>
      </c>
      <c r="K128">
        <f>MATCH(A128,Database!$A$2:$A$948,0)</f>
        <v>814</v>
      </c>
      <c r="L128">
        <f>VLOOKUP(A128,Database!$A$2:$I$948,4,0)</f>
        <v>3474.1499999999901</v>
      </c>
      <c r="M128" t="b">
        <f>I128=L128</f>
        <v>0</v>
      </c>
      <c r="N128">
        <f>VLOOKUP(A128,Database!$A$2:$I$948,5,0)</f>
        <v>3</v>
      </c>
      <c r="O128" s="1"/>
    </row>
    <row r="129" spans="1:14" hidden="1" x14ac:dyDescent="0.35">
      <c r="A129" s="3">
        <v>103410789</v>
      </c>
      <c r="B129" s="3" t="s">
        <v>4444</v>
      </c>
      <c r="C129" s="3" t="str">
        <f t="shared" si="2"/>
        <v>2022-07-07</v>
      </c>
      <c r="D129" s="3" t="s">
        <v>9</v>
      </c>
      <c r="E129" s="3" t="s">
        <v>5</v>
      </c>
      <c r="F129" s="3" t="s">
        <v>10</v>
      </c>
      <c r="G129" s="3" t="s">
        <v>4445</v>
      </c>
      <c r="H129" s="3" t="s">
        <v>4446</v>
      </c>
      <c r="I129" s="3">
        <v>806.55</v>
      </c>
      <c r="J129" s="3" t="s">
        <v>11</v>
      </c>
      <c r="K129">
        <f>MATCH(A129,Database!$A$2:$A$948,0)</f>
        <v>840</v>
      </c>
      <c r="L129">
        <f>VLOOKUP(A129,Database!$A$2:$I$948,4,0)</f>
        <v>806.55</v>
      </c>
      <c r="M129" t="b">
        <f t="shared" si="3"/>
        <v>1</v>
      </c>
      <c r="N129">
        <f>VLOOKUP(A129,Database!$A$2:$I$948,5,0)</f>
        <v>1</v>
      </c>
    </row>
    <row r="130" spans="1:14" hidden="1" x14ac:dyDescent="0.35">
      <c r="A130" s="3">
        <v>103410786</v>
      </c>
      <c r="B130" s="3" t="s">
        <v>4447</v>
      </c>
      <c r="C130" s="3" t="str">
        <f t="shared" si="2"/>
        <v>2022-07-07</v>
      </c>
      <c r="D130" s="3" t="s">
        <v>9</v>
      </c>
      <c r="E130" s="3" t="s">
        <v>5</v>
      </c>
      <c r="F130" s="3" t="s">
        <v>10</v>
      </c>
      <c r="G130" s="3" t="s">
        <v>4448</v>
      </c>
      <c r="H130" s="3" t="s">
        <v>4449</v>
      </c>
      <c r="I130" s="5">
        <v>1499</v>
      </c>
      <c r="J130" s="3" t="s">
        <v>11</v>
      </c>
      <c r="K130">
        <f>MATCH(A130,Database!$A$2:$A$948,0)</f>
        <v>839</v>
      </c>
      <c r="L130">
        <f>VLOOKUP(A130,Database!$A$2:$I$948,4,0)</f>
        <v>1499</v>
      </c>
      <c r="M130" t="b">
        <f t="shared" si="3"/>
        <v>1</v>
      </c>
      <c r="N130">
        <f>VLOOKUP(A130,Database!$A$2:$I$948,5,0)</f>
        <v>1</v>
      </c>
    </row>
    <row r="131" spans="1:14" hidden="1" x14ac:dyDescent="0.35">
      <c r="A131" s="3">
        <v>103410682</v>
      </c>
      <c r="B131" s="3" t="s">
        <v>4450</v>
      </c>
      <c r="C131" s="3" t="str">
        <f t="shared" ref="C131:C194" si="4">LEFT(B131,FIND("T",B131)-1)</f>
        <v>2022-07-07</v>
      </c>
      <c r="D131" s="3" t="s">
        <v>9</v>
      </c>
      <c r="E131" s="3" t="s">
        <v>5</v>
      </c>
      <c r="F131" s="3" t="s">
        <v>10</v>
      </c>
      <c r="G131" s="3" t="s">
        <v>4451</v>
      </c>
      <c r="H131" s="3" t="s">
        <v>4452</v>
      </c>
      <c r="I131" s="4">
        <v>1424.05</v>
      </c>
      <c r="J131" s="3" t="s">
        <v>11</v>
      </c>
      <c r="K131">
        <f>MATCH(A131,Database!$A$2:$A$948,0)</f>
        <v>813</v>
      </c>
      <c r="L131">
        <f>VLOOKUP(A131,Database!$A$2:$I$948,4,0)</f>
        <v>1424.05</v>
      </c>
      <c r="M131" t="b">
        <f t="shared" ref="M131:M136" si="5">I131=L131</f>
        <v>1</v>
      </c>
      <c r="N131">
        <f>VLOOKUP(A131,Database!$A$2:$I$948,5,0)</f>
        <v>1</v>
      </c>
    </row>
    <row r="132" spans="1:14" hidden="1" x14ac:dyDescent="0.35">
      <c r="A132" s="3">
        <v>103410779</v>
      </c>
      <c r="B132" s="3" t="s">
        <v>4453</v>
      </c>
      <c r="C132" s="3" t="str">
        <f t="shared" si="4"/>
        <v>2022-07-07</v>
      </c>
      <c r="D132" s="3" t="s">
        <v>9</v>
      </c>
      <c r="E132" s="3" t="s">
        <v>5</v>
      </c>
      <c r="F132" s="3" t="s">
        <v>12</v>
      </c>
      <c r="G132" s="3" t="s">
        <v>4454</v>
      </c>
      <c r="H132" s="3" t="s">
        <v>4455</v>
      </c>
      <c r="I132" s="4">
        <v>2222.1</v>
      </c>
      <c r="J132" s="3" t="s">
        <v>11</v>
      </c>
      <c r="K132">
        <f>MATCH(A132,Database!$A$2:$A$948,0)</f>
        <v>838</v>
      </c>
      <c r="L132">
        <f>VLOOKUP(A132,Database!$A$2:$I$948,4,0)</f>
        <v>2222.1</v>
      </c>
      <c r="M132" t="b">
        <f t="shared" si="5"/>
        <v>1</v>
      </c>
      <c r="N132">
        <f>VLOOKUP(A132,Database!$A$2:$I$948,5,0)</f>
        <v>1</v>
      </c>
    </row>
    <row r="133" spans="1:14" hidden="1" x14ac:dyDescent="0.35">
      <c r="A133" s="3">
        <v>103410774</v>
      </c>
      <c r="B133" s="3" t="s">
        <v>4456</v>
      </c>
      <c r="C133" s="3" t="str">
        <f t="shared" si="4"/>
        <v>2022-07-07</v>
      </c>
      <c r="D133" s="3" t="s">
        <v>9</v>
      </c>
      <c r="E133" s="3" t="s">
        <v>5</v>
      </c>
      <c r="F133" s="3" t="s">
        <v>10</v>
      </c>
      <c r="G133" s="3" t="s">
        <v>4457</v>
      </c>
      <c r="H133" s="3" t="s">
        <v>4458</v>
      </c>
      <c r="I133" s="3">
        <v>987.05</v>
      </c>
      <c r="J133" s="3" t="s">
        <v>11</v>
      </c>
      <c r="K133">
        <f>MATCH(A133,Database!$A$2:$A$948,0)</f>
        <v>837</v>
      </c>
      <c r="L133">
        <f>VLOOKUP(A133,Database!$A$2:$I$948,4,0)</f>
        <v>987.05</v>
      </c>
      <c r="M133" t="b">
        <f t="shared" si="5"/>
        <v>1</v>
      </c>
      <c r="N133">
        <f>VLOOKUP(A133,Database!$A$2:$I$948,5,0)</f>
        <v>1</v>
      </c>
    </row>
    <row r="134" spans="1:14" hidden="1" x14ac:dyDescent="0.35">
      <c r="A134" s="3">
        <v>103410674</v>
      </c>
      <c r="B134" s="3" t="s">
        <v>4459</v>
      </c>
      <c r="C134" s="3" t="str">
        <f t="shared" si="4"/>
        <v>2022-07-07</v>
      </c>
      <c r="D134" s="3" t="s">
        <v>9</v>
      </c>
      <c r="E134" s="3" t="s">
        <v>5</v>
      </c>
      <c r="F134" s="3" t="s">
        <v>10</v>
      </c>
      <c r="G134" s="3" t="s">
        <v>4460</v>
      </c>
      <c r="H134" s="3" t="s">
        <v>4461</v>
      </c>
      <c r="I134" s="3">
        <v>969</v>
      </c>
      <c r="J134" s="3" t="s">
        <v>11</v>
      </c>
      <c r="K134">
        <f>MATCH(A134,Database!$A$2:$A$948,0)</f>
        <v>812</v>
      </c>
      <c r="L134">
        <f>VLOOKUP(A134,Database!$A$2:$I$948,4,0)</f>
        <v>969</v>
      </c>
      <c r="M134" t="b">
        <f t="shared" si="5"/>
        <v>1</v>
      </c>
      <c r="N134">
        <f>VLOOKUP(A134,Database!$A$2:$I$948,5,0)</f>
        <v>1</v>
      </c>
    </row>
    <row r="135" spans="1:14" hidden="1" x14ac:dyDescent="0.35">
      <c r="A135" s="3">
        <v>103410765</v>
      </c>
      <c r="B135" s="3" t="s">
        <v>4462</v>
      </c>
      <c r="C135" s="3" t="str">
        <f t="shared" si="4"/>
        <v>2022-07-07</v>
      </c>
      <c r="D135" s="3" t="s">
        <v>9</v>
      </c>
      <c r="E135" s="3" t="s">
        <v>5</v>
      </c>
      <c r="F135" s="3" t="s">
        <v>10</v>
      </c>
      <c r="G135" s="3" t="s">
        <v>4463</v>
      </c>
      <c r="H135" s="3" t="s">
        <v>4464</v>
      </c>
      <c r="I135" s="5">
        <v>1439</v>
      </c>
      <c r="J135" s="3" t="s">
        <v>11</v>
      </c>
      <c r="K135">
        <f>MATCH(A135,Database!$A$2:$A$948,0)</f>
        <v>836</v>
      </c>
      <c r="L135">
        <f>VLOOKUP(A135,Database!$A$2:$I$948,4,0)</f>
        <v>1439</v>
      </c>
      <c r="M135" t="b">
        <f t="shared" si="5"/>
        <v>1</v>
      </c>
      <c r="N135">
        <f>VLOOKUP(A135,Database!$A$2:$I$948,5,0)</f>
        <v>1</v>
      </c>
    </row>
    <row r="136" spans="1:14" hidden="1" x14ac:dyDescent="0.35">
      <c r="A136" s="3">
        <v>103410663</v>
      </c>
      <c r="B136" s="3" t="s">
        <v>4465</v>
      </c>
      <c r="C136" s="3" t="str">
        <f t="shared" si="4"/>
        <v>2022-07-07</v>
      </c>
      <c r="D136" s="3" t="s">
        <v>9</v>
      </c>
      <c r="E136" s="3" t="s">
        <v>5</v>
      </c>
      <c r="F136" s="3" t="s">
        <v>12</v>
      </c>
      <c r="G136" s="3" t="s">
        <v>4466</v>
      </c>
      <c r="H136" s="3" t="s">
        <v>4467</v>
      </c>
      <c r="I136" s="5">
        <v>2749</v>
      </c>
      <c r="J136" s="3" t="s">
        <v>11</v>
      </c>
      <c r="K136">
        <f>MATCH(A136,Database!$A$2:$A$948,0)</f>
        <v>810</v>
      </c>
      <c r="L136">
        <f>VLOOKUP(A136,Database!$A$2:$I$948,4,0)</f>
        <v>2749</v>
      </c>
      <c r="M136" t="b">
        <f t="shared" si="5"/>
        <v>1</v>
      </c>
      <c r="N136">
        <f>VLOOKUP(A136,Database!$A$2:$I$948,5,0)</f>
        <v>1</v>
      </c>
    </row>
    <row r="137" spans="1:14" hidden="1" x14ac:dyDescent="0.35">
      <c r="A137" s="3">
        <v>103410670</v>
      </c>
      <c r="B137" s="3" t="s">
        <v>4468</v>
      </c>
      <c r="C137" s="3" t="str">
        <f t="shared" si="4"/>
        <v>2022-07-07</v>
      </c>
      <c r="D137" s="3" t="s">
        <v>9</v>
      </c>
      <c r="E137" s="3" t="s">
        <v>5</v>
      </c>
      <c r="F137" s="3" t="s">
        <v>10</v>
      </c>
      <c r="G137" s="3" t="s">
        <v>4469</v>
      </c>
      <c r="H137" s="3" t="s">
        <v>4470</v>
      </c>
      <c r="I137" s="3">
        <v>673.55</v>
      </c>
      <c r="J137" s="3" t="s">
        <v>11</v>
      </c>
      <c r="K137">
        <f>MATCH(A137,Database!$A$2:$A$948,0)</f>
        <v>811</v>
      </c>
      <c r="L137">
        <f>VLOOKUP(A137,Database!$A$2:$I$948,4,0)</f>
        <v>673.55</v>
      </c>
      <c r="M137" t="b">
        <f t="shared" ref="M137:M200" si="6">I137=L137</f>
        <v>1</v>
      </c>
      <c r="N137">
        <f>VLOOKUP(A137,Database!$A$2:$I$948,5,0)</f>
        <v>1</v>
      </c>
    </row>
    <row r="138" spans="1:14" hidden="1" x14ac:dyDescent="0.35">
      <c r="A138" s="3">
        <v>103410660</v>
      </c>
      <c r="B138" s="3" t="s">
        <v>4471</v>
      </c>
      <c r="C138" s="3" t="str">
        <f t="shared" si="4"/>
        <v>2022-07-07</v>
      </c>
      <c r="D138" s="3" t="s">
        <v>9</v>
      </c>
      <c r="E138" s="3" t="s">
        <v>5</v>
      </c>
      <c r="F138" s="3" t="s">
        <v>10</v>
      </c>
      <c r="G138" s="3" t="s">
        <v>4472</v>
      </c>
      <c r="H138" s="3" t="s">
        <v>4473</v>
      </c>
      <c r="I138" s="3">
        <v>419</v>
      </c>
      <c r="J138" s="3" t="s">
        <v>11</v>
      </c>
      <c r="K138">
        <f>MATCH(A138,Database!$A$2:$A$948,0)</f>
        <v>809</v>
      </c>
      <c r="L138">
        <f>VLOOKUP(A138,Database!$A$2:$I$948,4,0)</f>
        <v>419</v>
      </c>
      <c r="M138" t="b">
        <f t="shared" si="6"/>
        <v>1</v>
      </c>
      <c r="N138">
        <f>VLOOKUP(A138,Database!$A$2:$I$948,5,0)</f>
        <v>1</v>
      </c>
    </row>
    <row r="139" spans="1:14" hidden="1" x14ac:dyDescent="0.35">
      <c r="A139" s="3">
        <v>103410659</v>
      </c>
      <c r="B139" s="3" t="s">
        <v>4474</v>
      </c>
      <c r="C139" s="3" t="str">
        <f t="shared" si="4"/>
        <v>2022-07-07</v>
      </c>
      <c r="D139" s="3" t="s">
        <v>9</v>
      </c>
      <c r="E139" s="3" t="s">
        <v>5</v>
      </c>
      <c r="F139" s="3" t="s">
        <v>10</v>
      </c>
      <c r="G139" s="3" t="s">
        <v>1589</v>
      </c>
      <c r="H139" s="3" t="s">
        <v>1590</v>
      </c>
      <c r="I139" s="5">
        <v>2199</v>
      </c>
      <c r="J139" s="3" t="s">
        <v>11</v>
      </c>
      <c r="K139">
        <f>MATCH(A139,Database!$A$2:$A$948,0)</f>
        <v>808</v>
      </c>
      <c r="L139">
        <f>VLOOKUP(A139,Database!$A$2:$I$948,4,0)</f>
        <v>2199</v>
      </c>
      <c r="M139" t="b">
        <f t="shared" si="6"/>
        <v>1</v>
      </c>
      <c r="N139">
        <f>VLOOKUP(A139,Database!$A$2:$I$948,5,0)</f>
        <v>1</v>
      </c>
    </row>
    <row r="140" spans="1:14" hidden="1" x14ac:dyDescent="0.35">
      <c r="A140" s="3">
        <v>103410561</v>
      </c>
      <c r="B140" s="3" t="s">
        <v>4475</v>
      </c>
      <c r="C140" s="3" t="str">
        <f t="shared" si="4"/>
        <v>2022-07-07</v>
      </c>
      <c r="D140" s="3" t="s">
        <v>9</v>
      </c>
      <c r="E140" s="3" t="s">
        <v>5</v>
      </c>
      <c r="F140" s="3" t="s">
        <v>10</v>
      </c>
      <c r="G140" s="3" t="s">
        <v>4476</v>
      </c>
      <c r="H140" s="3" t="s">
        <v>4477</v>
      </c>
      <c r="I140" s="4">
        <v>4102.29</v>
      </c>
      <c r="J140" s="3" t="s">
        <v>11</v>
      </c>
      <c r="K140">
        <f>MATCH(A140,Database!$A$2:$A$948,0)</f>
        <v>790</v>
      </c>
      <c r="L140">
        <f>VLOOKUP(A140,Database!$A$2:$I$948,4,0)</f>
        <v>4102.29</v>
      </c>
      <c r="M140" t="b">
        <f t="shared" si="6"/>
        <v>1</v>
      </c>
      <c r="N140">
        <f>VLOOKUP(A140,Database!$A$2:$I$948,5,0)</f>
        <v>2</v>
      </c>
    </row>
    <row r="141" spans="1:14" hidden="1" x14ac:dyDescent="0.35">
      <c r="A141" s="3">
        <v>103410654</v>
      </c>
      <c r="B141" s="3" t="s">
        <v>4478</v>
      </c>
      <c r="C141" s="3" t="str">
        <f t="shared" si="4"/>
        <v>2022-07-07</v>
      </c>
      <c r="D141" s="3" t="s">
        <v>9</v>
      </c>
      <c r="E141" s="3" t="s">
        <v>5</v>
      </c>
      <c r="F141" s="3" t="s">
        <v>10</v>
      </c>
      <c r="G141" s="3" t="s">
        <v>4479</v>
      </c>
      <c r="H141" s="3" t="s">
        <v>4480</v>
      </c>
      <c r="I141" s="4">
        <v>2991.55</v>
      </c>
      <c r="J141" s="3" t="s">
        <v>11</v>
      </c>
      <c r="K141">
        <f>MATCH(A141,Database!$A$2:$A$948,0)</f>
        <v>807</v>
      </c>
      <c r="L141">
        <f>VLOOKUP(A141,Database!$A$2:$I$948,4,0)</f>
        <v>2991.55</v>
      </c>
      <c r="M141" t="b">
        <f t="shared" si="6"/>
        <v>1</v>
      </c>
      <c r="N141">
        <f>VLOOKUP(A141,Database!$A$2:$I$948,5,0)</f>
        <v>1</v>
      </c>
    </row>
    <row r="142" spans="1:14" hidden="1" x14ac:dyDescent="0.35">
      <c r="A142" s="3">
        <v>103410653</v>
      </c>
      <c r="B142" s="3" t="s">
        <v>4481</v>
      </c>
      <c r="C142" s="3" t="str">
        <f t="shared" si="4"/>
        <v>2022-07-07</v>
      </c>
      <c r="D142" s="3" t="s">
        <v>9</v>
      </c>
      <c r="E142" s="3" t="s">
        <v>5</v>
      </c>
      <c r="F142" s="3" t="s">
        <v>10</v>
      </c>
      <c r="G142" s="3" t="s">
        <v>4482</v>
      </c>
      <c r="H142" s="3" t="s">
        <v>4483</v>
      </c>
      <c r="I142" s="5">
        <v>1348</v>
      </c>
      <c r="J142" s="3" t="s">
        <v>11</v>
      </c>
      <c r="K142">
        <f>MATCH(A142,Database!$A$2:$A$948,0)</f>
        <v>806</v>
      </c>
      <c r="L142">
        <f>VLOOKUP(A142,Database!$A$2:$I$948,4,0)</f>
        <v>1348</v>
      </c>
      <c r="M142" t="b">
        <f t="shared" si="6"/>
        <v>1</v>
      </c>
      <c r="N142">
        <f>VLOOKUP(A142,Database!$A$2:$I$948,5,0)</f>
        <v>2</v>
      </c>
    </row>
    <row r="143" spans="1:14" hidden="1" x14ac:dyDescent="0.35">
      <c r="A143" s="3">
        <v>103410652</v>
      </c>
      <c r="B143" s="3" t="s">
        <v>4484</v>
      </c>
      <c r="C143" s="3" t="str">
        <f t="shared" si="4"/>
        <v>2022-07-07</v>
      </c>
      <c r="D143" s="3" t="s">
        <v>9</v>
      </c>
      <c r="E143" s="3" t="s">
        <v>5</v>
      </c>
      <c r="F143" s="3" t="s">
        <v>10</v>
      </c>
      <c r="G143" s="3" t="s">
        <v>4485</v>
      </c>
      <c r="H143" s="3" t="s">
        <v>4486</v>
      </c>
      <c r="I143" s="4">
        <v>3989.05</v>
      </c>
      <c r="J143" s="3" t="s">
        <v>11</v>
      </c>
      <c r="K143">
        <f>MATCH(A143,Database!$A$2:$A$948,0)</f>
        <v>805</v>
      </c>
      <c r="L143">
        <f>VLOOKUP(A143,Database!$A$2:$I$948,4,0)</f>
        <v>3989.05</v>
      </c>
      <c r="M143" t="b">
        <f t="shared" si="6"/>
        <v>1</v>
      </c>
      <c r="N143">
        <f>VLOOKUP(A143,Database!$A$2:$I$948,5,0)</f>
        <v>1</v>
      </c>
    </row>
    <row r="144" spans="1:14" hidden="1" x14ac:dyDescent="0.35">
      <c r="A144" s="3">
        <v>103410560</v>
      </c>
      <c r="B144" s="3" t="s">
        <v>4487</v>
      </c>
      <c r="C144" s="3" t="str">
        <f t="shared" si="4"/>
        <v>2022-07-07</v>
      </c>
      <c r="D144" s="3" t="s">
        <v>9</v>
      </c>
      <c r="E144" s="3" t="s">
        <v>5</v>
      </c>
      <c r="F144" s="3" t="s">
        <v>10</v>
      </c>
      <c r="G144" s="3" t="s">
        <v>4488</v>
      </c>
      <c r="H144" s="3" t="s">
        <v>4489</v>
      </c>
      <c r="I144" s="5">
        <v>2378</v>
      </c>
      <c r="J144" s="3" t="s">
        <v>11</v>
      </c>
      <c r="K144">
        <f>MATCH(A144,Database!$A$2:$A$948,0)</f>
        <v>789</v>
      </c>
      <c r="L144">
        <f>VLOOKUP(A144,Database!$A$2:$I$948,4,0)</f>
        <v>2378</v>
      </c>
      <c r="M144" t="b">
        <f t="shared" si="6"/>
        <v>1</v>
      </c>
      <c r="N144">
        <f>VLOOKUP(A144,Database!$A$2:$I$948,5,0)</f>
        <v>2</v>
      </c>
    </row>
    <row r="145" spans="1:14" hidden="1" x14ac:dyDescent="0.35">
      <c r="A145" s="3">
        <v>103410640</v>
      </c>
      <c r="B145" s="3" t="s">
        <v>4490</v>
      </c>
      <c r="C145" s="3" t="str">
        <f t="shared" si="4"/>
        <v>2022-07-07</v>
      </c>
      <c r="D145" s="3" t="s">
        <v>9</v>
      </c>
      <c r="E145" s="3" t="s">
        <v>5</v>
      </c>
      <c r="F145" s="3" t="s">
        <v>10</v>
      </c>
      <c r="G145" s="3" t="s">
        <v>4491</v>
      </c>
      <c r="H145" s="3" t="s">
        <v>4492</v>
      </c>
      <c r="I145" s="4">
        <v>1984.6</v>
      </c>
      <c r="J145" s="3" t="s">
        <v>11</v>
      </c>
      <c r="K145">
        <f>MATCH(A145,Database!$A$2:$A$948,0)</f>
        <v>804</v>
      </c>
      <c r="L145">
        <f>VLOOKUP(A145,Database!$A$2:$I$948,4,0)</f>
        <v>1984.6</v>
      </c>
      <c r="M145" t="b">
        <f t="shared" si="6"/>
        <v>1</v>
      </c>
      <c r="N145">
        <f>VLOOKUP(A145,Database!$A$2:$I$948,5,0)</f>
        <v>1</v>
      </c>
    </row>
    <row r="146" spans="1:14" hidden="1" x14ac:dyDescent="0.35">
      <c r="A146" s="3">
        <v>103410558</v>
      </c>
      <c r="B146" s="3" t="s">
        <v>4493</v>
      </c>
      <c r="C146" s="3" t="str">
        <f t="shared" si="4"/>
        <v>2022-07-07</v>
      </c>
      <c r="D146" s="3" t="s">
        <v>9</v>
      </c>
      <c r="E146" s="3" t="s">
        <v>5</v>
      </c>
      <c r="F146" s="3" t="s">
        <v>10</v>
      </c>
      <c r="G146" s="3" t="s">
        <v>4494</v>
      </c>
      <c r="H146" s="3" t="s">
        <v>4495</v>
      </c>
      <c r="I146" s="4">
        <v>2659.05</v>
      </c>
      <c r="J146" s="3" t="s">
        <v>11</v>
      </c>
      <c r="K146">
        <f>MATCH(A146,Database!$A$2:$A$948,0)</f>
        <v>788</v>
      </c>
      <c r="L146">
        <f>VLOOKUP(A146,Database!$A$2:$I$948,4,0)</f>
        <v>2659.05</v>
      </c>
      <c r="M146" t="b">
        <f t="shared" si="6"/>
        <v>1</v>
      </c>
      <c r="N146">
        <f>VLOOKUP(A146,Database!$A$2:$I$948,5,0)</f>
        <v>1</v>
      </c>
    </row>
    <row r="147" spans="1:14" hidden="1" x14ac:dyDescent="0.35">
      <c r="A147" s="3">
        <v>103410634</v>
      </c>
      <c r="B147" s="3" t="s">
        <v>4496</v>
      </c>
      <c r="C147" s="3" t="str">
        <f t="shared" si="4"/>
        <v>2022-07-07</v>
      </c>
      <c r="D147" s="3" t="s">
        <v>9</v>
      </c>
      <c r="E147" s="3" t="s">
        <v>5</v>
      </c>
      <c r="F147" s="3" t="s">
        <v>10</v>
      </c>
      <c r="G147" s="3" t="s">
        <v>4316</v>
      </c>
      <c r="H147" s="3" t="s">
        <v>4317</v>
      </c>
      <c r="I147" s="3">
        <v>550.04999999999995</v>
      </c>
      <c r="J147" s="3" t="s">
        <v>11</v>
      </c>
      <c r="K147">
        <f>MATCH(A147,Database!$A$2:$A$948,0)</f>
        <v>803</v>
      </c>
      <c r="L147">
        <f>VLOOKUP(A147,Database!$A$2:$I$948,4,0)</f>
        <v>550.04999999999995</v>
      </c>
      <c r="M147" t="b">
        <f t="shared" si="6"/>
        <v>1</v>
      </c>
      <c r="N147">
        <f>VLOOKUP(A147,Database!$A$2:$I$948,5,0)</f>
        <v>1</v>
      </c>
    </row>
    <row r="148" spans="1:14" hidden="1" x14ac:dyDescent="0.35">
      <c r="A148" s="3">
        <v>103410554</v>
      </c>
      <c r="B148" s="3" t="s">
        <v>4497</v>
      </c>
      <c r="C148" s="3" t="str">
        <f t="shared" si="4"/>
        <v>2022-07-07</v>
      </c>
      <c r="D148" s="3" t="s">
        <v>9</v>
      </c>
      <c r="E148" s="3" t="s">
        <v>5</v>
      </c>
      <c r="F148" s="3" t="s">
        <v>12</v>
      </c>
      <c r="G148" s="3" t="s">
        <v>4498</v>
      </c>
      <c r="H148" s="3" t="s">
        <v>4499</v>
      </c>
      <c r="I148" s="5">
        <v>1679</v>
      </c>
      <c r="J148" s="3" t="s">
        <v>11</v>
      </c>
      <c r="K148">
        <f>MATCH(A148,Database!$A$2:$A$948,0)</f>
        <v>787</v>
      </c>
      <c r="L148">
        <f>VLOOKUP(A148,Database!$A$2:$I$948,4,0)</f>
        <v>1679</v>
      </c>
      <c r="M148" t="b">
        <f t="shared" si="6"/>
        <v>1</v>
      </c>
      <c r="N148">
        <f>VLOOKUP(A148,Database!$A$2:$I$948,5,0)</f>
        <v>1</v>
      </c>
    </row>
    <row r="149" spans="1:14" hidden="1" x14ac:dyDescent="0.35">
      <c r="A149" s="3">
        <v>103410630</v>
      </c>
      <c r="B149" s="3" t="s">
        <v>4500</v>
      </c>
      <c r="C149" s="3" t="str">
        <f t="shared" si="4"/>
        <v>2022-07-07</v>
      </c>
      <c r="D149" s="3" t="s">
        <v>9</v>
      </c>
      <c r="E149" s="3" t="s">
        <v>5</v>
      </c>
      <c r="F149" s="3" t="s">
        <v>10</v>
      </c>
      <c r="G149" s="3" t="s">
        <v>4501</v>
      </c>
      <c r="H149" s="3" t="s">
        <v>4502</v>
      </c>
      <c r="I149" s="4">
        <v>2350.39</v>
      </c>
      <c r="J149" s="3" t="s">
        <v>11</v>
      </c>
      <c r="K149">
        <f>MATCH(A149,Database!$A$2:$A$948,0)</f>
        <v>802</v>
      </c>
      <c r="L149">
        <f>VLOOKUP(A149,Database!$A$2:$I$948,4,0)</f>
        <v>2350.39</v>
      </c>
      <c r="M149" t="b">
        <f t="shared" si="6"/>
        <v>1</v>
      </c>
      <c r="N149">
        <f>VLOOKUP(A149,Database!$A$2:$I$948,5,0)</f>
        <v>1</v>
      </c>
    </row>
    <row r="150" spans="1:14" hidden="1" x14ac:dyDescent="0.35">
      <c r="A150" s="3">
        <v>103410628</v>
      </c>
      <c r="B150" s="3" t="s">
        <v>4503</v>
      </c>
      <c r="C150" s="3" t="str">
        <f t="shared" si="4"/>
        <v>2022-07-07</v>
      </c>
      <c r="D150" s="3" t="s">
        <v>9</v>
      </c>
      <c r="E150" s="3" t="s">
        <v>5</v>
      </c>
      <c r="F150" s="3" t="s">
        <v>10</v>
      </c>
      <c r="G150" s="3" t="s">
        <v>4504</v>
      </c>
      <c r="H150" s="3" t="s">
        <v>4505</v>
      </c>
      <c r="I150" s="4">
        <v>3989.05</v>
      </c>
      <c r="J150" s="3" t="s">
        <v>11</v>
      </c>
      <c r="K150">
        <f>MATCH(A150,Database!$A$2:$A$948,0)</f>
        <v>801</v>
      </c>
      <c r="L150">
        <f>VLOOKUP(A150,Database!$A$2:$I$948,4,0)</f>
        <v>3989.05</v>
      </c>
      <c r="M150" t="b">
        <f t="shared" si="6"/>
        <v>1</v>
      </c>
      <c r="N150">
        <f>VLOOKUP(A150,Database!$A$2:$I$948,5,0)</f>
        <v>1</v>
      </c>
    </row>
    <row r="151" spans="1:14" hidden="1" x14ac:dyDescent="0.35">
      <c r="A151" s="3">
        <v>103410549</v>
      </c>
      <c r="B151" s="3" t="s">
        <v>4506</v>
      </c>
      <c r="C151" s="3" t="str">
        <f t="shared" si="4"/>
        <v>2022-07-07</v>
      </c>
      <c r="D151" s="3" t="s">
        <v>9</v>
      </c>
      <c r="E151" s="3" t="s">
        <v>5</v>
      </c>
      <c r="F151" s="3" t="s">
        <v>10</v>
      </c>
      <c r="G151" s="3" t="s">
        <v>4507</v>
      </c>
      <c r="H151" s="3" t="s">
        <v>4508</v>
      </c>
      <c r="I151" s="5">
        <v>2199</v>
      </c>
      <c r="J151" s="3" t="s">
        <v>11</v>
      </c>
      <c r="K151">
        <f>MATCH(A151,Database!$A$2:$A$948,0)</f>
        <v>786</v>
      </c>
      <c r="L151">
        <f>VLOOKUP(A151,Database!$A$2:$I$948,4,0)</f>
        <v>2199</v>
      </c>
      <c r="M151" t="b">
        <f t="shared" si="6"/>
        <v>1</v>
      </c>
      <c r="N151">
        <f>VLOOKUP(A151,Database!$A$2:$I$948,5,0)</f>
        <v>1</v>
      </c>
    </row>
    <row r="152" spans="1:14" hidden="1" x14ac:dyDescent="0.35">
      <c r="A152" s="3">
        <v>103410619</v>
      </c>
      <c r="B152" s="3" t="s">
        <v>4509</v>
      </c>
      <c r="C152" s="3" t="str">
        <f t="shared" si="4"/>
        <v>2022-07-07</v>
      </c>
      <c r="D152" s="3" t="s">
        <v>9</v>
      </c>
      <c r="E152" s="3" t="s">
        <v>5</v>
      </c>
      <c r="F152" s="3" t="s">
        <v>10</v>
      </c>
      <c r="G152" s="3" t="s">
        <v>4510</v>
      </c>
      <c r="H152" s="3" t="s">
        <v>4511</v>
      </c>
      <c r="I152" s="4">
        <v>3248.1</v>
      </c>
      <c r="J152" s="3" t="s">
        <v>11</v>
      </c>
      <c r="K152">
        <f>MATCH(A152,Database!$A$2:$A$948,0)</f>
        <v>800</v>
      </c>
      <c r="L152">
        <f>VLOOKUP(A152,Database!$A$2:$I$948,4,0)</f>
        <v>3248.1</v>
      </c>
      <c r="M152" t="b">
        <f t="shared" si="6"/>
        <v>1</v>
      </c>
      <c r="N152">
        <f>VLOOKUP(A152,Database!$A$2:$I$948,5,0)</f>
        <v>1</v>
      </c>
    </row>
    <row r="153" spans="1:14" hidden="1" x14ac:dyDescent="0.35">
      <c r="A153" s="3">
        <v>103410545</v>
      </c>
      <c r="B153" s="3" t="s">
        <v>4512</v>
      </c>
      <c r="C153" s="3" t="str">
        <f t="shared" si="4"/>
        <v>2022-07-07</v>
      </c>
      <c r="D153" s="3" t="s">
        <v>9</v>
      </c>
      <c r="E153" s="3" t="s">
        <v>5</v>
      </c>
      <c r="F153" s="3" t="s">
        <v>10</v>
      </c>
      <c r="G153" s="3" t="s">
        <v>4513</v>
      </c>
      <c r="H153" s="3" t="s">
        <v>4514</v>
      </c>
      <c r="I153" s="4">
        <v>3134.05</v>
      </c>
      <c r="J153" s="3" t="s">
        <v>11</v>
      </c>
      <c r="K153">
        <f>MATCH(A153,Database!$A$2:$A$948,0)</f>
        <v>785</v>
      </c>
      <c r="L153">
        <f>VLOOKUP(A153,Database!$A$2:$I$948,4,0)</f>
        <v>3134.05</v>
      </c>
      <c r="M153" t="b">
        <f t="shared" si="6"/>
        <v>1</v>
      </c>
      <c r="N153">
        <f>VLOOKUP(A153,Database!$A$2:$I$948,5,0)</f>
        <v>1</v>
      </c>
    </row>
    <row r="154" spans="1:14" hidden="1" x14ac:dyDescent="0.35">
      <c r="A154" s="3">
        <v>103410605</v>
      </c>
      <c r="B154" s="3" t="s">
        <v>4515</v>
      </c>
      <c r="C154" s="3" t="str">
        <f t="shared" si="4"/>
        <v>2022-07-07</v>
      </c>
      <c r="D154" s="3" t="s">
        <v>9</v>
      </c>
      <c r="E154" s="3" t="s">
        <v>5</v>
      </c>
      <c r="F154" s="3" t="s">
        <v>10</v>
      </c>
      <c r="G154" s="3" t="s">
        <v>4516</v>
      </c>
      <c r="H154" s="3" t="s">
        <v>4517</v>
      </c>
      <c r="I154" s="4">
        <v>4994.1499999999996</v>
      </c>
      <c r="J154" s="3" t="s">
        <v>11</v>
      </c>
      <c r="K154">
        <f>MATCH(A154,Database!$A$2:$A$948,0)</f>
        <v>799</v>
      </c>
      <c r="L154">
        <f>VLOOKUP(A154,Database!$A$2:$I$948,4,0)</f>
        <v>4994.1499999999996</v>
      </c>
      <c r="M154" t="b">
        <f t="shared" si="6"/>
        <v>1</v>
      </c>
      <c r="N154">
        <f>VLOOKUP(A154,Database!$A$2:$I$948,5,0)</f>
        <v>3</v>
      </c>
    </row>
    <row r="155" spans="1:14" hidden="1" x14ac:dyDescent="0.35">
      <c r="A155" s="3">
        <v>103410539</v>
      </c>
      <c r="B155" s="3" t="s">
        <v>4518</v>
      </c>
      <c r="C155" s="3" t="str">
        <f t="shared" si="4"/>
        <v>2022-07-07</v>
      </c>
      <c r="D155" s="3" t="s">
        <v>9</v>
      </c>
      <c r="E155" s="3" t="s">
        <v>5</v>
      </c>
      <c r="F155" s="3" t="s">
        <v>10</v>
      </c>
      <c r="G155" s="3" t="s">
        <v>4519</v>
      </c>
      <c r="H155" s="3" t="s">
        <v>4520</v>
      </c>
      <c r="I155" s="4">
        <v>6564.69</v>
      </c>
      <c r="J155" s="3" t="s">
        <v>11</v>
      </c>
      <c r="K155">
        <f>MATCH(A155,Database!$A$2:$A$948,0)</f>
        <v>784</v>
      </c>
      <c r="L155">
        <f>VLOOKUP(A155,Database!$A$2:$I$948,4,0)</f>
        <v>6564.69</v>
      </c>
      <c r="M155" t="b">
        <f t="shared" si="6"/>
        <v>1</v>
      </c>
      <c r="N155">
        <f>VLOOKUP(A155,Database!$A$2:$I$948,5,0)</f>
        <v>2</v>
      </c>
    </row>
    <row r="156" spans="1:14" hidden="1" x14ac:dyDescent="0.35">
      <c r="A156" s="3">
        <v>103410603</v>
      </c>
      <c r="B156" s="3" t="s">
        <v>4521</v>
      </c>
      <c r="C156" s="3" t="str">
        <f t="shared" si="4"/>
        <v>2022-07-07</v>
      </c>
      <c r="D156" s="3" t="s">
        <v>9</v>
      </c>
      <c r="E156" s="3" t="s">
        <v>5</v>
      </c>
      <c r="F156" s="3" t="s">
        <v>12</v>
      </c>
      <c r="G156" s="3" t="s">
        <v>4522</v>
      </c>
      <c r="H156" s="3" t="s">
        <v>4523</v>
      </c>
      <c r="I156" s="3">
        <v>899</v>
      </c>
      <c r="J156" s="3" t="s">
        <v>11</v>
      </c>
      <c r="K156">
        <f>MATCH(A156,Database!$A$2:$A$948,0)</f>
        <v>798</v>
      </c>
      <c r="L156">
        <f>VLOOKUP(A156,Database!$A$2:$I$948,4,0)</f>
        <v>899</v>
      </c>
      <c r="M156" t="b">
        <f t="shared" si="6"/>
        <v>1</v>
      </c>
      <c r="N156">
        <f>VLOOKUP(A156,Database!$A$2:$I$948,5,0)</f>
        <v>1</v>
      </c>
    </row>
    <row r="157" spans="1:14" hidden="1" x14ac:dyDescent="0.35">
      <c r="A157" s="3">
        <v>103410596</v>
      </c>
      <c r="B157" s="3" t="s">
        <v>4524</v>
      </c>
      <c r="C157" s="3" t="str">
        <f t="shared" si="4"/>
        <v>2022-07-07</v>
      </c>
      <c r="D157" s="3" t="s">
        <v>9</v>
      </c>
      <c r="E157" s="3" t="s">
        <v>5</v>
      </c>
      <c r="F157" s="3" t="s">
        <v>10</v>
      </c>
      <c r="G157" s="3" t="s">
        <v>4525</v>
      </c>
      <c r="H157" s="3" t="s">
        <v>4526</v>
      </c>
      <c r="I157" s="4">
        <v>1262.5999999999999</v>
      </c>
      <c r="J157" s="3" t="s">
        <v>11</v>
      </c>
      <c r="K157">
        <f>MATCH(A157,Database!$A$2:$A$948,0)</f>
        <v>796</v>
      </c>
      <c r="L157">
        <f>VLOOKUP(A157,Database!$A$2:$I$948,4,0)</f>
        <v>1262.5999999999999</v>
      </c>
      <c r="M157" t="b">
        <f t="shared" si="6"/>
        <v>1</v>
      </c>
      <c r="N157">
        <f>VLOOKUP(A157,Database!$A$2:$I$948,5,0)</f>
        <v>1</v>
      </c>
    </row>
    <row r="158" spans="1:14" hidden="1" x14ac:dyDescent="0.35">
      <c r="A158" s="3">
        <v>103410597</v>
      </c>
      <c r="B158" s="3" t="s">
        <v>4524</v>
      </c>
      <c r="C158" s="3" t="str">
        <f t="shared" si="4"/>
        <v>2022-07-07</v>
      </c>
      <c r="D158" s="3" t="s">
        <v>9</v>
      </c>
      <c r="E158" s="3" t="s">
        <v>5</v>
      </c>
      <c r="F158" s="3" t="s">
        <v>10</v>
      </c>
      <c r="G158" s="3" t="s">
        <v>4527</v>
      </c>
      <c r="H158" s="3" t="s">
        <v>4528</v>
      </c>
      <c r="I158" s="5">
        <v>2527</v>
      </c>
      <c r="J158" s="3" t="s">
        <v>11</v>
      </c>
      <c r="K158">
        <f>MATCH(A158,Database!$A$2:$A$948,0)</f>
        <v>797</v>
      </c>
      <c r="L158">
        <f>VLOOKUP(A158,Database!$A$2:$I$948,4,0)</f>
        <v>2527</v>
      </c>
      <c r="M158" t="b">
        <f t="shared" si="6"/>
        <v>1</v>
      </c>
      <c r="N158">
        <f>VLOOKUP(A158,Database!$A$2:$I$948,5,0)</f>
        <v>3</v>
      </c>
    </row>
    <row r="159" spans="1:14" hidden="1" x14ac:dyDescent="0.35">
      <c r="A159" s="3">
        <v>103410594</v>
      </c>
      <c r="B159" s="3" t="s">
        <v>4529</v>
      </c>
      <c r="C159" s="3" t="str">
        <f t="shared" si="4"/>
        <v>2022-07-07</v>
      </c>
      <c r="D159" s="3" t="s">
        <v>9</v>
      </c>
      <c r="E159" s="3" t="s">
        <v>5</v>
      </c>
      <c r="F159" s="3" t="s">
        <v>10</v>
      </c>
      <c r="G159" s="3" t="s">
        <v>4530</v>
      </c>
      <c r="H159" s="3" t="s">
        <v>4531</v>
      </c>
      <c r="I159" s="3">
        <v>759.05</v>
      </c>
      <c r="J159" s="3" t="s">
        <v>11</v>
      </c>
      <c r="K159">
        <f>MATCH(A159,Database!$A$2:$A$948,0)</f>
        <v>795</v>
      </c>
      <c r="L159">
        <f>VLOOKUP(A159,Database!$A$2:$I$948,4,0)</f>
        <v>759.05</v>
      </c>
      <c r="M159" t="b">
        <f t="shared" si="6"/>
        <v>1</v>
      </c>
      <c r="N159">
        <f>VLOOKUP(A159,Database!$A$2:$I$948,5,0)</f>
        <v>1</v>
      </c>
    </row>
    <row r="160" spans="1:14" hidden="1" x14ac:dyDescent="0.35">
      <c r="A160" s="3">
        <v>103410534</v>
      </c>
      <c r="B160" s="3" t="s">
        <v>4532</v>
      </c>
      <c r="C160" s="3" t="str">
        <f t="shared" si="4"/>
        <v>2022-07-07</v>
      </c>
      <c r="D160" s="3" t="s">
        <v>9</v>
      </c>
      <c r="E160" s="3" t="s">
        <v>5</v>
      </c>
      <c r="F160" s="3" t="s">
        <v>10</v>
      </c>
      <c r="G160" s="3" t="s">
        <v>4533</v>
      </c>
      <c r="H160" s="3" t="s">
        <v>4534</v>
      </c>
      <c r="I160" s="4">
        <v>1880.14</v>
      </c>
      <c r="J160" s="3" t="s">
        <v>11</v>
      </c>
      <c r="K160">
        <f>MATCH(A160,Database!$A$2:$A$948,0)</f>
        <v>783</v>
      </c>
      <c r="L160">
        <f>VLOOKUP(A160,Database!$A$2:$I$948,4,0)</f>
        <v>1880.14</v>
      </c>
      <c r="M160" t="b">
        <f t="shared" si="6"/>
        <v>1</v>
      </c>
      <c r="N160">
        <f>VLOOKUP(A160,Database!$A$2:$I$948,5,0)</f>
        <v>1</v>
      </c>
    </row>
    <row r="161" spans="1:14" hidden="1" x14ac:dyDescent="0.35">
      <c r="A161" s="3">
        <v>103410592</v>
      </c>
      <c r="B161" s="3" t="s">
        <v>4535</v>
      </c>
      <c r="C161" s="3" t="str">
        <f t="shared" si="4"/>
        <v>2022-07-07</v>
      </c>
      <c r="D161" s="3" t="s">
        <v>9</v>
      </c>
      <c r="E161" s="3" t="s">
        <v>5</v>
      </c>
      <c r="F161" s="3" t="s">
        <v>10</v>
      </c>
      <c r="G161" s="3" t="s">
        <v>4536</v>
      </c>
      <c r="H161" s="3" t="s">
        <v>4537</v>
      </c>
      <c r="I161" s="3">
        <v>825.55</v>
      </c>
      <c r="J161" s="3" t="s">
        <v>11</v>
      </c>
      <c r="K161">
        <f>MATCH(A161,Database!$A$2:$A$948,0)</f>
        <v>794</v>
      </c>
      <c r="L161">
        <f>VLOOKUP(A161,Database!$A$2:$I$948,4,0)</f>
        <v>825.55</v>
      </c>
      <c r="M161" t="b">
        <f t="shared" si="6"/>
        <v>1</v>
      </c>
      <c r="N161">
        <f>VLOOKUP(A161,Database!$A$2:$I$948,5,0)</f>
        <v>1</v>
      </c>
    </row>
    <row r="162" spans="1:14" hidden="1" x14ac:dyDescent="0.35">
      <c r="A162" s="3">
        <v>103410589</v>
      </c>
      <c r="B162" s="3" t="s">
        <v>4538</v>
      </c>
      <c r="C162" s="3" t="str">
        <f t="shared" si="4"/>
        <v>2022-07-07</v>
      </c>
      <c r="D162" s="3" t="s">
        <v>9</v>
      </c>
      <c r="E162" s="3" t="s">
        <v>5</v>
      </c>
      <c r="F162" s="3" t="s">
        <v>10</v>
      </c>
      <c r="G162" s="3" t="s">
        <v>4539</v>
      </c>
      <c r="H162" s="3" t="s">
        <v>4540</v>
      </c>
      <c r="I162" s="3">
        <v>946.72</v>
      </c>
      <c r="J162" s="3" t="s">
        <v>11</v>
      </c>
      <c r="K162">
        <f>MATCH(A162,Database!$A$2:$A$948,0)</f>
        <v>793</v>
      </c>
      <c r="L162">
        <f>VLOOKUP(A162,Database!$A$2:$I$948,4,0)</f>
        <v>946.72</v>
      </c>
      <c r="M162" t="b">
        <f t="shared" si="6"/>
        <v>1</v>
      </c>
      <c r="N162">
        <f>VLOOKUP(A162,Database!$A$2:$I$948,5,0)</f>
        <v>1</v>
      </c>
    </row>
    <row r="163" spans="1:14" hidden="1" x14ac:dyDescent="0.35">
      <c r="A163" s="3">
        <v>103410531</v>
      </c>
      <c r="B163" s="3" t="s">
        <v>4541</v>
      </c>
      <c r="C163" s="3" t="str">
        <f t="shared" si="4"/>
        <v>2022-07-07</v>
      </c>
      <c r="D163" s="3" t="s">
        <v>9</v>
      </c>
      <c r="E163" s="3" t="s">
        <v>5</v>
      </c>
      <c r="F163" s="3" t="s">
        <v>10</v>
      </c>
      <c r="G163" s="3" t="s">
        <v>4542</v>
      </c>
      <c r="H163" s="3" t="s">
        <v>4543</v>
      </c>
      <c r="I163" s="5">
        <v>4199</v>
      </c>
      <c r="J163" s="3" t="s">
        <v>11</v>
      </c>
      <c r="K163">
        <f>MATCH(A163,Database!$A$2:$A$948,0)</f>
        <v>782</v>
      </c>
      <c r="L163">
        <f>VLOOKUP(A163,Database!$A$2:$I$948,4,0)</f>
        <v>4199</v>
      </c>
      <c r="M163" t="b">
        <f t="shared" si="6"/>
        <v>1</v>
      </c>
      <c r="N163">
        <f>VLOOKUP(A163,Database!$A$2:$I$948,5,0)</f>
        <v>1</v>
      </c>
    </row>
    <row r="164" spans="1:14" hidden="1" x14ac:dyDescent="0.35">
      <c r="A164" s="3">
        <v>103410519</v>
      </c>
      <c r="B164" s="3" t="s">
        <v>4544</v>
      </c>
      <c r="C164" s="3" t="str">
        <f t="shared" si="4"/>
        <v>2022-07-07</v>
      </c>
      <c r="D164" s="3" t="s">
        <v>9</v>
      </c>
      <c r="E164" s="3" t="s">
        <v>5</v>
      </c>
      <c r="F164" s="3" t="s">
        <v>10</v>
      </c>
      <c r="G164" s="3" t="s">
        <v>4545</v>
      </c>
      <c r="H164" s="3" t="s">
        <v>4546</v>
      </c>
      <c r="I164" s="3">
        <v>969</v>
      </c>
      <c r="J164" s="3" t="s">
        <v>11</v>
      </c>
      <c r="K164">
        <f>MATCH(A164,Database!$A$2:$A$948,0)</f>
        <v>781</v>
      </c>
      <c r="L164">
        <f>VLOOKUP(A164,Database!$A$2:$I$948,4,0)</f>
        <v>969</v>
      </c>
      <c r="M164" t="b">
        <f t="shared" si="6"/>
        <v>1</v>
      </c>
      <c r="N164">
        <f>VLOOKUP(A164,Database!$A$2:$I$948,5,0)</f>
        <v>1</v>
      </c>
    </row>
    <row r="165" spans="1:14" hidden="1" x14ac:dyDescent="0.35">
      <c r="A165" s="3">
        <v>103410515</v>
      </c>
      <c r="B165" s="3" t="s">
        <v>4547</v>
      </c>
      <c r="C165" s="3" t="str">
        <f t="shared" si="4"/>
        <v>2022-07-07</v>
      </c>
      <c r="D165" s="3" t="s">
        <v>9</v>
      </c>
      <c r="E165" s="3" t="s">
        <v>5</v>
      </c>
      <c r="F165" s="3" t="s">
        <v>10</v>
      </c>
      <c r="G165" s="3" t="s">
        <v>4244</v>
      </c>
      <c r="H165" s="3" t="s">
        <v>4548</v>
      </c>
      <c r="I165" s="4">
        <v>1172.3499999999999</v>
      </c>
      <c r="J165" s="3" t="s">
        <v>11</v>
      </c>
      <c r="K165">
        <f>MATCH(A165,Database!$A$2:$A$948,0)</f>
        <v>780</v>
      </c>
      <c r="L165">
        <f>VLOOKUP(A165,Database!$A$2:$I$948,4,0)</f>
        <v>1172.3499999999999</v>
      </c>
      <c r="M165" t="b">
        <f t="shared" si="6"/>
        <v>1</v>
      </c>
      <c r="N165">
        <f>VLOOKUP(A165,Database!$A$2:$I$948,5,0)</f>
        <v>1</v>
      </c>
    </row>
    <row r="166" spans="1:14" hidden="1" x14ac:dyDescent="0.35">
      <c r="A166" s="3">
        <v>103410513</v>
      </c>
      <c r="B166" s="3" t="s">
        <v>4549</v>
      </c>
      <c r="C166" s="3" t="str">
        <f t="shared" si="4"/>
        <v>2022-07-07</v>
      </c>
      <c r="D166" s="3" t="s">
        <v>9</v>
      </c>
      <c r="E166" s="3" t="s">
        <v>5</v>
      </c>
      <c r="F166" s="3" t="s">
        <v>10</v>
      </c>
      <c r="G166" s="3" t="s">
        <v>4550</v>
      </c>
      <c r="H166" s="3" t="s">
        <v>4551</v>
      </c>
      <c r="I166" s="4">
        <v>2699.25</v>
      </c>
      <c r="J166" s="3" t="s">
        <v>11</v>
      </c>
      <c r="K166">
        <f>MATCH(A166,Database!$A$2:$A$948,0)</f>
        <v>779</v>
      </c>
      <c r="L166">
        <f>VLOOKUP(A166,Database!$A$2:$I$948,4,0)</f>
        <v>2699.25</v>
      </c>
      <c r="M166" t="b">
        <f t="shared" si="6"/>
        <v>1</v>
      </c>
      <c r="N166">
        <f>VLOOKUP(A166,Database!$A$2:$I$948,5,0)</f>
        <v>1</v>
      </c>
    </row>
    <row r="167" spans="1:14" hidden="1" x14ac:dyDescent="0.35">
      <c r="A167" s="3">
        <v>103410568</v>
      </c>
      <c r="B167" s="3" t="s">
        <v>4552</v>
      </c>
      <c r="C167" s="3" t="str">
        <f t="shared" si="4"/>
        <v>2022-07-07</v>
      </c>
      <c r="D167" s="3" t="s">
        <v>9</v>
      </c>
      <c r="E167" s="3" t="s">
        <v>5</v>
      </c>
      <c r="F167" s="3" t="s">
        <v>10</v>
      </c>
      <c r="G167" s="3" t="s">
        <v>4553</v>
      </c>
      <c r="H167" s="3" t="s">
        <v>4554</v>
      </c>
      <c r="I167" s="3">
        <v>597.64</v>
      </c>
      <c r="J167" s="3" t="s">
        <v>11</v>
      </c>
      <c r="K167">
        <f>MATCH(A167,Database!$A$2:$A$948,0)</f>
        <v>792</v>
      </c>
      <c r="L167">
        <f>VLOOKUP(A167,Database!$A$2:$I$948,4,0)</f>
        <v>597.64</v>
      </c>
      <c r="M167" t="b">
        <f t="shared" si="6"/>
        <v>1</v>
      </c>
      <c r="N167">
        <f>VLOOKUP(A167,Database!$A$2:$I$948,5,0)</f>
        <v>1</v>
      </c>
    </row>
    <row r="168" spans="1:14" hidden="1" x14ac:dyDescent="0.35">
      <c r="A168" s="3">
        <v>103410565</v>
      </c>
      <c r="B168" s="3" t="s">
        <v>4555</v>
      </c>
      <c r="C168" s="3" t="str">
        <f t="shared" si="4"/>
        <v>2022-07-07</v>
      </c>
      <c r="D168" s="3" t="s">
        <v>9</v>
      </c>
      <c r="E168" s="3" t="s">
        <v>5</v>
      </c>
      <c r="F168" s="3" t="s">
        <v>10</v>
      </c>
      <c r="G168" s="3" t="s">
        <v>4556</v>
      </c>
      <c r="H168" s="3" t="s">
        <v>4557</v>
      </c>
      <c r="I168" s="3">
        <v>521.54999999999995</v>
      </c>
      <c r="J168" s="3" t="s">
        <v>11</v>
      </c>
      <c r="K168">
        <f>MATCH(A168,Database!$A$2:$A$948,0)</f>
        <v>791</v>
      </c>
      <c r="L168">
        <f>VLOOKUP(A168,Database!$A$2:$I$948,4,0)</f>
        <v>521.54999999999995</v>
      </c>
      <c r="M168" t="b">
        <f t="shared" si="6"/>
        <v>1</v>
      </c>
      <c r="N168">
        <f>VLOOKUP(A168,Database!$A$2:$I$948,5,0)</f>
        <v>1</v>
      </c>
    </row>
    <row r="169" spans="1:14" hidden="1" x14ac:dyDescent="0.35">
      <c r="A169" s="3">
        <v>103410506</v>
      </c>
      <c r="B169" s="3" t="s">
        <v>4558</v>
      </c>
      <c r="C169" s="3" t="str">
        <f t="shared" si="4"/>
        <v>2022-07-07</v>
      </c>
      <c r="D169" s="3" t="s">
        <v>9</v>
      </c>
      <c r="E169" s="3" t="s">
        <v>5</v>
      </c>
      <c r="F169" s="3" t="s">
        <v>10</v>
      </c>
      <c r="G169" s="3" t="s">
        <v>4559</v>
      </c>
      <c r="H169" s="3" t="s">
        <v>4560</v>
      </c>
      <c r="I169" s="4">
        <v>4939.05</v>
      </c>
      <c r="J169" s="3" t="s">
        <v>11</v>
      </c>
      <c r="K169">
        <f>MATCH(A169,Database!$A$2:$A$948,0)</f>
        <v>778</v>
      </c>
      <c r="L169">
        <f>VLOOKUP(A169,Database!$A$2:$I$948,4,0)</f>
        <v>4939.05</v>
      </c>
      <c r="M169" t="b">
        <f t="shared" si="6"/>
        <v>1</v>
      </c>
      <c r="N169">
        <f>VLOOKUP(A169,Database!$A$2:$I$948,5,0)</f>
        <v>1</v>
      </c>
    </row>
    <row r="170" spans="1:14" hidden="1" x14ac:dyDescent="0.35">
      <c r="A170" s="3">
        <v>103410460</v>
      </c>
      <c r="B170" s="3" t="s">
        <v>4561</v>
      </c>
      <c r="C170" s="3" t="str">
        <f t="shared" si="4"/>
        <v>2022-07-07</v>
      </c>
      <c r="D170" s="3" t="s">
        <v>9</v>
      </c>
      <c r="E170" s="3" t="s">
        <v>5</v>
      </c>
      <c r="F170" s="3" t="s">
        <v>10</v>
      </c>
      <c r="G170" s="3" t="s">
        <v>4562</v>
      </c>
      <c r="H170" s="3" t="s">
        <v>4563</v>
      </c>
      <c r="I170" s="5">
        <v>1079</v>
      </c>
      <c r="J170" s="3" t="s">
        <v>11</v>
      </c>
      <c r="K170">
        <f>MATCH(A170,Database!$A$2:$A$948,0)</f>
        <v>769</v>
      </c>
      <c r="L170">
        <f>VLOOKUP(A170,Database!$A$2:$I$948,4,0)</f>
        <v>1079</v>
      </c>
      <c r="M170" t="b">
        <f t="shared" si="6"/>
        <v>1</v>
      </c>
      <c r="N170">
        <f>VLOOKUP(A170,Database!$A$2:$I$948,5,0)</f>
        <v>1</v>
      </c>
    </row>
    <row r="171" spans="1:14" hidden="1" x14ac:dyDescent="0.35">
      <c r="A171" s="3">
        <v>103410502</v>
      </c>
      <c r="B171" s="3" t="s">
        <v>4564</v>
      </c>
      <c r="C171" s="3" t="str">
        <f t="shared" si="4"/>
        <v>2022-07-07</v>
      </c>
      <c r="D171" s="3" t="s">
        <v>9</v>
      </c>
      <c r="E171" s="3" t="s">
        <v>5</v>
      </c>
      <c r="F171" s="3" t="s">
        <v>10</v>
      </c>
      <c r="G171" s="3" t="s">
        <v>4565</v>
      </c>
      <c r="H171" s="3" t="s">
        <v>4566</v>
      </c>
      <c r="I171" s="5">
        <v>2817</v>
      </c>
      <c r="J171" s="3" t="s">
        <v>11</v>
      </c>
      <c r="K171">
        <f>MATCH(A171,Database!$A$2:$A$948,0)</f>
        <v>777</v>
      </c>
      <c r="L171">
        <f>VLOOKUP(A171,Database!$A$2:$I$948,4,0)</f>
        <v>2817</v>
      </c>
      <c r="M171" t="b">
        <f t="shared" si="6"/>
        <v>1</v>
      </c>
      <c r="N171">
        <f>VLOOKUP(A171,Database!$A$2:$I$948,5,0)</f>
        <v>3</v>
      </c>
    </row>
    <row r="172" spans="1:14" hidden="1" x14ac:dyDescent="0.35">
      <c r="A172" s="3">
        <v>103410496</v>
      </c>
      <c r="B172" s="3" t="s">
        <v>4567</v>
      </c>
      <c r="C172" s="3" t="str">
        <f t="shared" si="4"/>
        <v>2022-07-07</v>
      </c>
      <c r="D172" s="3" t="s">
        <v>9</v>
      </c>
      <c r="E172" s="3" t="s">
        <v>5</v>
      </c>
      <c r="F172" s="3" t="s">
        <v>10</v>
      </c>
      <c r="G172" s="3" t="s">
        <v>4568</v>
      </c>
      <c r="H172" s="3" t="s">
        <v>4569</v>
      </c>
      <c r="I172" s="3">
        <v>521.54999999999995</v>
      </c>
      <c r="J172" s="3" t="s">
        <v>11</v>
      </c>
      <c r="K172">
        <f>MATCH(A172,Database!$A$2:$A$948,0)</f>
        <v>776</v>
      </c>
      <c r="L172">
        <f>VLOOKUP(A172,Database!$A$2:$I$948,4,0)</f>
        <v>521.54999999999995</v>
      </c>
      <c r="M172" t="b">
        <f t="shared" si="6"/>
        <v>1</v>
      </c>
      <c r="N172">
        <f>VLOOKUP(A172,Database!$A$2:$I$948,5,0)</f>
        <v>1</v>
      </c>
    </row>
    <row r="173" spans="1:14" hidden="1" x14ac:dyDescent="0.35">
      <c r="A173" s="3">
        <v>103410455</v>
      </c>
      <c r="B173" s="3" t="s">
        <v>4570</v>
      </c>
      <c r="C173" s="3" t="str">
        <f t="shared" si="4"/>
        <v>2022-07-07</v>
      </c>
      <c r="D173" s="3" t="s">
        <v>9</v>
      </c>
      <c r="E173" s="3" t="s">
        <v>5</v>
      </c>
      <c r="F173" s="3" t="s">
        <v>10</v>
      </c>
      <c r="G173" s="3" t="s">
        <v>4571</v>
      </c>
      <c r="H173" s="3" t="s">
        <v>4572</v>
      </c>
      <c r="I173" s="4">
        <v>1623.55</v>
      </c>
      <c r="J173" s="3" t="s">
        <v>11</v>
      </c>
      <c r="K173">
        <f>MATCH(A173,Database!$A$2:$A$948,0)</f>
        <v>768</v>
      </c>
      <c r="L173">
        <f>VLOOKUP(A173,Database!$A$2:$I$948,4,0)</f>
        <v>1623.55</v>
      </c>
      <c r="M173" t="b">
        <f t="shared" si="6"/>
        <v>1</v>
      </c>
      <c r="N173">
        <f>VLOOKUP(A173,Database!$A$2:$I$948,5,0)</f>
        <v>1</v>
      </c>
    </row>
    <row r="174" spans="1:14" hidden="1" x14ac:dyDescent="0.35">
      <c r="A174" s="3">
        <v>103410450</v>
      </c>
      <c r="B174" s="3" t="s">
        <v>4573</v>
      </c>
      <c r="C174" s="3" t="str">
        <f t="shared" si="4"/>
        <v>2022-07-07</v>
      </c>
      <c r="D174" s="3" t="s">
        <v>9</v>
      </c>
      <c r="E174" s="3" t="s">
        <v>5</v>
      </c>
      <c r="F174" s="3" t="s">
        <v>10</v>
      </c>
      <c r="G174" s="3" t="s">
        <v>4574</v>
      </c>
      <c r="H174" s="3" t="s">
        <v>4575</v>
      </c>
      <c r="I174" s="3">
        <v>635.54999999999995</v>
      </c>
      <c r="J174" s="3" t="s">
        <v>11</v>
      </c>
      <c r="K174">
        <f>MATCH(A174,Database!$A$2:$A$948,0)</f>
        <v>767</v>
      </c>
      <c r="L174">
        <f>VLOOKUP(A174,Database!$A$2:$I$948,4,0)</f>
        <v>635.54999999999995</v>
      </c>
      <c r="M174" t="b">
        <f t="shared" si="6"/>
        <v>1</v>
      </c>
      <c r="N174">
        <f>VLOOKUP(A174,Database!$A$2:$I$948,5,0)</f>
        <v>1</v>
      </c>
    </row>
    <row r="175" spans="1:14" hidden="1" x14ac:dyDescent="0.35">
      <c r="A175" s="3">
        <v>103410490</v>
      </c>
      <c r="B175" s="3" t="s">
        <v>4576</v>
      </c>
      <c r="C175" s="3" t="str">
        <f t="shared" si="4"/>
        <v>2022-07-07</v>
      </c>
      <c r="D175" s="3" t="s">
        <v>9</v>
      </c>
      <c r="E175" s="3" t="s">
        <v>5</v>
      </c>
      <c r="F175" s="3" t="s">
        <v>10</v>
      </c>
      <c r="G175" s="3" t="s">
        <v>4577</v>
      </c>
      <c r="H175" s="3" t="s">
        <v>4578</v>
      </c>
      <c r="I175" s="4">
        <v>2777.89</v>
      </c>
      <c r="J175" s="3" t="s">
        <v>11</v>
      </c>
      <c r="K175">
        <f>MATCH(A175,Database!$A$2:$A$948,0)</f>
        <v>775</v>
      </c>
      <c r="L175">
        <f>VLOOKUP(A175,Database!$A$2:$I$948,4,0)</f>
        <v>2777.89</v>
      </c>
      <c r="M175" t="b">
        <f t="shared" si="6"/>
        <v>1</v>
      </c>
      <c r="N175">
        <f>VLOOKUP(A175,Database!$A$2:$I$948,5,0)</f>
        <v>1</v>
      </c>
    </row>
    <row r="176" spans="1:14" hidden="1" x14ac:dyDescent="0.35">
      <c r="A176" s="3">
        <v>103410449</v>
      </c>
      <c r="B176" s="3" t="s">
        <v>4579</v>
      </c>
      <c r="C176" s="3" t="str">
        <f t="shared" si="4"/>
        <v>2022-07-07</v>
      </c>
      <c r="D176" s="3" t="s">
        <v>9</v>
      </c>
      <c r="E176" s="3" t="s">
        <v>5</v>
      </c>
      <c r="F176" s="3" t="s">
        <v>10</v>
      </c>
      <c r="G176" s="3" t="s">
        <v>4580</v>
      </c>
      <c r="H176" s="3" t="s">
        <v>4581</v>
      </c>
      <c r="I176" s="4">
        <v>1631.72</v>
      </c>
      <c r="J176" s="3" t="s">
        <v>11</v>
      </c>
      <c r="K176">
        <f>MATCH(A176,Database!$A$2:$A$948,0)</f>
        <v>766</v>
      </c>
      <c r="L176">
        <f>VLOOKUP(A176,Database!$A$2:$I$948,4,0)</f>
        <v>1631.72</v>
      </c>
      <c r="M176" t="b">
        <f t="shared" si="6"/>
        <v>1</v>
      </c>
      <c r="N176">
        <f>VLOOKUP(A176,Database!$A$2:$I$948,5,0)</f>
        <v>2</v>
      </c>
    </row>
    <row r="177" spans="1:14" hidden="1" x14ac:dyDescent="0.35">
      <c r="A177" s="3">
        <v>103410489</v>
      </c>
      <c r="B177" s="3" t="s">
        <v>4582</v>
      </c>
      <c r="C177" s="3" t="str">
        <f t="shared" si="4"/>
        <v>2022-07-07</v>
      </c>
      <c r="D177" s="3" t="s">
        <v>9</v>
      </c>
      <c r="E177" s="3" t="s">
        <v>5</v>
      </c>
      <c r="F177" s="3" t="s">
        <v>10</v>
      </c>
      <c r="G177" s="3" t="s">
        <v>4583</v>
      </c>
      <c r="H177" s="3" t="s">
        <v>4584</v>
      </c>
      <c r="I177" s="4">
        <v>1424.05</v>
      </c>
      <c r="J177" s="3" t="s">
        <v>11</v>
      </c>
      <c r="K177">
        <f>MATCH(A177,Database!$A$2:$A$948,0)</f>
        <v>774</v>
      </c>
      <c r="L177">
        <f>VLOOKUP(A177,Database!$A$2:$I$948,4,0)</f>
        <v>1424.05</v>
      </c>
      <c r="M177" t="b">
        <f t="shared" si="6"/>
        <v>1</v>
      </c>
      <c r="N177">
        <f>VLOOKUP(A177,Database!$A$2:$I$948,5,0)</f>
        <v>1</v>
      </c>
    </row>
    <row r="178" spans="1:14" hidden="1" x14ac:dyDescent="0.35">
      <c r="A178" s="3">
        <v>103410481</v>
      </c>
      <c r="B178" s="3" t="s">
        <v>4585</v>
      </c>
      <c r="C178" s="3" t="str">
        <f t="shared" si="4"/>
        <v>2022-07-07</v>
      </c>
      <c r="D178" s="3" t="s">
        <v>9</v>
      </c>
      <c r="E178" s="3" t="s">
        <v>5</v>
      </c>
      <c r="F178" s="3" t="s">
        <v>10</v>
      </c>
      <c r="G178" s="3" t="s">
        <v>4586</v>
      </c>
      <c r="H178" s="3" t="s">
        <v>4587</v>
      </c>
      <c r="I178" s="3">
        <v>749</v>
      </c>
      <c r="J178" s="3" t="s">
        <v>11</v>
      </c>
      <c r="K178">
        <f>MATCH(A178,Database!$A$2:$A$948,0)</f>
        <v>773</v>
      </c>
      <c r="L178">
        <f>VLOOKUP(A178,Database!$A$2:$I$948,4,0)</f>
        <v>749</v>
      </c>
      <c r="M178" t="b">
        <f t="shared" si="6"/>
        <v>1</v>
      </c>
      <c r="N178">
        <f>VLOOKUP(A178,Database!$A$2:$I$948,5,0)</f>
        <v>1</v>
      </c>
    </row>
    <row r="179" spans="1:14" hidden="1" x14ac:dyDescent="0.35">
      <c r="A179" s="3">
        <v>103410444</v>
      </c>
      <c r="B179" s="3" t="s">
        <v>4588</v>
      </c>
      <c r="C179" s="3" t="str">
        <f t="shared" si="4"/>
        <v>2022-07-07</v>
      </c>
      <c r="D179" s="3" t="s">
        <v>9</v>
      </c>
      <c r="E179" s="3" t="s">
        <v>5</v>
      </c>
      <c r="F179" s="3" t="s">
        <v>10</v>
      </c>
      <c r="G179" s="3" t="s">
        <v>4589</v>
      </c>
      <c r="H179" s="3" t="s">
        <v>4590</v>
      </c>
      <c r="I179" s="4">
        <v>2564.14</v>
      </c>
      <c r="J179" s="3" t="s">
        <v>11</v>
      </c>
      <c r="K179">
        <f>MATCH(A179,Database!$A$2:$A$948,0)</f>
        <v>765</v>
      </c>
      <c r="L179">
        <f>VLOOKUP(A179,Database!$A$2:$I$948,4,0)</f>
        <v>2564.14</v>
      </c>
      <c r="M179" t="b">
        <f t="shared" si="6"/>
        <v>1</v>
      </c>
      <c r="N179">
        <f>VLOOKUP(A179,Database!$A$2:$I$948,5,0)</f>
        <v>1</v>
      </c>
    </row>
    <row r="180" spans="1:14" hidden="1" x14ac:dyDescent="0.35">
      <c r="A180" s="3">
        <v>103410480</v>
      </c>
      <c r="B180" s="3" t="s">
        <v>4591</v>
      </c>
      <c r="C180" s="3" t="str">
        <f t="shared" si="4"/>
        <v>2022-07-07</v>
      </c>
      <c r="D180" s="3" t="s">
        <v>9</v>
      </c>
      <c r="E180" s="3" t="s">
        <v>5</v>
      </c>
      <c r="F180" s="3" t="s">
        <v>10</v>
      </c>
      <c r="G180" s="3" t="s">
        <v>4592</v>
      </c>
      <c r="H180" s="3" t="s">
        <v>4593</v>
      </c>
      <c r="I180" s="5">
        <v>2499</v>
      </c>
      <c r="J180" s="3" t="s">
        <v>11</v>
      </c>
      <c r="K180">
        <f>MATCH(A180,Database!$A$2:$A$948,0)</f>
        <v>772</v>
      </c>
      <c r="L180">
        <f>VLOOKUP(A180,Database!$A$2:$I$948,4,0)</f>
        <v>2499</v>
      </c>
      <c r="M180" t="b">
        <f t="shared" si="6"/>
        <v>1</v>
      </c>
      <c r="N180">
        <f>VLOOKUP(A180,Database!$A$2:$I$948,5,0)</f>
        <v>1</v>
      </c>
    </row>
    <row r="181" spans="1:14" x14ac:dyDescent="0.35">
      <c r="A181" s="3">
        <v>103410478</v>
      </c>
      <c r="B181" s="3" t="s">
        <v>4594</v>
      </c>
      <c r="C181" s="3" t="str">
        <f t="shared" si="4"/>
        <v>2022-07-07</v>
      </c>
      <c r="D181" s="3" t="s">
        <v>9</v>
      </c>
      <c r="E181" s="3" t="s">
        <v>5</v>
      </c>
      <c r="F181" s="3" t="s">
        <v>10</v>
      </c>
      <c r="G181" s="3" t="s">
        <v>4595</v>
      </c>
      <c r="H181" s="3" t="s">
        <v>4596</v>
      </c>
      <c r="I181" s="5">
        <v>2999</v>
      </c>
      <c r="J181" s="3" t="s">
        <v>11</v>
      </c>
      <c r="K181" t="e">
        <f>MATCH(A181,Database!$A$2:$A$948,0)</f>
        <v>#N/A</v>
      </c>
      <c r="L181" t="e">
        <f>VLOOKUP(A181,Database!$A$2:$I$948,4,0)</f>
        <v>#N/A</v>
      </c>
      <c r="M181" t="e">
        <f t="shared" si="6"/>
        <v>#N/A</v>
      </c>
      <c r="N181" t="e">
        <f>VLOOKUP(A181,Database!$A$2:$I$948,5,0)</f>
        <v>#N/A</v>
      </c>
    </row>
    <row r="182" spans="1:14" hidden="1" x14ac:dyDescent="0.35">
      <c r="A182" s="3">
        <v>103410438</v>
      </c>
      <c r="B182" s="3" t="s">
        <v>4597</v>
      </c>
      <c r="C182" s="3" t="str">
        <f t="shared" si="4"/>
        <v>2022-07-07</v>
      </c>
      <c r="D182" s="3" t="s">
        <v>9</v>
      </c>
      <c r="E182" s="3" t="s">
        <v>5</v>
      </c>
      <c r="F182" s="3" t="s">
        <v>10</v>
      </c>
      <c r="G182" s="3" t="s">
        <v>4598</v>
      </c>
      <c r="H182" s="3" t="s">
        <v>4599</v>
      </c>
      <c r="I182" s="5">
        <v>4799</v>
      </c>
      <c r="J182" s="3" t="s">
        <v>11</v>
      </c>
      <c r="K182">
        <f>MATCH(A182,Database!$A$2:$A$948,0)</f>
        <v>764</v>
      </c>
      <c r="L182">
        <f>VLOOKUP(A182,Database!$A$2:$I$948,4,0)</f>
        <v>4799</v>
      </c>
      <c r="M182" t="b">
        <f t="shared" si="6"/>
        <v>1</v>
      </c>
      <c r="N182">
        <f>VLOOKUP(A182,Database!$A$2:$I$948,5,0)</f>
        <v>1</v>
      </c>
    </row>
    <row r="183" spans="1:14" hidden="1" x14ac:dyDescent="0.35">
      <c r="A183" s="3">
        <v>103410434</v>
      </c>
      <c r="B183" s="3" t="s">
        <v>4600</v>
      </c>
      <c r="C183" s="3" t="str">
        <f t="shared" si="4"/>
        <v>2022-07-07</v>
      </c>
      <c r="D183" s="3" t="s">
        <v>9</v>
      </c>
      <c r="E183" s="3" t="s">
        <v>5</v>
      </c>
      <c r="F183" s="3" t="s">
        <v>10</v>
      </c>
      <c r="G183" s="3" t="s">
        <v>4601</v>
      </c>
      <c r="H183" s="3" t="s">
        <v>4602</v>
      </c>
      <c r="I183" s="5">
        <v>2599</v>
      </c>
      <c r="J183" s="3" t="s">
        <v>11</v>
      </c>
      <c r="K183">
        <f>MATCH(A183,Database!$A$2:$A$948,0)</f>
        <v>763</v>
      </c>
      <c r="L183">
        <f>VLOOKUP(A183,Database!$A$2:$I$948,4,0)</f>
        <v>2599</v>
      </c>
      <c r="M183" t="b">
        <f t="shared" si="6"/>
        <v>1</v>
      </c>
      <c r="N183">
        <f>VLOOKUP(A183,Database!$A$2:$I$948,5,0)</f>
        <v>1</v>
      </c>
    </row>
    <row r="184" spans="1:14" hidden="1" x14ac:dyDescent="0.35">
      <c r="A184" s="3">
        <v>103410469</v>
      </c>
      <c r="B184" s="3" t="s">
        <v>4603</v>
      </c>
      <c r="C184" s="3" t="str">
        <f t="shared" si="4"/>
        <v>2022-07-07</v>
      </c>
      <c r="D184" s="3" t="s">
        <v>9</v>
      </c>
      <c r="E184" s="3" t="s">
        <v>5</v>
      </c>
      <c r="F184" s="3" t="s">
        <v>10</v>
      </c>
      <c r="G184" s="3" t="s">
        <v>4604</v>
      </c>
      <c r="H184" s="3" t="s">
        <v>4605</v>
      </c>
      <c r="I184" s="5">
        <v>2399</v>
      </c>
      <c r="J184" s="3" t="s">
        <v>11</v>
      </c>
      <c r="K184">
        <f>MATCH(A184,Database!$A$2:$A$948,0)</f>
        <v>771</v>
      </c>
      <c r="L184">
        <f>VLOOKUP(A184,Database!$A$2:$I$948,4,0)</f>
        <v>2399</v>
      </c>
      <c r="M184" t="b">
        <f t="shared" si="6"/>
        <v>1</v>
      </c>
      <c r="N184">
        <f>VLOOKUP(A184,Database!$A$2:$I$948,5,0)</f>
        <v>1</v>
      </c>
    </row>
    <row r="185" spans="1:14" hidden="1" x14ac:dyDescent="0.35">
      <c r="A185" s="3">
        <v>103410420</v>
      </c>
      <c r="B185" s="3" t="s">
        <v>4606</v>
      </c>
      <c r="C185" s="3" t="str">
        <f t="shared" si="4"/>
        <v>2022-07-07</v>
      </c>
      <c r="D185" s="3" t="s">
        <v>9</v>
      </c>
      <c r="E185" s="3" t="s">
        <v>5</v>
      </c>
      <c r="F185" s="3" t="s">
        <v>10</v>
      </c>
      <c r="G185" s="3" t="s">
        <v>4607</v>
      </c>
      <c r="H185" s="3" t="s">
        <v>4608</v>
      </c>
      <c r="I185" s="3">
        <v>550.04999999999995</v>
      </c>
      <c r="J185" s="3" t="s">
        <v>11</v>
      </c>
      <c r="K185">
        <f>MATCH(A185,Database!$A$2:$A$948,0)</f>
        <v>762</v>
      </c>
      <c r="L185">
        <f>VLOOKUP(A185,Database!$A$2:$I$948,4,0)</f>
        <v>550.04999999999995</v>
      </c>
      <c r="M185" t="b">
        <f t="shared" si="6"/>
        <v>1</v>
      </c>
      <c r="N185">
        <f>VLOOKUP(A185,Database!$A$2:$I$948,5,0)</f>
        <v>1</v>
      </c>
    </row>
    <row r="186" spans="1:14" hidden="1" x14ac:dyDescent="0.35">
      <c r="A186" s="3">
        <v>103410467</v>
      </c>
      <c r="B186" s="3" t="s">
        <v>4609</v>
      </c>
      <c r="C186" s="3" t="str">
        <f t="shared" si="4"/>
        <v>2022-07-07</v>
      </c>
      <c r="D186" s="3" t="s">
        <v>9</v>
      </c>
      <c r="E186" s="3" t="s">
        <v>5</v>
      </c>
      <c r="F186" s="3" t="s">
        <v>10</v>
      </c>
      <c r="G186" s="3" t="s">
        <v>4610</v>
      </c>
      <c r="H186" s="3" t="s">
        <v>4611</v>
      </c>
      <c r="I186" s="3">
        <v>740.05</v>
      </c>
      <c r="J186" s="3" t="s">
        <v>11</v>
      </c>
      <c r="K186">
        <f>MATCH(A186,Database!$A$2:$A$948,0)</f>
        <v>770</v>
      </c>
      <c r="L186">
        <f>VLOOKUP(A186,Database!$A$2:$I$948,4,0)</f>
        <v>740.05</v>
      </c>
      <c r="M186" t="b">
        <f t="shared" si="6"/>
        <v>1</v>
      </c>
      <c r="N186">
        <f>VLOOKUP(A186,Database!$A$2:$I$948,5,0)</f>
        <v>1</v>
      </c>
    </row>
    <row r="187" spans="1:14" hidden="1" x14ac:dyDescent="0.35">
      <c r="A187" s="3">
        <v>103410355</v>
      </c>
      <c r="B187" s="3" t="s">
        <v>4612</v>
      </c>
      <c r="C187" s="3" t="str">
        <f t="shared" si="4"/>
        <v>2022-07-07</v>
      </c>
      <c r="D187" s="3" t="s">
        <v>9</v>
      </c>
      <c r="E187" s="3" t="s">
        <v>5</v>
      </c>
      <c r="F187" s="3" t="s">
        <v>12</v>
      </c>
      <c r="G187" s="3" t="s">
        <v>4613</v>
      </c>
      <c r="H187" s="3" t="s">
        <v>4614</v>
      </c>
      <c r="I187" s="5">
        <v>1938</v>
      </c>
      <c r="J187" s="3" t="s">
        <v>11</v>
      </c>
      <c r="K187">
        <f>MATCH(A187,Database!$A$2:$A$948,0)</f>
        <v>753</v>
      </c>
      <c r="L187">
        <f>VLOOKUP(A187,Database!$A$2:$I$948,4,0)</f>
        <v>1938</v>
      </c>
      <c r="M187" t="b">
        <f t="shared" si="6"/>
        <v>1</v>
      </c>
      <c r="N187">
        <f>VLOOKUP(A187,Database!$A$2:$I$948,5,0)</f>
        <v>2</v>
      </c>
    </row>
    <row r="188" spans="1:14" hidden="1" x14ac:dyDescent="0.35">
      <c r="A188" s="3">
        <v>103410413</v>
      </c>
      <c r="B188" s="3" t="s">
        <v>4615</v>
      </c>
      <c r="C188" s="3" t="str">
        <f t="shared" si="4"/>
        <v>2022-07-07</v>
      </c>
      <c r="D188" s="3" t="s">
        <v>9</v>
      </c>
      <c r="E188" s="3" t="s">
        <v>5</v>
      </c>
      <c r="F188" s="3" t="s">
        <v>10</v>
      </c>
      <c r="G188" s="3" t="s">
        <v>4616</v>
      </c>
      <c r="H188" s="3" t="s">
        <v>4617</v>
      </c>
      <c r="I188" s="4">
        <v>1139.05</v>
      </c>
      <c r="J188" s="3" t="s">
        <v>11</v>
      </c>
      <c r="K188">
        <f>MATCH(A188,Database!$A$2:$A$948,0)</f>
        <v>761</v>
      </c>
      <c r="L188">
        <f>VLOOKUP(A188,Database!$A$2:$I$948,4,0)</f>
        <v>1139.05</v>
      </c>
      <c r="M188" t="b">
        <f t="shared" si="6"/>
        <v>1</v>
      </c>
      <c r="N188">
        <f>VLOOKUP(A188,Database!$A$2:$I$948,5,0)</f>
        <v>1</v>
      </c>
    </row>
    <row r="189" spans="1:14" hidden="1" x14ac:dyDescent="0.35">
      <c r="A189" s="3">
        <v>103410409</v>
      </c>
      <c r="B189" s="3" t="s">
        <v>4618</v>
      </c>
      <c r="C189" s="3" t="str">
        <f t="shared" si="4"/>
        <v>2022-07-07</v>
      </c>
      <c r="D189" s="3" t="s">
        <v>9</v>
      </c>
      <c r="E189" s="3" t="s">
        <v>5</v>
      </c>
      <c r="F189" s="3" t="s">
        <v>10</v>
      </c>
      <c r="G189" s="3" t="s">
        <v>4619</v>
      </c>
      <c r="H189" s="3" t="s">
        <v>4620</v>
      </c>
      <c r="I189" s="4">
        <v>2611.5500000000002</v>
      </c>
      <c r="J189" s="3" t="s">
        <v>11</v>
      </c>
      <c r="K189">
        <f>MATCH(A189,Database!$A$2:$A$948,0)</f>
        <v>760</v>
      </c>
      <c r="L189">
        <f>VLOOKUP(A189,Database!$A$2:$I$948,4,0)</f>
        <v>2611.5500000000002</v>
      </c>
      <c r="M189" t="b">
        <f t="shared" si="6"/>
        <v>1</v>
      </c>
      <c r="N189">
        <f>VLOOKUP(A189,Database!$A$2:$I$948,5,0)</f>
        <v>1</v>
      </c>
    </row>
    <row r="190" spans="1:14" hidden="1" x14ac:dyDescent="0.35">
      <c r="A190" s="3">
        <v>103410353</v>
      </c>
      <c r="B190" s="3" t="s">
        <v>4621</v>
      </c>
      <c r="C190" s="3" t="str">
        <f t="shared" si="4"/>
        <v>2022-07-07</v>
      </c>
      <c r="D190" s="3" t="s">
        <v>9</v>
      </c>
      <c r="E190" s="3" t="s">
        <v>5</v>
      </c>
      <c r="F190" s="3" t="s">
        <v>10</v>
      </c>
      <c r="G190" s="3" t="s">
        <v>4622</v>
      </c>
      <c r="H190" s="3" t="s">
        <v>4623</v>
      </c>
      <c r="I190" s="5">
        <v>4568</v>
      </c>
      <c r="J190" s="3" t="s">
        <v>11</v>
      </c>
      <c r="K190">
        <f>MATCH(A190,Database!$A$2:$A$948,0)</f>
        <v>752</v>
      </c>
      <c r="L190">
        <f>VLOOKUP(A190,Database!$A$2:$I$948,4,0)</f>
        <v>4568</v>
      </c>
      <c r="M190" t="b">
        <f t="shared" si="6"/>
        <v>1</v>
      </c>
      <c r="N190">
        <f>VLOOKUP(A190,Database!$A$2:$I$948,5,0)</f>
        <v>2</v>
      </c>
    </row>
    <row r="191" spans="1:14" hidden="1" x14ac:dyDescent="0.35">
      <c r="A191" s="3">
        <v>103410351</v>
      </c>
      <c r="B191" s="3" t="s">
        <v>4624</v>
      </c>
      <c r="C191" s="3" t="str">
        <f t="shared" si="4"/>
        <v>2022-07-07</v>
      </c>
      <c r="D191" s="3" t="s">
        <v>9</v>
      </c>
      <c r="E191" s="3" t="s">
        <v>5</v>
      </c>
      <c r="F191" s="3" t="s">
        <v>10</v>
      </c>
      <c r="G191" s="3" t="s">
        <v>4625</v>
      </c>
      <c r="H191" s="3" t="s">
        <v>4626</v>
      </c>
      <c r="I191" s="5">
        <v>2399</v>
      </c>
      <c r="J191" s="3" t="s">
        <v>11</v>
      </c>
      <c r="K191">
        <f>MATCH(A191,Database!$A$2:$A$948,0)</f>
        <v>751</v>
      </c>
      <c r="L191">
        <f>VLOOKUP(A191,Database!$A$2:$I$948,4,0)</f>
        <v>2399</v>
      </c>
      <c r="M191" t="b">
        <f t="shared" si="6"/>
        <v>1</v>
      </c>
      <c r="N191">
        <f>VLOOKUP(A191,Database!$A$2:$I$948,5,0)</f>
        <v>1</v>
      </c>
    </row>
    <row r="192" spans="1:14" hidden="1" x14ac:dyDescent="0.35">
      <c r="A192" s="3">
        <v>103410347</v>
      </c>
      <c r="B192" s="3" t="s">
        <v>4627</v>
      </c>
      <c r="C192" s="3" t="str">
        <f t="shared" si="4"/>
        <v>2022-07-07</v>
      </c>
      <c r="D192" s="3" t="s">
        <v>9</v>
      </c>
      <c r="E192" s="3" t="s">
        <v>5</v>
      </c>
      <c r="F192" s="3" t="s">
        <v>10</v>
      </c>
      <c r="G192" s="3" t="s">
        <v>4628</v>
      </c>
      <c r="H192" s="3" t="s">
        <v>4629</v>
      </c>
      <c r="I192" s="5">
        <v>1269</v>
      </c>
      <c r="J192" s="3" t="s">
        <v>11</v>
      </c>
      <c r="K192">
        <f>MATCH(A192,Database!$A$2:$A$948,0)</f>
        <v>750</v>
      </c>
      <c r="L192">
        <f>VLOOKUP(A192,Database!$A$2:$I$948,4,0)</f>
        <v>1269</v>
      </c>
      <c r="M192" t="b">
        <f t="shared" si="6"/>
        <v>1</v>
      </c>
      <c r="N192">
        <f>VLOOKUP(A192,Database!$A$2:$I$948,5,0)</f>
        <v>1</v>
      </c>
    </row>
    <row r="193" spans="1:14" hidden="1" x14ac:dyDescent="0.35">
      <c r="A193" s="3">
        <v>103410346</v>
      </c>
      <c r="B193" s="3" t="s">
        <v>4630</v>
      </c>
      <c r="C193" s="3" t="str">
        <f t="shared" si="4"/>
        <v>2022-07-07</v>
      </c>
      <c r="D193" s="3" t="s">
        <v>9</v>
      </c>
      <c r="E193" s="3" t="s">
        <v>5</v>
      </c>
      <c r="F193" s="3" t="s">
        <v>10</v>
      </c>
      <c r="G193" s="3" t="s">
        <v>4631</v>
      </c>
      <c r="H193" s="3" t="s">
        <v>4632</v>
      </c>
      <c r="I193" s="4">
        <v>1538.05</v>
      </c>
      <c r="J193" s="3" t="s">
        <v>11</v>
      </c>
      <c r="K193">
        <f>MATCH(A193,Database!$A$2:$A$948,0)</f>
        <v>749</v>
      </c>
      <c r="L193">
        <f>VLOOKUP(A193,Database!$A$2:$I$948,4,0)</f>
        <v>1538.05</v>
      </c>
      <c r="M193" t="b">
        <f t="shared" si="6"/>
        <v>1</v>
      </c>
      <c r="N193">
        <f>VLOOKUP(A193,Database!$A$2:$I$948,5,0)</f>
        <v>1</v>
      </c>
    </row>
    <row r="194" spans="1:14" hidden="1" x14ac:dyDescent="0.35">
      <c r="A194" s="3">
        <v>103410344</v>
      </c>
      <c r="B194" s="3" t="s">
        <v>4633</v>
      </c>
      <c r="C194" s="3" t="str">
        <f t="shared" si="4"/>
        <v>2022-07-07</v>
      </c>
      <c r="D194" s="3" t="s">
        <v>9</v>
      </c>
      <c r="E194" s="3" t="s">
        <v>5</v>
      </c>
      <c r="F194" s="3" t="s">
        <v>10</v>
      </c>
      <c r="G194" s="3" t="s">
        <v>4634</v>
      </c>
      <c r="H194" s="3" t="s">
        <v>4635</v>
      </c>
      <c r="I194" s="5">
        <v>1499</v>
      </c>
      <c r="J194" s="3" t="s">
        <v>11</v>
      </c>
      <c r="K194">
        <f>MATCH(A194,Database!$A$2:$A$948,0)</f>
        <v>748</v>
      </c>
      <c r="L194">
        <f>VLOOKUP(A194,Database!$A$2:$I$948,4,0)</f>
        <v>1499</v>
      </c>
      <c r="M194" t="b">
        <f t="shared" si="6"/>
        <v>1</v>
      </c>
      <c r="N194">
        <f>VLOOKUP(A194,Database!$A$2:$I$948,5,0)</f>
        <v>1</v>
      </c>
    </row>
    <row r="195" spans="1:14" hidden="1" x14ac:dyDescent="0.35">
      <c r="A195" s="3">
        <v>103410395</v>
      </c>
      <c r="B195" s="3" t="s">
        <v>4636</v>
      </c>
      <c r="C195" s="3" t="str">
        <f t="shared" ref="C195:C258" si="7">LEFT(B195,FIND("T",B195)-1)</f>
        <v>2022-07-07</v>
      </c>
      <c r="D195" s="3" t="s">
        <v>9</v>
      </c>
      <c r="E195" s="3" t="s">
        <v>5</v>
      </c>
      <c r="F195" s="3" t="s">
        <v>10</v>
      </c>
      <c r="G195" s="3" t="s">
        <v>4637</v>
      </c>
      <c r="H195" s="3" t="s">
        <v>4638</v>
      </c>
      <c r="I195" s="4">
        <v>1850.6</v>
      </c>
      <c r="J195" s="3" t="s">
        <v>11</v>
      </c>
      <c r="K195">
        <f>MATCH(A195,Database!$A$2:$A$948,0)</f>
        <v>759</v>
      </c>
      <c r="L195">
        <f>VLOOKUP(A195,Database!$A$2:$I$948,4,0)</f>
        <v>1850.6</v>
      </c>
      <c r="M195" t="b">
        <f t="shared" si="6"/>
        <v>1</v>
      </c>
      <c r="N195">
        <f>VLOOKUP(A195,Database!$A$2:$I$948,5,0)</f>
        <v>2</v>
      </c>
    </row>
    <row r="196" spans="1:14" hidden="1" x14ac:dyDescent="0.35">
      <c r="A196" s="3">
        <v>103410390</v>
      </c>
      <c r="B196" s="3" t="s">
        <v>4639</v>
      </c>
      <c r="C196" s="3" t="str">
        <f t="shared" si="7"/>
        <v>2022-07-07</v>
      </c>
      <c r="D196" s="3" t="s">
        <v>9</v>
      </c>
      <c r="E196" s="3" t="s">
        <v>5</v>
      </c>
      <c r="F196" s="3" t="s">
        <v>10</v>
      </c>
      <c r="G196" s="3" t="s">
        <v>4640</v>
      </c>
      <c r="H196" s="3" t="s">
        <v>4641</v>
      </c>
      <c r="I196" s="4">
        <v>3039.05</v>
      </c>
      <c r="J196" s="3" t="s">
        <v>11</v>
      </c>
      <c r="K196">
        <f>MATCH(A196,Database!$A$2:$A$948,0)</f>
        <v>758</v>
      </c>
      <c r="L196">
        <f>VLOOKUP(A196,Database!$A$2:$I$948,4,0)</f>
        <v>3039.05</v>
      </c>
      <c r="M196" t="b">
        <f t="shared" si="6"/>
        <v>1</v>
      </c>
      <c r="N196">
        <f>VLOOKUP(A196,Database!$A$2:$I$948,5,0)</f>
        <v>1</v>
      </c>
    </row>
    <row r="197" spans="1:14" hidden="1" x14ac:dyDescent="0.35">
      <c r="A197" s="3">
        <v>103410388</v>
      </c>
      <c r="B197" s="3" t="s">
        <v>4642</v>
      </c>
      <c r="C197" s="3" t="str">
        <f t="shared" si="7"/>
        <v>2022-07-07</v>
      </c>
      <c r="D197" s="3" t="s">
        <v>9</v>
      </c>
      <c r="E197" s="3" t="s">
        <v>5</v>
      </c>
      <c r="F197" s="3" t="s">
        <v>10</v>
      </c>
      <c r="G197" s="3" t="s">
        <v>1791</v>
      </c>
      <c r="H197" s="3" t="s">
        <v>1792</v>
      </c>
      <c r="I197" s="4">
        <v>2659.05</v>
      </c>
      <c r="J197" s="3" t="s">
        <v>11</v>
      </c>
      <c r="K197">
        <f>MATCH(A197,Database!$A$2:$A$948,0)</f>
        <v>757</v>
      </c>
      <c r="L197">
        <f>VLOOKUP(A197,Database!$A$2:$I$948,4,0)</f>
        <v>2659.05</v>
      </c>
      <c r="M197" t="b">
        <f t="shared" si="6"/>
        <v>1</v>
      </c>
      <c r="N197">
        <f>VLOOKUP(A197,Database!$A$2:$I$948,5,0)</f>
        <v>1</v>
      </c>
    </row>
    <row r="198" spans="1:14" hidden="1" x14ac:dyDescent="0.35">
      <c r="A198" s="3">
        <v>103410342</v>
      </c>
      <c r="B198" s="3" t="s">
        <v>4643</v>
      </c>
      <c r="C198" s="3" t="str">
        <f t="shared" si="7"/>
        <v>2022-07-07</v>
      </c>
      <c r="D198" s="3" t="s">
        <v>9</v>
      </c>
      <c r="E198" s="3" t="s">
        <v>5</v>
      </c>
      <c r="F198" s="3" t="s">
        <v>10</v>
      </c>
      <c r="G198" s="3" t="s">
        <v>4644</v>
      </c>
      <c r="H198" s="3" t="s">
        <v>4645</v>
      </c>
      <c r="I198" s="5">
        <v>1999</v>
      </c>
      <c r="J198" s="3" t="s">
        <v>11</v>
      </c>
      <c r="K198">
        <f>MATCH(A198,Database!$A$2:$A$948,0)</f>
        <v>747</v>
      </c>
      <c r="L198">
        <f>VLOOKUP(A198,Database!$A$2:$I$948,4,0)</f>
        <v>1999</v>
      </c>
      <c r="M198" t="b">
        <f t="shared" si="6"/>
        <v>1</v>
      </c>
      <c r="N198">
        <f>VLOOKUP(A198,Database!$A$2:$I$948,5,0)</f>
        <v>1</v>
      </c>
    </row>
    <row r="199" spans="1:14" hidden="1" x14ac:dyDescent="0.35">
      <c r="A199" s="3">
        <v>103410384</v>
      </c>
      <c r="B199" s="3" t="s">
        <v>4646</v>
      </c>
      <c r="C199" s="3" t="str">
        <f t="shared" si="7"/>
        <v>2022-07-07</v>
      </c>
      <c r="D199" s="3" t="s">
        <v>9</v>
      </c>
      <c r="E199" s="3" t="s">
        <v>5</v>
      </c>
      <c r="F199" s="3" t="s">
        <v>10</v>
      </c>
      <c r="G199" s="3" t="s">
        <v>4283</v>
      </c>
      <c r="H199" s="3" t="s">
        <v>4284</v>
      </c>
      <c r="I199" s="5">
        <v>3108</v>
      </c>
      <c r="J199" s="3" t="s">
        <v>11</v>
      </c>
      <c r="K199">
        <f>MATCH(A199,Database!$A$2:$A$948,0)</f>
        <v>756</v>
      </c>
      <c r="L199">
        <f>VLOOKUP(A199,Database!$A$2:$I$948,4,0)</f>
        <v>3108</v>
      </c>
      <c r="M199" t="b">
        <f t="shared" si="6"/>
        <v>1</v>
      </c>
      <c r="N199">
        <f>VLOOKUP(A199,Database!$A$2:$I$948,5,0)</f>
        <v>2</v>
      </c>
    </row>
    <row r="200" spans="1:14" hidden="1" x14ac:dyDescent="0.35">
      <c r="A200" s="3">
        <v>103410383</v>
      </c>
      <c r="B200" s="3" t="s">
        <v>4647</v>
      </c>
      <c r="C200" s="3" t="str">
        <f t="shared" si="7"/>
        <v>2022-07-07</v>
      </c>
      <c r="D200" s="3" t="s">
        <v>9</v>
      </c>
      <c r="E200" s="3" t="s">
        <v>5</v>
      </c>
      <c r="F200" s="3" t="s">
        <v>10</v>
      </c>
      <c r="G200" s="3" t="s">
        <v>879</v>
      </c>
      <c r="H200" s="3" t="s">
        <v>880</v>
      </c>
      <c r="I200" s="4">
        <v>4511.6000000000004</v>
      </c>
      <c r="J200" s="3" t="s">
        <v>11</v>
      </c>
      <c r="K200">
        <f>MATCH(A200,Database!$A$2:$A$948,0)</f>
        <v>755</v>
      </c>
      <c r="L200">
        <f>VLOOKUP(A200,Database!$A$2:$I$948,4,0)</f>
        <v>4511.6000000000004</v>
      </c>
      <c r="M200" t="b">
        <f t="shared" si="6"/>
        <v>1</v>
      </c>
      <c r="N200">
        <f>VLOOKUP(A200,Database!$A$2:$I$948,5,0)</f>
        <v>1</v>
      </c>
    </row>
    <row r="201" spans="1:14" hidden="1" x14ac:dyDescent="0.35">
      <c r="A201" s="3">
        <v>103410336</v>
      </c>
      <c r="B201" s="3" t="s">
        <v>4648</v>
      </c>
      <c r="C201" s="3" t="str">
        <f t="shared" si="7"/>
        <v>2022-07-07</v>
      </c>
      <c r="D201" s="3" t="s">
        <v>9</v>
      </c>
      <c r="E201" s="3" t="s">
        <v>5</v>
      </c>
      <c r="F201" s="3" t="s">
        <v>10</v>
      </c>
      <c r="G201" s="3" t="s">
        <v>4649</v>
      </c>
      <c r="H201" s="3" t="s">
        <v>4650</v>
      </c>
      <c r="I201" s="4">
        <v>1879.29</v>
      </c>
      <c r="J201" s="3" t="s">
        <v>11</v>
      </c>
      <c r="K201">
        <f>MATCH(A201,Database!$A$2:$A$948,0)</f>
        <v>746</v>
      </c>
      <c r="L201">
        <f>VLOOKUP(A201,Database!$A$2:$I$948,4,0)</f>
        <v>1879.29</v>
      </c>
      <c r="M201" t="b">
        <f t="shared" ref="M201:M264" si="8">I201=L201</f>
        <v>1</v>
      </c>
      <c r="N201">
        <f>VLOOKUP(A201,Database!$A$2:$I$948,5,0)</f>
        <v>2</v>
      </c>
    </row>
    <row r="202" spans="1:14" hidden="1" x14ac:dyDescent="0.35">
      <c r="A202" s="3">
        <v>103410332</v>
      </c>
      <c r="B202" s="3" t="s">
        <v>4651</v>
      </c>
      <c r="C202" s="3" t="str">
        <f t="shared" si="7"/>
        <v>2022-07-07</v>
      </c>
      <c r="D202" s="3" t="s">
        <v>9</v>
      </c>
      <c r="E202" s="3" t="s">
        <v>5</v>
      </c>
      <c r="F202" s="3" t="s">
        <v>10</v>
      </c>
      <c r="G202" s="3" t="s">
        <v>4652</v>
      </c>
      <c r="H202" s="3" t="s">
        <v>4653</v>
      </c>
      <c r="I202" s="4">
        <v>1578.47</v>
      </c>
      <c r="J202" s="3" t="s">
        <v>11</v>
      </c>
      <c r="K202">
        <f>MATCH(A202,Database!$A$2:$A$948,0)</f>
        <v>745</v>
      </c>
      <c r="L202">
        <f>VLOOKUP(A202,Database!$A$2:$I$948,4,0)</f>
        <v>1578.47</v>
      </c>
      <c r="M202" t="b">
        <f t="shared" si="8"/>
        <v>1</v>
      </c>
      <c r="N202">
        <f>VLOOKUP(A202,Database!$A$2:$I$948,5,0)</f>
        <v>1</v>
      </c>
    </row>
    <row r="203" spans="1:14" hidden="1" x14ac:dyDescent="0.35">
      <c r="A203" s="3">
        <v>103410370</v>
      </c>
      <c r="B203" s="3" t="s">
        <v>4654</v>
      </c>
      <c r="C203" s="3" t="str">
        <f t="shared" si="7"/>
        <v>2022-07-07</v>
      </c>
      <c r="D203" s="3" t="s">
        <v>9</v>
      </c>
      <c r="E203" s="3" t="s">
        <v>5</v>
      </c>
      <c r="F203" s="3" t="s">
        <v>12</v>
      </c>
      <c r="G203" s="3" t="s">
        <v>4655</v>
      </c>
      <c r="H203" s="3" t="s">
        <v>4656</v>
      </c>
      <c r="I203" s="4">
        <v>1234.05</v>
      </c>
      <c r="J203" s="3" t="s">
        <v>11</v>
      </c>
      <c r="K203">
        <f>MATCH(A203,Database!$A$2:$A$948,0)</f>
        <v>754</v>
      </c>
      <c r="L203">
        <f>VLOOKUP(A203,Database!$A$2:$I$948,4,0)</f>
        <v>1234.05</v>
      </c>
      <c r="M203" t="b">
        <f t="shared" si="8"/>
        <v>1</v>
      </c>
      <c r="N203">
        <f>VLOOKUP(A203,Database!$A$2:$I$948,5,0)</f>
        <v>1</v>
      </c>
    </row>
    <row r="204" spans="1:14" hidden="1" x14ac:dyDescent="0.35">
      <c r="A204" s="3">
        <v>103410328</v>
      </c>
      <c r="B204" s="3" t="s">
        <v>4657</v>
      </c>
      <c r="C204" s="3" t="str">
        <f t="shared" si="7"/>
        <v>2022-07-07</v>
      </c>
      <c r="D204" s="3" t="s">
        <v>9</v>
      </c>
      <c r="E204" s="3" t="s">
        <v>5</v>
      </c>
      <c r="F204" s="3" t="s">
        <v>10</v>
      </c>
      <c r="G204" s="3" t="s">
        <v>4658</v>
      </c>
      <c r="H204" s="3" t="s">
        <v>4659</v>
      </c>
      <c r="I204" s="4">
        <v>1632.1</v>
      </c>
      <c r="J204" s="3" t="s">
        <v>11</v>
      </c>
      <c r="K204">
        <f>MATCH(A204,Database!$A$2:$A$948,0)</f>
        <v>744</v>
      </c>
      <c r="L204">
        <f>VLOOKUP(A204,Database!$A$2:$I$948,4,0)</f>
        <v>1632.1</v>
      </c>
      <c r="M204" t="b">
        <f t="shared" si="8"/>
        <v>1</v>
      </c>
      <c r="N204">
        <f>VLOOKUP(A204,Database!$A$2:$I$948,5,0)</f>
        <v>2</v>
      </c>
    </row>
    <row r="205" spans="1:14" hidden="1" x14ac:dyDescent="0.35">
      <c r="A205" s="3">
        <v>103410325</v>
      </c>
      <c r="B205" s="3" t="s">
        <v>4660</v>
      </c>
      <c r="C205" s="3" t="str">
        <f t="shared" si="7"/>
        <v>2022-07-07</v>
      </c>
      <c r="D205" s="3" t="s">
        <v>9</v>
      </c>
      <c r="E205" s="3" t="s">
        <v>5</v>
      </c>
      <c r="F205" s="3" t="s">
        <v>10</v>
      </c>
      <c r="G205" s="3" t="s">
        <v>4333</v>
      </c>
      <c r="H205" s="3" t="s">
        <v>4334</v>
      </c>
      <c r="I205" s="4">
        <v>2165.1</v>
      </c>
      <c r="J205" s="3" t="s">
        <v>11</v>
      </c>
      <c r="K205">
        <f>MATCH(A205,Database!$A$2:$A$948,0)</f>
        <v>743</v>
      </c>
      <c r="L205">
        <f>VLOOKUP(A205,Database!$A$2:$I$948,4,0)</f>
        <v>2165.1</v>
      </c>
      <c r="M205" t="b">
        <f t="shared" si="8"/>
        <v>1</v>
      </c>
      <c r="N205">
        <f>VLOOKUP(A205,Database!$A$2:$I$948,5,0)</f>
        <v>1</v>
      </c>
    </row>
    <row r="206" spans="1:14" hidden="1" x14ac:dyDescent="0.35">
      <c r="A206" s="3">
        <v>103410324</v>
      </c>
      <c r="B206" s="3" t="s">
        <v>4661</v>
      </c>
      <c r="C206" s="3" t="str">
        <f t="shared" si="7"/>
        <v>2022-07-07</v>
      </c>
      <c r="D206" s="3" t="s">
        <v>9</v>
      </c>
      <c r="E206" s="3" t="s">
        <v>5</v>
      </c>
      <c r="F206" s="3" t="s">
        <v>10</v>
      </c>
      <c r="G206" s="3" t="s">
        <v>4662</v>
      </c>
      <c r="H206" s="3" t="s">
        <v>4663</v>
      </c>
      <c r="I206" s="4">
        <v>2849.05</v>
      </c>
      <c r="J206" s="3" t="s">
        <v>11</v>
      </c>
      <c r="K206">
        <f>MATCH(A206,Database!$A$2:$A$948,0)</f>
        <v>742</v>
      </c>
      <c r="L206">
        <f>VLOOKUP(A206,Database!$A$2:$I$948,4,0)</f>
        <v>2849.05</v>
      </c>
      <c r="M206" t="b">
        <f t="shared" si="8"/>
        <v>1</v>
      </c>
      <c r="N206">
        <f>VLOOKUP(A206,Database!$A$2:$I$948,5,0)</f>
        <v>1</v>
      </c>
    </row>
    <row r="207" spans="1:14" hidden="1" x14ac:dyDescent="0.35">
      <c r="A207" s="3">
        <v>103410316</v>
      </c>
      <c r="B207" s="3" t="s">
        <v>4664</v>
      </c>
      <c r="C207" s="3" t="str">
        <f t="shared" si="7"/>
        <v>2022-07-07</v>
      </c>
      <c r="D207" s="3" t="s">
        <v>9</v>
      </c>
      <c r="E207" s="3" t="s">
        <v>5</v>
      </c>
      <c r="F207" s="3" t="s">
        <v>10</v>
      </c>
      <c r="G207" s="3" t="s">
        <v>4665</v>
      </c>
      <c r="H207" s="3" t="s">
        <v>4666</v>
      </c>
      <c r="I207" s="5">
        <v>5898</v>
      </c>
      <c r="J207" s="3" t="s">
        <v>11</v>
      </c>
      <c r="K207">
        <f>MATCH(A207,Database!$A$2:$A$948,0)</f>
        <v>741</v>
      </c>
      <c r="L207">
        <f>VLOOKUP(A207,Database!$A$2:$I$948,4,0)</f>
        <v>5898</v>
      </c>
      <c r="M207" t="b">
        <f t="shared" si="8"/>
        <v>1</v>
      </c>
      <c r="N207">
        <f>VLOOKUP(A207,Database!$A$2:$I$948,5,0)</f>
        <v>2</v>
      </c>
    </row>
    <row r="208" spans="1:14" hidden="1" x14ac:dyDescent="0.35">
      <c r="A208" s="3">
        <v>103410254</v>
      </c>
      <c r="B208" s="3" t="s">
        <v>4667</v>
      </c>
      <c r="C208" s="3" t="str">
        <f t="shared" si="7"/>
        <v>2022-07-07</v>
      </c>
      <c r="D208" s="3" t="s">
        <v>9</v>
      </c>
      <c r="E208" s="3" t="s">
        <v>5</v>
      </c>
      <c r="F208" s="3" t="s">
        <v>10</v>
      </c>
      <c r="G208" s="3" t="s">
        <v>4668</v>
      </c>
      <c r="H208" s="3" t="s">
        <v>4669</v>
      </c>
      <c r="I208" s="5">
        <v>5599</v>
      </c>
      <c r="J208" s="3" t="s">
        <v>11</v>
      </c>
      <c r="K208">
        <f>MATCH(A208,Database!$A$2:$A$948,0)</f>
        <v>732</v>
      </c>
      <c r="L208">
        <f>VLOOKUP(A208,Database!$A$2:$I$948,4,0)</f>
        <v>5599</v>
      </c>
      <c r="M208" t="b">
        <f t="shared" si="8"/>
        <v>1</v>
      </c>
      <c r="N208">
        <f>VLOOKUP(A208,Database!$A$2:$I$948,5,0)</f>
        <v>1</v>
      </c>
    </row>
    <row r="209" spans="1:14" hidden="1" x14ac:dyDescent="0.35">
      <c r="A209" s="3">
        <v>103410250</v>
      </c>
      <c r="B209" s="3" t="s">
        <v>4670</v>
      </c>
      <c r="C209" s="3" t="str">
        <f t="shared" si="7"/>
        <v>2022-07-07</v>
      </c>
      <c r="D209" s="3" t="s">
        <v>9</v>
      </c>
      <c r="E209" s="3" t="s">
        <v>5</v>
      </c>
      <c r="F209" s="3" t="s">
        <v>10</v>
      </c>
      <c r="G209" s="3" t="s">
        <v>4671</v>
      </c>
      <c r="H209" s="3" t="s">
        <v>4672</v>
      </c>
      <c r="I209" s="5">
        <v>3149</v>
      </c>
      <c r="J209" s="3" t="s">
        <v>11</v>
      </c>
      <c r="K209">
        <f>MATCH(A209,Database!$A$2:$A$948,0)</f>
        <v>731</v>
      </c>
      <c r="L209">
        <f>VLOOKUP(A209,Database!$A$2:$I$948,4,0)</f>
        <v>3149</v>
      </c>
      <c r="M209" t="b">
        <f t="shared" si="8"/>
        <v>1</v>
      </c>
      <c r="N209">
        <f>VLOOKUP(A209,Database!$A$2:$I$948,5,0)</f>
        <v>1</v>
      </c>
    </row>
    <row r="210" spans="1:14" hidden="1" x14ac:dyDescent="0.35">
      <c r="A210" s="3">
        <v>103410312</v>
      </c>
      <c r="B210" s="3" t="s">
        <v>4673</v>
      </c>
      <c r="C210" s="3" t="str">
        <f t="shared" si="7"/>
        <v>2022-07-07</v>
      </c>
      <c r="D210" s="3" t="s">
        <v>9</v>
      </c>
      <c r="E210" s="3" t="s">
        <v>5</v>
      </c>
      <c r="F210" s="3" t="s">
        <v>10</v>
      </c>
      <c r="G210" s="3" t="s">
        <v>4674</v>
      </c>
      <c r="H210" s="3" t="s">
        <v>4675</v>
      </c>
      <c r="I210" s="4">
        <v>3212.1</v>
      </c>
      <c r="J210" s="3" t="s">
        <v>11</v>
      </c>
      <c r="K210">
        <f>MATCH(A210,Database!$A$2:$A$948,0)</f>
        <v>740</v>
      </c>
      <c r="L210">
        <f>VLOOKUP(A210,Database!$A$2:$I$948,4,0)</f>
        <v>3212.1</v>
      </c>
      <c r="M210" t="b">
        <f t="shared" si="8"/>
        <v>1</v>
      </c>
      <c r="N210">
        <f>VLOOKUP(A210,Database!$A$2:$I$948,5,0)</f>
        <v>1</v>
      </c>
    </row>
    <row r="211" spans="1:14" hidden="1" x14ac:dyDescent="0.35">
      <c r="A211" s="3">
        <v>103410311</v>
      </c>
      <c r="B211" s="3" t="s">
        <v>4676</v>
      </c>
      <c r="C211" s="3" t="str">
        <f t="shared" si="7"/>
        <v>2022-07-07</v>
      </c>
      <c r="D211" s="3" t="s">
        <v>9</v>
      </c>
      <c r="E211" s="3" t="s">
        <v>5</v>
      </c>
      <c r="F211" s="3" t="s">
        <v>10</v>
      </c>
      <c r="G211" s="3" t="s">
        <v>4677</v>
      </c>
      <c r="H211" s="3" t="s">
        <v>4678</v>
      </c>
      <c r="I211" s="3">
        <v>549</v>
      </c>
      <c r="J211" s="3" t="s">
        <v>11</v>
      </c>
      <c r="K211">
        <f>MATCH(A211,Database!$A$2:$A$948,0)</f>
        <v>739</v>
      </c>
      <c r="L211">
        <f>VLOOKUP(A211,Database!$A$2:$I$948,4,0)</f>
        <v>549</v>
      </c>
      <c r="M211" t="b">
        <f t="shared" si="8"/>
        <v>1</v>
      </c>
      <c r="N211">
        <f>VLOOKUP(A211,Database!$A$2:$I$948,5,0)</f>
        <v>1</v>
      </c>
    </row>
    <row r="212" spans="1:14" hidden="1" x14ac:dyDescent="0.35">
      <c r="A212" s="3">
        <v>103410243</v>
      </c>
      <c r="B212" s="3" t="s">
        <v>4679</v>
      </c>
      <c r="C212" s="3" t="str">
        <f t="shared" si="7"/>
        <v>2022-07-07</v>
      </c>
      <c r="D212" s="3" t="s">
        <v>9</v>
      </c>
      <c r="E212" s="3" t="s">
        <v>5</v>
      </c>
      <c r="F212" s="3" t="s">
        <v>10</v>
      </c>
      <c r="G212" s="3" t="s">
        <v>4680</v>
      </c>
      <c r="H212" s="3" t="s">
        <v>4681</v>
      </c>
      <c r="I212" s="5">
        <v>4799</v>
      </c>
      <c r="J212" s="3" t="s">
        <v>11</v>
      </c>
      <c r="K212">
        <f>MATCH(A212,Database!$A$2:$A$948,0)</f>
        <v>730</v>
      </c>
      <c r="L212">
        <f>VLOOKUP(A212,Database!$A$2:$I$948,4,0)</f>
        <v>4799</v>
      </c>
      <c r="M212" t="b">
        <f t="shared" si="8"/>
        <v>1</v>
      </c>
      <c r="N212">
        <f>VLOOKUP(A212,Database!$A$2:$I$948,5,0)</f>
        <v>1</v>
      </c>
    </row>
    <row r="213" spans="1:14" x14ac:dyDescent="0.35">
      <c r="A213" s="3">
        <v>103410303</v>
      </c>
      <c r="B213" s="3" t="s">
        <v>4682</v>
      </c>
      <c r="C213" s="3" t="str">
        <f t="shared" si="7"/>
        <v>2022-07-07</v>
      </c>
      <c r="D213" s="3" t="s">
        <v>9</v>
      </c>
      <c r="E213" s="3" t="s">
        <v>5</v>
      </c>
      <c r="F213" s="3" t="s">
        <v>10</v>
      </c>
      <c r="G213" s="3" t="s">
        <v>4683</v>
      </c>
      <c r="H213" s="3" t="s">
        <v>4684</v>
      </c>
      <c r="I213" s="5">
        <v>2099</v>
      </c>
      <c r="J213" s="3" t="s">
        <v>11</v>
      </c>
      <c r="K213" t="e">
        <f>MATCH(A213,Database!$A$2:$A$948,0)</f>
        <v>#N/A</v>
      </c>
      <c r="L213" t="e">
        <f>VLOOKUP(A213,Database!$A$2:$I$948,4,0)</f>
        <v>#N/A</v>
      </c>
      <c r="M213" t="e">
        <f t="shared" si="8"/>
        <v>#N/A</v>
      </c>
      <c r="N213" t="e">
        <f>VLOOKUP(A213,Database!$A$2:$I$948,5,0)</f>
        <v>#N/A</v>
      </c>
    </row>
    <row r="214" spans="1:14" hidden="1" x14ac:dyDescent="0.35">
      <c r="A214" s="3">
        <v>103410300</v>
      </c>
      <c r="B214" s="3" t="s">
        <v>4685</v>
      </c>
      <c r="C214" s="3" t="str">
        <f t="shared" si="7"/>
        <v>2022-07-07</v>
      </c>
      <c r="D214" s="3" t="s">
        <v>9</v>
      </c>
      <c r="E214" s="3" t="s">
        <v>5</v>
      </c>
      <c r="F214" s="3" t="s">
        <v>10</v>
      </c>
      <c r="G214" s="3" t="s">
        <v>854</v>
      </c>
      <c r="H214" s="3" t="s">
        <v>855</v>
      </c>
      <c r="I214" s="3">
        <v>978</v>
      </c>
      <c r="J214" s="3" t="s">
        <v>11</v>
      </c>
      <c r="K214">
        <f>MATCH(A214,Database!$A$2:$A$948,0)</f>
        <v>738</v>
      </c>
      <c r="L214">
        <f>VLOOKUP(A214,Database!$A$2:$I$948,4,0)</f>
        <v>978</v>
      </c>
      <c r="M214" t="b">
        <f t="shared" si="8"/>
        <v>1</v>
      </c>
      <c r="N214">
        <f>VLOOKUP(A214,Database!$A$2:$I$948,5,0)</f>
        <v>2</v>
      </c>
    </row>
    <row r="215" spans="1:14" hidden="1" x14ac:dyDescent="0.35">
      <c r="A215" s="3">
        <v>103410237</v>
      </c>
      <c r="B215" s="3" t="s">
        <v>4686</v>
      </c>
      <c r="C215" s="3" t="str">
        <f t="shared" si="7"/>
        <v>2022-07-07</v>
      </c>
      <c r="D215" s="3" t="s">
        <v>9</v>
      </c>
      <c r="E215" s="3" t="s">
        <v>5</v>
      </c>
      <c r="F215" s="3" t="s">
        <v>10</v>
      </c>
      <c r="G215" s="3" t="s">
        <v>3312</v>
      </c>
      <c r="H215" s="3" t="s">
        <v>4687</v>
      </c>
      <c r="I215" s="5">
        <v>2498</v>
      </c>
      <c r="J215" s="3" t="s">
        <v>11</v>
      </c>
      <c r="K215">
        <f>MATCH(A215,Database!$A$2:$A$948,0)</f>
        <v>729</v>
      </c>
      <c r="L215">
        <f>VLOOKUP(A215,Database!$A$2:$I$948,4,0)</f>
        <v>2498</v>
      </c>
      <c r="M215" t="b">
        <f t="shared" si="8"/>
        <v>1</v>
      </c>
      <c r="N215">
        <f>VLOOKUP(A215,Database!$A$2:$I$948,5,0)</f>
        <v>2</v>
      </c>
    </row>
    <row r="216" spans="1:14" hidden="1" x14ac:dyDescent="0.35">
      <c r="A216" s="3">
        <v>103410236</v>
      </c>
      <c r="B216" s="3" t="s">
        <v>4688</v>
      </c>
      <c r="C216" s="3" t="str">
        <f t="shared" si="7"/>
        <v>2022-07-07</v>
      </c>
      <c r="D216" s="3" t="s">
        <v>9</v>
      </c>
      <c r="E216" s="3" t="s">
        <v>5</v>
      </c>
      <c r="F216" s="3" t="s">
        <v>10</v>
      </c>
      <c r="G216" s="3" t="s">
        <v>4689</v>
      </c>
      <c r="H216" s="3" t="s">
        <v>4690</v>
      </c>
      <c r="I216" s="3">
        <v>315.49</v>
      </c>
      <c r="J216" s="3" t="s">
        <v>11</v>
      </c>
      <c r="K216">
        <f>MATCH(A216,Database!$A$2:$A$948,0)</f>
        <v>728</v>
      </c>
      <c r="L216">
        <f>VLOOKUP(A216,Database!$A$2:$I$948,4,0)</f>
        <v>315.49</v>
      </c>
      <c r="M216" t="b">
        <f t="shared" si="8"/>
        <v>1</v>
      </c>
      <c r="N216">
        <f>VLOOKUP(A216,Database!$A$2:$I$948,5,0)</f>
        <v>1</v>
      </c>
    </row>
    <row r="217" spans="1:14" hidden="1" x14ac:dyDescent="0.35">
      <c r="A217" s="3">
        <v>103410293</v>
      </c>
      <c r="B217" s="3" t="s">
        <v>4691</v>
      </c>
      <c r="C217" s="3" t="str">
        <f t="shared" si="7"/>
        <v>2022-07-07</v>
      </c>
      <c r="D217" s="3" t="s">
        <v>9</v>
      </c>
      <c r="E217" s="3" t="s">
        <v>5</v>
      </c>
      <c r="F217" s="3" t="s">
        <v>10</v>
      </c>
      <c r="G217" s="3" t="s">
        <v>4674</v>
      </c>
      <c r="H217" s="3" t="s">
        <v>4675</v>
      </c>
      <c r="I217" s="4">
        <v>3212.1</v>
      </c>
      <c r="J217" s="3" t="s">
        <v>11</v>
      </c>
      <c r="K217">
        <f>MATCH(A217,Database!$A$2:$A$948,0)</f>
        <v>737</v>
      </c>
      <c r="L217">
        <f>VLOOKUP(A217,Database!$A$2:$I$948,4,0)</f>
        <v>3212.1</v>
      </c>
      <c r="M217" t="b">
        <f t="shared" si="8"/>
        <v>1</v>
      </c>
      <c r="N217">
        <f>VLOOKUP(A217,Database!$A$2:$I$948,5,0)</f>
        <v>1</v>
      </c>
    </row>
    <row r="218" spans="1:14" hidden="1" x14ac:dyDescent="0.35">
      <c r="A218" s="3">
        <v>103410229</v>
      </c>
      <c r="B218" s="3" t="s">
        <v>4692</v>
      </c>
      <c r="C218" s="3" t="str">
        <f t="shared" si="7"/>
        <v>2022-07-07</v>
      </c>
      <c r="D218" s="3" t="s">
        <v>9</v>
      </c>
      <c r="E218" s="3" t="s">
        <v>5</v>
      </c>
      <c r="F218" s="3" t="s">
        <v>10</v>
      </c>
      <c r="G218" s="3" t="s">
        <v>4693</v>
      </c>
      <c r="H218" s="3" t="s">
        <v>4694</v>
      </c>
      <c r="I218" s="4">
        <v>1918.05</v>
      </c>
      <c r="J218" s="3" t="s">
        <v>11</v>
      </c>
      <c r="K218">
        <f>MATCH(A218,Database!$A$2:$A$948,0)</f>
        <v>727</v>
      </c>
      <c r="L218">
        <f>VLOOKUP(A218,Database!$A$2:$I$948,4,0)</f>
        <v>1918.05</v>
      </c>
      <c r="M218" t="b">
        <f t="shared" si="8"/>
        <v>1</v>
      </c>
      <c r="N218">
        <f>VLOOKUP(A218,Database!$A$2:$I$948,5,0)</f>
        <v>1</v>
      </c>
    </row>
    <row r="219" spans="1:14" hidden="1" x14ac:dyDescent="0.35">
      <c r="A219" s="3">
        <v>103410228</v>
      </c>
      <c r="B219" s="3" t="s">
        <v>4695</v>
      </c>
      <c r="C219" s="3" t="str">
        <f t="shared" si="7"/>
        <v>2022-07-07</v>
      </c>
      <c r="D219" s="3" t="s">
        <v>9</v>
      </c>
      <c r="E219" s="3" t="s">
        <v>5</v>
      </c>
      <c r="F219" s="3" t="s">
        <v>10</v>
      </c>
      <c r="G219" s="3" t="s">
        <v>2500</v>
      </c>
      <c r="H219" s="3" t="s">
        <v>2501</v>
      </c>
      <c r="I219" s="5">
        <v>2919</v>
      </c>
      <c r="J219" s="3" t="s">
        <v>11</v>
      </c>
      <c r="K219">
        <f>MATCH(A219,Database!$A$2:$A$948,0)</f>
        <v>726</v>
      </c>
      <c r="L219">
        <f>VLOOKUP(A219,Database!$A$2:$I$948,4,0)</f>
        <v>2919</v>
      </c>
      <c r="M219" t="b">
        <f t="shared" si="8"/>
        <v>1</v>
      </c>
      <c r="N219">
        <f>VLOOKUP(A219,Database!$A$2:$I$948,5,0)</f>
        <v>1</v>
      </c>
    </row>
    <row r="220" spans="1:14" hidden="1" x14ac:dyDescent="0.35">
      <c r="A220" s="3">
        <v>103410226</v>
      </c>
      <c r="B220" s="3" t="s">
        <v>4696</v>
      </c>
      <c r="C220" s="3" t="str">
        <f t="shared" si="7"/>
        <v>2022-07-07</v>
      </c>
      <c r="D220" s="3" t="s">
        <v>9</v>
      </c>
      <c r="E220" s="3" t="s">
        <v>5</v>
      </c>
      <c r="F220" s="3" t="s">
        <v>10</v>
      </c>
      <c r="G220" s="3" t="s">
        <v>4697</v>
      </c>
      <c r="H220" s="3" t="s">
        <v>4698</v>
      </c>
      <c r="I220" s="4">
        <v>3333.64</v>
      </c>
      <c r="J220" s="3" t="s">
        <v>11</v>
      </c>
      <c r="K220">
        <f>MATCH(A220,Database!$A$2:$A$948,0)</f>
        <v>725</v>
      </c>
      <c r="L220">
        <f>VLOOKUP(A220,Database!$A$2:$I$948,4,0)</f>
        <v>3333.64</v>
      </c>
      <c r="M220" t="b">
        <f t="shared" si="8"/>
        <v>1</v>
      </c>
      <c r="N220">
        <f>VLOOKUP(A220,Database!$A$2:$I$948,5,0)</f>
        <v>1</v>
      </c>
    </row>
    <row r="221" spans="1:14" hidden="1" x14ac:dyDescent="0.35">
      <c r="A221" s="3">
        <v>103410278</v>
      </c>
      <c r="B221" s="3" t="s">
        <v>4699</v>
      </c>
      <c r="C221" s="3" t="str">
        <f t="shared" si="7"/>
        <v>2022-07-07</v>
      </c>
      <c r="D221" s="3" t="s">
        <v>9</v>
      </c>
      <c r="E221" s="3" t="s">
        <v>5</v>
      </c>
      <c r="F221" s="3" t="s">
        <v>10</v>
      </c>
      <c r="G221" s="3" t="s">
        <v>4700</v>
      </c>
      <c r="H221" s="3" t="s">
        <v>4701</v>
      </c>
      <c r="I221" s="4">
        <v>1709.14</v>
      </c>
      <c r="J221" s="3" t="s">
        <v>11</v>
      </c>
      <c r="K221">
        <f>MATCH(A221,Database!$A$2:$A$948,0)</f>
        <v>736</v>
      </c>
      <c r="L221">
        <f>VLOOKUP(A221,Database!$A$2:$I$948,4,0)</f>
        <v>1709.14</v>
      </c>
      <c r="M221" t="b">
        <f t="shared" si="8"/>
        <v>1</v>
      </c>
      <c r="N221">
        <f>VLOOKUP(A221,Database!$A$2:$I$948,5,0)</f>
        <v>1</v>
      </c>
    </row>
    <row r="222" spans="1:14" hidden="1" x14ac:dyDescent="0.35">
      <c r="A222" s="3">
        <v>103410277</v>
      </c>
      <c r="B222" s="3" t="s">
        <v>4702</v>
      </c>
      <c r="C222" s="3" t="str">
        <f t="shared" si="7"/>
        <v>2022-07-07</v>
      </c>
      <c r="D222" s="3" t="s">
        <v>9</v>
      </c>
      <c r="E222" s="3" t="s">
        <v>5</v>
      </c>
      <c r="F222" s="3" t="s">
        <v>10</v>
      </c>
      <c r="G222" s="3" t="s">
        <v>4703</v>
      </c>
      <c r="H222" s="3" t="s">
        <v>4704</v>
      </c>
      <c r="I222" s="4">
        <v>5385.64</v>
      </c>
      <c r="J222" s="3" t="s">
        <v>11</v>
      </c>
      <c r="K222">
        <f>MATCH(A222,Database!$A$2:$A$948,0)</f>
        <v>735</v>
      </c>
      <c r="L222">
        <f>VLOOKUP(A222,Database!$A$2:$I$948,4,0)</f>
        <v>5385.64</v>
      </c>
      <c r="M222" t="b">
        <f t="shared" si="8"/>
        <v>1</v>
      </c>
      <c r="N222">
        <f>VLOOKUP(A222,Database!$A$2:$I$948,5,0)</f>
        <v>1</v>
      </c>
    </row>
    <row r="223" spans="1:14" hidden="1" x14ac:dyDescent="0.35">
      <c r="A223" s="3">
        <v>103410217</v>
      </c>
      <c r="B223" s="3" t="s">
        <v>4705</v>
      </c>
      <c r="C223" s="3" t="str">
        <f t="shared" si="7"/>
        <v>2022-07-07</v>
      </c>
      <c r="D223" s="3" t="s">
        <v>9</v>
      </c>
      <c r="E223" s="3" t="s">
        <v>5</v>
      </c>
      <c r="F223" s="3" t="s">
        <v>10</v>
      </c>
      <c r="G223" s="3" t="s">
        <v>4706</v>
      </c>
      <c r="H223" s="3" t="s">
        <v>4707</v>
      </c>
      <c r="I223" s="4">
        <v>1300.55</v>
      </c>
      <c r="J223" s="3" t="s">
        <v>11</v>
      </c>
      <c r="K223">
        <f>MATCH(A223,Database!$A$2:$A$948,0)</f>
        <v>724</v>
      </c>
      <c r="L223">
        <f>VLOOKUP(A223,Database!$A$2:$I$948,4,0)</f>
        <v>1300.55</v>
      </c>
      <c r="M223" t="b">
        <f t="shared" si="8"/>
        <v>1</v>
      </c>
      <c r="N223">
        <f>VLOOKUP(A223,Database!$A$2:$I$948,5,0)</f>
        <v>1</v>
      </c>
    </row>
    <row r="224" spans="1:14" hidden="1" x14ac:dyDescent="0.35">
      <c r="A224" s="3">
        <v>103410273</v>
      </c>
      <c r="B224" s="3" t="s">
        <v>4708</v>
      </c>
      <c r="C224" s="3" t="str">
        <f t="shared" si="7"/>
        <v>2022-07-07</v>
      </c>
      <c r="D224" s="3" t="s">
        <v>9</v>
      </c>
      <c r="E224" s="3" t="s">
        <v>5</v>
      </c>
      <c r="F224" s="3" t="s">
        <v>10</v>
      </c>
      <c r="G224" s="3" t="s">
        <v>4709</v>
      </c>
      <c r="H224" s="3" t="s">
        <v>4710</v>
      </c>
      <c r="I224" s="4">
        <v>2611.5500000000002</v>
      </c>
      <c r="J224" s="3" t="s">
        <v>11</v>
      </c>
      <c r="K224">
        <f>MATCH(A224,Database!$A$2:$A$948,0)</f>
        <v>734</v>
      </c>
      <c r="L224">
        <f>VLOOKUP(A224,Database!$A$2:$I$948,4,0)</f>
        <v>2611.5500000000002</v>
      </c>
      <c r="M224" t="b">
        <f t="shared" si="8"/>
        <v>1</v>
      </c>
      <c r="N224">
        <f>VLOOKUP(A224,Database!$A$2:$I$948,5,0)</f>
        <v>1</v>
      </c>
    </row>
    <row r="225" spans="1:14" hidden="1" x14ac:dyDescent="0.35">
      <c r="A225" s="3">
        <v>103410213</v>
      </c>
      <c r="B225" s="3" t="s">
        <v>4711</v>
      </c>
      <c r="C225" s="3" t="str">
        <f t="shared" si="7"/>
        <v>2022-07-07</v>
      </c>
      <c r="D225" s="3" t="s">
        <v>9</v>
      </c>
      <c r="E225" s="3" t="s">
        <v>5</v>
      </c>
      <c r="F225" s="3" t="s">
        <v>10</v>
      </c>
      <c r="G225" s="3" t="s">
        <v>1871</v>
      </c>
      <c r="H225" s="3" t="s">
        <v>1872</v>
      </c>
      <c r="I225" s="5">
        <v>1499</v>
      </c>
      <c r="J225" s="3" t="s">
        <v>11</v>
      </c>
      <c r="K225">
        <f>MATCH(A225,Database!$A$2:$A$948,0)</f>
        <v>723</v>
      </c>
      <c r="L225">
        <f>VLOOKUP(A225,Database!$A$2:$I$948,4,0)</f>
        <v>1499</v>
      </c>
      <c r="M225" t="b">
        <f t="shared" si="8"/>
        <v>1</v>
      </c>
      <c r="N225">
        <f>VLOOKUP(A225,Database!$A$2:$I$948,5,0)</f>
        <v>1</v>
      </c>
    </row>
    <row r="226" spans="1:14" hidden="1" x14ac:dyDescent="0.35">
      <c r="A226" s="3">
        <v>103410266</v>
      </c>
      <c r="B226" s="3" t="s">
        <v>4712</v>
      </c>
      <c r="C226" s="3" t="str">
        <f t="shared" si="7"/>
        <v>2022-07-07</v>
      </c>
      <c r="D226" s="3" t="s">
        <v>9</v>
      </c>
      <c r="E226" s="3" t="s">
        <v>5</v>
      </c>
      <c r="F226" s="3" t="s">
        <v>10</v>
      </c>
      <c r="G226" s="3" t="s">
        <v>4713</v>
      </c>
      <c r="H226" s="3" t="s">
        <v>4714</v>
      </c>
      <c r="I226" s="4">
        <v>1470.6</v>
      </c>
      <c r="J226" s="3" t="s">
        <v>11</v>
      </c>
      <c r="K226">
        <f>MATCH(A226,Database!$A$2:$A$948,0)</f>
        <v>733</v>
      </c>
      <c r="L226">
        <f>VLOOKUP(A226,Database!$A$2:$I$948,4,0)</f>
        <v>1470.6</v>
      </c>
      <c r="M226" t="b">
        <f t="shared" si="8"/>
        <v>1</v>
      </c>
      <c r="N226">
        <f>VLOOKUP(A226,Database!$A$2:$I$948,5,0)</f>
        <v>2</v>
      </c>
    </row>
    <row r="227" spans="1:14" hidden="1" x14ac:dyDescent="0.35">
      <c r="A227" s="3">
        <v>103410059</v>
      </c>
      <c r="B227" s="3" t="s">
        <v>4715</v>
      </c>
      <c r="C227" s="3" t="str">
        <f t="shared" si="7"/>
        <v>2022-07-07</v>
      </c>
      <c r="D227" s="3" t="s">
        <v>9</v>
      </c>
      <c r="E227" s="3" t="s">
        <v>5</v>
      </c>
      <c r="F227" s="3" t="s">
        <v>10</v>
      </c>
      <c r="G227" s="3" t="s">
        <v>4716</v>
      </c>
      <c r="H227" s="3" t="s">
        <v>4717</v>
      </c>
      <c r="I227" s="5">
        <v>1499</v>
      </c>
      <c r="J227" s="3" t="s">
        <v>11</v>
      </c>
      <c r="K227">
        <f>MATCH(A227,Database!$A$2:$A$948,0)</f>
        <v>695</v>
      </c>
      <c r="L227">
        <f>VLOOKUP(A227,Database!$A$2:$I$948,4,0)</f>
        <v>1499</v>
      </c>
      <c r="M227" t="b">
        <f t="shared" si="8"/>
        <v>1</v>
      </c>
      <c r="N227">
        <f>VLOOKUP(A227,Database!$A$2:$I$948,5,0)</f>
        <v>1</v>
      </c>
    </row>
    <row r="228" spans="1:14" hidden="1" x14ac:dyDescent="0.35">
      <c r="A228" s="3">
        <v>103410057</v>
      </c>
      <c r="B228" s="3" t="s">
        <v>4718</v>
      </c>
      <c r="C228" s="3" t="str">
        <f t="shared" si="7"/>
        <v>2022-07-07</v>
      </c>
      <c r="D228" s="3" t="s">
        <v>9</v>
      </c>
      <c r="E228" s="3" t="s">
        <v>5</v>
      </c>
      <c r="F228" s="3" t="s">
        <v>10</v>
      </c>
      <c r="G228" s="3" t="s">
        <v>4719</v>
      </c>
      <c r="H228" s="3" t="s">
        <v>4720</v>
      </c>
      <c r="I228" s="4">
        <v>1775.55</v>
      </c>
      <c r="J228" s="3" t="s">
        <v>11</v>
      </c>
      <c r="K228">
        <f>MATCH(A228,Database!$A$2:$A$948,0)</f>
        <v>694</v>
      </c>
      <c r="L228">
        <f>VLOOKUP(A228,Database!$A$2:$I$948,4,0)</f>
        <v>1775.55</v>
      </c>
      <c r="M228" t="b">
        <f t="shared" si="8"/>
        <v>1</v>
      </c>
      <c r="N228">
        <f>VLOOKUP(A228,Database!$A$2:$I$948,5,0)</f>
        <v>1</v>
      </c>
    </row>
    <row r="229" spans="1:14" hidden="1" x14ac:dyDescent="0.35">
      <c r="A229" s="3">
        <v>103410195</v>
      </c>
      <c r="B229" s="3" t="s">
        <v>4721</v>
      </c>
      <c r="C229" s="3" t="str">
        <f t="shared" si="7"/>
        <v>2022-07-07</v>
      </c>
      <c r="D229" s="3" t="s">
        <v>9</v>
      </c>
      <c r="E229" s="3" t="s">
        <v>5</v>
      </c>
      <c r="F229" s="3" t="s">
        <v>10</v>
      </c>
      <c r="G229" s="3" t="s">
        <v>4722</v>
      </c>
      <c r="H229" s="3" t="s">
        <v>4723</v>
      </c>
      <c r="I229" s="5">
        <v>1999</v>
      </c>
      <c r="J229" s="3" t="s">
        <v>11</v>
      </c>
      <c r="K229">
        <f>MATCH(A229,Database!$A$2:$A$948,0)</f>
        <v>722</v>
      </c>
      <c r="L229">
        <f>VLOOKUP(A229,Database!$A$2:$I$948,4,0)</f>
        <v>1999</v>
      </c>
      <c r="M229" t="b">
        <f t="shared" si="8"/>
        <v>1</v>
      </c>
      <c r="N229">
        <f>VLOOKUP(A229,Database!$A$2:$I$948,5,0)</f>
        <v>1</v>
      </c>
    </row>
    <row r="230" spans="1:14" hidden="1" x14ac:dyDescent="0.35">
      <c r="A230" s="3">
        <v>103410048</v>
      </c>
      <c r="B230" s="3" t="s">
        <v>4724</v>
      </c>
      <c r="C230" s="3" t="str">
        <f t="shared" si="7"/>
        <v>2022-07-07</v>
      </c>
      <c r="D230" s="3" t="s">
        <v>9</v>
      </c>
      <c r="E230" s="3" t="s">
        <v>5</v>
      </c>
      <c r="F230" s="3" t="s">
        <v>10</v>
      </c>
      <c r="G230" s="3" t="s">
        <v>4725</v>
      </c>
      <c r="H230" s="3" t="s">
        <v>4726</v>
      </c>
      <c r="I230" s="5">
        <v>1918</v>
      </c>
      <c r="J230" s="3" t="s">
        <v>11</v>
      </c>
      <c r="K230">
        <f>MATCH(A230,Database!$A$2:$A$948,0)</f>
        <v>693</v>
      </c>
      <c r="L230">
        <f>VLOOKUP(A230,Database!$A$2:$I$948,4,0)</f>
        <v>1918</v>
      </c>
      <c r="M230" t="b">
        <f t="shared" si="8"/>
        <v>1</v>
      </c>
      <c r="N230">
        <f>VLOOKUP(A230,Database!$A$2:$I$948,5,0)</f>
        <v>2</v>
      </c>
    </row>
    <row r="231" spans="1:14" hidden="1" x14ac:dyDescent="0.35">
      <c r="A231" s="3">
        <v>103410047</v>
      </c>
      <c r="B231" s="3" t="s">
        <v>4727</v>
      </c>
      <c r="C231" s="3" t="str">
        <f t="shared" si="7"/>
        <v>2022-07-07</v>
      </c>
      <c r="D231" s="3" t="s">
        <v>9</v>
      </c>
      <c r="E231" s="3" t="s">
        <v>5</v>
      </c>
      <c r="F231" s="3" t="s">
        <v>10</v>
      </c>
      <c r="G231" s="3" t="s">
        <v>4728</v>
      </c>
      <c r="H231" s="3" t="s">
        <v>4729</v>
      </c>
      <c r="I231" s="3">
        <v>768.55</v>
      </c>
      <c r="J231" s="3" t="s">
        <v>11</v>
      </c>
      <c r="K231">
        <f>MATCH(A231,Database!$A$2:$A$948,0)</f>
        <v>692</v>
      </c>
      <c r="L231">
        <f>VLOOKUP(A231,Database!$A$2:$I$948,4,0)</f>
        <v>768.55</v>
      </c>
      <c r="M231" t="b">
        <f t="shared" si="8"/>
        <v>1</v>
      </c>
      <c r="N231">
        <f>VLOOKUP(A231,Database!$A$2:$I$948,5,0)</f>
        <v>1</v>
      </c>
    </row>
    <row r="232" spans="1:14" hidden="1" x14ac:dyDescent="0.35">
      <c r="A232" s="3">
        <v>103410184</v>
      </c>
      <c r="B232" s="3" t="s">
        <v>4730</v>
      </c>
      <c r="C232" s="3" t="str">
        <f t="shared" si="7"/>
        <v>2022-07-07</v>
      </c>
      <c r="D232" s="3" t="s">
        <v>9</v>
      </c>
      <c r="E232" s="3" t="s">
        <v>5</v>
      </c>
      <c r="F232" s="3" t="s">
        <v>10</v>
      </c>
      <c r="G232" s="3" t="s">
        <v>4731</v>
      </c>
      <c r="H232" s="3" t="s">
        <v>4732</v>
      </c>
      <c r="I232" s="4">
        <v>2339.1</v>
      </c>
      <c r="J232" s="3" t="s">
        <v>11</v>
      </c>
      <c r="K232">
        <f>MATCH(A232,Database!$A$2:$A$948,0)</f>
        <v>721</v>
      </c>
      <c r="L232">
        <f>VLOOKUP(A232,Database!$A$2:$I$948,4,0)</f>
        <v>2339.1</v>
      </c>
      <c r="M232" t="b">
        <f t="shared" si="8"/>
        <v>1</v>
      </c>
      <c r="N232">
        <f>VLOOKUP(A232,Database!$A$2:$I$948,5,0)</f>
        <v>1</v>
      </c>
    </row>
    <row r="233" spans="1:14" hidden="1" x14ac:dyDescent="0.35">
      <c r="A233" s="3">
        <v>103410183</v>
      </c>
      <c r="B233" s="3" t="s">
        <v>4733</v>
      </c>
      <c r="C233" s="3" t="str">
        <f t="shared" si="7"/>
        <v>2022-07-07</v>
      </c>
      <c r="D233" s="3" t="s">
        <v>9</v>
      </c>
      <c r="E233" s="3" t="s">
        <v>5</v>
      </c>
      <c r="F233" s="3" t="s">
        <v>10</v>
      </c>
      <c r="G233" s="3" t="s">
        <v>4734</v>
      </c>
      <c r="H233" s="3" t="s">
        <v>4735</v>
      </c>
      <c r="I233" s="5">
        <v>2469</v>
      </c>
      <c r="J233" s="3" t="s">
        <v>11</v>
      </c>
      <c r="K233">
        <f>MATCH(A233,Database!$A$2:$A$948,0)</f>
        <v>720</v>
      </c>
      <c r="L233">
        <f>VLOOKUP(A233,Database!$A$2:$I$948,4,0)</f>
        <v>2469</v>
      </c>
      <c r="M233" t="b">
        <f t="shared" si="8"/>
        <v>1</v>
      </c>
      <c r="N233">
        <f>VLOOKUP(A233,Database!$A$2:$I$948,5,0)</f>
        <v>1</v>
      </c>
    </row>
    <row r="234" spans="1:14" hidden="1" x14ac:dyDescent="0.35">
      <c r="A234" s="3">
        <v>103410041</v>
      </c>
      <c r="B234" s="3" t="s">
        <v>4736</v>
      </c>
      <c r="C234" s="3" t="str">
        <f t="shared" si="7"/>
        <v>2022-07-07</v>
      </c>
      <c r="D234" s="3" t="s">
        <v>9</v>
      </c>
      <c r="E234" s="3" t="s">
        <v>5</v>
      </c>
      <c r="F234" s="3" t="s">
        <v>10</v>
      </c>
      <c r="G234" s="3" t="s">
        <v>4737</v>
      </c>
      <c r="H234" s="3" t="s">
        <v>4738</v>
      </c>
      <c r="I234" s="4">
        <v>4103.1400000000003</v>
      </c>
      <c r="J234" s="3" t="s">
        <v>11</v>
      </c>
      <c r="K234">
        <f>MATCH(A234,Database!$A$2:$A$948,0)</f>
        <v>691</v>
      </c>
      <c r="L234">
        <f>VLOOKUP(A234,Database!$A$2:$I$948,4,0)</f>
        <v>4103.1400000000003</v>
      </c>
      <c r="M234" t="b">
        <f t="shared" si="8"/>
        <v>1</v>
      </c>
      <c r="N234">
        <f>VLOOKUP(A234,Database!$A$2:$I$948,5,0)</f>
        <v>1</v>
      </c>
    </row>
    <row r="235" spans="1:14" hidden="1" x14ac:dyDescent="0.35">
      <c r="A235" s="3">
        <v>103410177</v>
      </c>
      <c r="B235" s="3" t="s">
        <v>4739</v>
      </c>
      <c r="C235" s="3" t="str">
        <f t="shared" si="7"/>
        <v>2022-07-07</v>
      </c>
      <c r="D235" s="3" t="s">
        <v>9</v>
      </c>
      <c r="E235" s="3" t="s">
        <v>5</v>
      </c>
      <c r="F235" s="3" t="s">
        <v>10</v>
      </c>
      <c r="G235" s="3" t="s">
        <v>4740</v>
      </c>
      <c r="H235" s="3" t="s">
        <v>4741</v>
      </c>
      <c r="I235" s="4">
        <v>2849.05</v>
      </c>
      <c r="J235" s="3" t="s">
        <v>11</v>
      </c>
      <c r="K235">
        <f>MATCH(A235,Database!$A$2:$A$948,0)</f>
        <v>719</v>
      </c>
      <c r="L235">
        <f>VLOOKUP(A235,Database!$A$2:$I$948,4,0)</f>
        <v>2849.05</v>
      </c>
      <c r="M235" t="b">
        <f t="shared" si="8"/>
        <v>1</v>
      </c>
      <c r="N235">
        <f>VLOOKUP(A235,Database!$A$2:$I$948,5,0)</f>
        <v>1</v>
      </c>
    </row>
    <row r="236" spans="1:14" hidden="1" x14ac:dyDescent="0.35">
      <c r="A236" s="3">
        <v>103410175</v>
      </c>
      <c r="B236" s="3" t="s">
        <v>4742</v>
      </c>
      <c r="C236" s="3" t="str">
        <f t="shared" si="7"/>
        <v>2022-07-07</v>
      </c>
      <c r="D236" s="3" t="s">
        <v>9</v>
      </c>
      <c r="E236" s="3" t="s">
        <v>5</v>
      </c>
      <c r="F236" s="3" t="s">
        <v>12</v>
      </c>
      <c r="G236" s="3" t="s">
        <v>4743</v>
      </c>
      <c r="H236" s="3" t="s">
        <v>4744</v>
      </c>
      <c r="I236" s="5">
        <v>1798</v>
      </c>
      <c r="J236" s="3" t="s">
        <v>11</v>
      </c>
      <c r="K236">
        <f>MATCH(A236,Database!$A$2:$A$948,0)</f>
        <v>718</v>
      </c>
      <c r="L236">
        <f>VLOOKUP(A236,Database!$A$2:$I$948,4,0)</f>
        <v>1798</v>
      </c>
      <c r="M236" t="b">
        <f t="shared" si="8"/>
        <v>1</v>
      </c>
      <c r="N236">
        <f>VLOOKUP(A236,Database!$A$2:$I$948,5,0)</f>
        <v>2</v>
      </c>
    </row>
    <row r="237" spans="1:14" hidden="1" x14ac:dyDescent="0.35">
      <c r="A237" s="3">
        <v>103410174</v>
      </c>
      <c r="B237" s="3" t="s">
        <v>4745</v>
      </c>
      <c r="C237" s="3" t="str">
        <f t="shared" si="7"/>
        <v>2022-07-07</v>
      </c>
      <c r="D237" s="3" t="s">
        <v>9</v>
      </c>
      <c r="E237" s="3" t="s">
        <v>5</v>
      </c>
      <c r="F237" s="3" t="s">
        <v>12</v>
      </c>
      <c r="G237" s="3" t="s">
        <v>4746</v>
      </c>
      <c r="H237" s="3" t="s">
        <v>4747</v>
      </c>
      <c r="I237" s="3">
        <v>799</v>
      </c>
      <c r="J237" s="3" t="s">
        <v>11</v>
      </c>
      <c r="K237">
        <f>MATCH(A237,Database!$A$2:$A$948,0)</f>
        <v>717</v>
      </c>
      <c r="L237">
        <f>VLOOKUP(A237,Database!$A$2:$I$948,4,0)</f>
        <v>799</v>
      </c>
      <c r="M237" t="b">
        <f t="shared" si="8"/>
        <v>1</v>
      </c>
      <c r="N237">
        <f>VLOOKUP(A237,Database!$A$2:$I$948,5,0)</f>
        <v>1</v>
      </c>
    </row>
    <row r="238" spans="1:14" hidden="1" x14ac:dyDescent="0.35">
      <c r="A238" s="3">
        <v>103410035</v>
      </c>
      <c r="B238" s="3" t="s">
        <v>4748</v>
      </c>
      <c r="C238" s="3" t="str">
        <f t="shared" si="7"/>
        <v>2022-07-07</v>
      </c>
      <c r="D238" s="3" t="s">
        <v>9</v>
      </c>
      <c r="E238" s="3" t="s">
        <v>5</v>
      </c>
      <c r="F238" s="3" t="s">
        <v>10</v>
      </c>
      <c r="G238" s="3" t="s">
        <v>4749</v>
      </c>
      <c r="H238" s="3" t="s">
        <v>4750</v>
      </c>
      <c r="I238" s="5">
        <v>2238</v>
      </c>
      <c r="J238" s="3" t="s">
        <v>11</v>
      </c>
      <c r="K238">
        <f>MATCH(A238,Database!$A$2:$A$948,0)</f>
        <v>690</v>
      </c>
      <c r="L238">
        <f>VLOOKUP(A238,Database!$A$2:$I$948,4,0)</f>
        <v>2238</v>
      </c>
      <c r="M238" t="b">
        <f t="shared" si="8"/>
        <v>1</v>
      </c>
      <c r="N238">
        <f>VLOOKUP(A238,Database!$A$2:$I$948,5,0)</f>
        <v>2</v>
      </c>
    </row>
    <row r="239" spans="1:14" hidden="1" x14ac:dyDescent="0.35">
      <c r="A239" s="3">
        <v>103410029</v>
      </c>
      <c r="B239" s="3" t="s">
        <v>24</v>
      </c>
      <c r="C239" s="3" t="str">
        <f t="shared" si="7"/>
        <v>2022-07-07</v>
      </c>
      <c r="D239" s="3" t="s">
        <v>9</v>
      </c>
      <c r="E239" s="3" t="s">
        <v>5</v>
      </c>
      <c r="F239" s="3" t="s">
        <v>10</v>
      </c>
      <c r="G239" s="3" t="s">
        <v>25</v>
      </c>
      <c r="H239" s="3" t="s">
        <v>26</v>
      </c>
      <c r="I239" s="5">
        <v>4999</v>
      </c>
      <c r="J239" s="3" t="s">
        <v>11</v>
      </c>
      <c r="K239">
        <f>MATCH(A239,Database!$A$2:$A$948,0)</f>
        <v>689</v>
      </c>
      <c r="L239">
        <f>VLOOKUP(A239,Database!$A$2:$I$948,4,0)</f>
        <v>4999</v>
      </c>
      <c r="M239" t="b">
        <f t="shared" si="8"/>
        <v>1</v>
      </c>
      <c r="N239">
        <f>VLOOKUP(A239,Database!$A$2:$I$948,5,0)</f>
        <v>1</v>
      </c>
    </row>
    <row r="240" spans="1:14" hidden="1" x14ac:dyDescent="0.35">
      <c r="A240" s="3">
        <v>103410164</v>
      </c>
      <c r="B240" s="3" t="s">
        <v>4751</v>
      </c>
      <c r="C240" s="3" t="str">
        <f t="shared" si="7"/>
        <v>2022-07-07</v>
      </c>
      <c r="D240" s="3" t="s">
        <v>9</v>
      </c>
      <c r="E240" s="3" t="s">
        <v>5</v>
      </c>
      <c r="F240" s="3" t="s">
        <v>10</v>
      </c>
      <c r="G240" s="3" t="s">
        <v>4752</v>
      </c>
      <c r="H240" s="3" t="s">
        <v>4753</v>
      </c>
      <c r="I240" s="4">
        <v>2991.64</v>
      </c>
      <c r="J240" s="3" t="s">
        <v>11</v>
      </c>
      <c r="K240">
        <f>MATCH(A240,Database!$A$2:$A$948,0)</f>
        <v>716</v>
      </c>
      <c r="L240">
        <f>VLOOKUP(A240,Database!$A$2:$I$948,4,0)</f>
        <v>2991.64</v>
      </c>
      <c r="M240" t="b">
        <f t="shared" si="8"/>
        <v>1</v>
      </c>
      <c r="N240">
        <f>VLOOKUP(A240,Database!$A$2:$I$948,5,0)</f>
        <v>1</v>
      </c>
    </row>
    <row r="241" spans="1:14" hidden="1" x14ac:dyDescent="0.35">
      <c r="A241" s="3">
        <v>103410026</v>
      </c>
      <c r="B241" s="3" t="s">
        <v>27</v>
      </c>
      <c r="C241" s="3" t="str">
        <f t="shared" si="7"/>
        <v>2022-07-07</v>
      </c>
      <c r="D241" s="3" t="s">
        <v>9</v>
      </c>
      <c r="E241" s="3" t="s">
        <v>5</v>
      </c>
      <c r="F241" s="3" t="s">
        <v>10</v>
      </c>
      <c r="G241" s="3" t="s">
        <v>25</v>
      </c>
      <c r="H241" s="3" t="s">
        <v>26</v>
      </c>
      <c r="I241" s="5">
        <v>4999</v>
      </c>
      <c r="J241" s="3" t="s">
        <v>11</v>
      </c>
      <c r="K241">
        <f>MATCH(A241,Database!$A$2:$A$948,0)</f>
        <v>688</v>
      </c>
      <c r="L241">
        <f>VLOOKUP(A241,Database!$A$2:$I$948,4,0)</f>
        <v>4999</v>
      </c>
      <c r="M241" t="b">
        <f t="shared" si="8"/>
        <v>1</v>
      </c>
      <c r="N241">
        <f>VLOOKUP(A241,Database!$A$2:$I$948,5,0)</f>
        <v>1</v>
      </c>
    </row>
    <row r="242" spans="1:14" hidden="1" x14ac:dyDescent="0.35">
      <c r="A242" s="3">
        <v>103410160</v>
      </c>
      <c r="B242" s="3" t="s">
        <v>28</v>
      </c>
      <c r="C242" s="3" t="str">
        <f t="shared" si="7"/>
        <v>2022-07-07</v>
      </c>
      <c r="D242" s="3" t="s">
        <v>9</v>
      </c>
      <c r="E242" s="3" t="s">
        <v>5</v>
      </c>
      <c r="F242" s="3" t="s">
        <v>10</v>
      </c>
      <c r="G242" s="3" t="s">
        <v>29</v>
      </c>
      <c r="H242" s="3" t="s">
        <v>30</v>
      </c>
      <c r="I242" s="4">
        <v>2757.37</v>
      </c>
      <c r="J242" s="3" t="s">
        <v>11</v>
      </c>
      <c r="K242">
        <f>MATCH(A242,Database!$A$2:$A$948,0)</f>
        <v>715</v>
      </c>
      <c r="L242">
        <f>VLOOKUP(A242,Database!$A$2:$I$948,4,0)</f>
        <v>2757.37</v>
      </c>
      <c r="M242" t="b">
        <f t="shared" si="8"/>
        <v>1</v>
      </c>
      <c r="N242">
        <f>VLOOKUP(A242,Database!$A$2:$I$948,5,0)</f>
        <v>5</v>
      </c>
    </row>
    <row r="243" spans="1:14" x14ac:dyDescent="0.35">
      <c r="A243" s="3">
        <v>103410020</v>
      </c>
      <c r="B243" s="3" t="s">
        <v>31</v>
      </c>
      <c r="C243" s="3" t="str">
        <f t="shared" si="7"/>
        <v>2022-07-07</v>
      </c>
      <c r="D243" s="3" t="s">
        <v>9</v>
      </c>
      <c r="E243" s="3" t="s">
        <v>5</v>
      </c>
      <c r="F243" s="3" t="s">
        <v>10</v>
      </c>
      <c r="G243" s="3" t="s">
        <v>25</v>
      </c>
      <c r="H243" s="3" t="s">
        <v>26</v>
      </c>
      <c r="I243" s="5">
        <v>4999</v>
      </c>
      <c r="J243" s="3" t="s">
        <v>11</v>
      </c>
      <c r="K243" t="e">
        <f>MATCH(A243,Database!$A$2:$A$948,0)</f>
        <v>#N/A</v>
      </c>
      <c r="L243" t="e">
        <f>VLOOKUP(A243,Database!$A$2:$I$948,4,0)</f>
        <v>#N/A</v>
      </c>
      <c r="M243" t="e">
        <f t="shared" si="8"/>
        <v>#N/A</v>
      </c>
      <c r="N243" t="e">
        <f>VLOOKUP(A243,Database!$A$2:$I$948,5,0)</f>
        <v>#N/A</v>
      </c>
    </row>
    <row r="244" spans="1:14" hidden="1" x14ac:dyDescent="0.35">
      <c r="A244" s="3">
        <v>103410019</v>
      </c>
      <c r="B244" s="3" t="s">
        <v>32</v>
      </c>
      <c r="C244" s="3" t="str">
        <f t="shared" si="7"/>
        <v>2022-07-07</v>
      </c>
      <c r="D244" s="3" t="s">
        <v>9</v>
      </c>
      <c r="E244" s="3" t="s">
        <v>5</v>
      </c>
      <c r="F244" s="3" t="s">
        <v>10</v>
      </c>
      <c r="G244" s="3" t="s">
        <v>33</v>
      </c>
      <c r="H244" s="3" t="s">
        <v>34</v>
      </c>
      <c r="I244" s="5">
        <v>1269</v>
      </c>
      <c r="J244" s="3" t="s">
        <v>11</v>
      </c>
      <c r="K244">
        <f>MATCH(A244,Database!$A$2:$A$948,0)</f>
        <v>687</v>
      </c>
      <c r="L244">
        <f>VLOOKUP(A244,Database!$A$2:$I$948,4,0)</f>
        <v>1269</v>
      </c>
      <c r="M244" t="b">
        <f t="shared" si="8"/>
        <v>1</v>
      </c>
      <c r="N244">
        <f>VLOOKUP(A244,Database!$A$2:$I$948,5,0)</f>
        <v>1</v>
      </c>
    </row>
    <row r="245" spans="1:14" hidden="1" x14ac:dyDescent="0.35">
      <c r="A245" s="3">
        <v>103410158</v>
      </c>
      <c r="B245" s="3" t="s">
        <v>35</v>
      </c>
      <c r="C245" s="3" t="str">
        <f t="shared" si="7"/>
        <v>2022-07-07</v>
      </c>
      <c r="D245" s="3" t="s">
        <v>9</v>
      </c>
      <c r="E245" s="3" t="s">
        <v>5</v>
      </c>
      <c r="F245" s="3" t="s">
        <v>10</v>
      </c>
      <c r="G245" s="3" t="s">
        <v>36</v>
      </c>
      <c r="H245" s="3" t="s">
        <v>37</v>
      </c>
      <c r="I245" s="4">
        <v>4859.1000000000004</v>
      </c>
      <c r="J245" s="3" t="s">
        <v>11</v>
      </c>
      <c r="K245">
        <f>MATCH(A245,Database!$A$2:$A$948,0)</f>
        <v>714</v>
      </c>
      <c r="L245">
        <f>VLOOKUP(A245,Database!$A$2:$I$948,4,0)</f>
        <v>4859.1000000000004</v>
      </c>
      <c r="M245" t="b">
        <f t="shared" si="8"/>
        <v>1</v>
      </c>
      <c r="N245">
        <f>VLOOKUP(A245,Database!$A$2:$I$948,5,0)</f>
        <v>1</v>
      </c>
    </row>
    <row r="246" spans="1:14" hidden="1" x14ac:dyDescent="0.35">
      <c r="A246" s="3">
        <v>103410017</v>
      </c>
      <c r="B246" s="3" t="s">
        <v>38</v>
      </c>
      <c r="C246" s="3" t="str">
        <f t="shared" si="7"/>
        <v>2022-07-07</v>
      </c>
      <c r="D246" s="3" t="s">
        <v>9</v>
      </c>
      <c r="E246" s="3" t="s">
        <v>5</v>
      </c>
      <c r="F246" s="3" t="s">
        <v>10</v>
      </c>
      <c r="G246" s="3" t="s">
        <v>39</v>
      </c>
      <c r="H246" s="3" t="s">
        <v>40</v>
      </c>
      <c r="I246" s="4">
        <v>5603.1</v>
      </c>
      <c r="J246" s="3" t="s">
        <v>11</v>
      </c>
      <c r="K246">
        <f>MATCH(A246,Database!$A$2:$A$948,0)</f>
        <v>686</v>
      </c>
      <c r="L246">
        <f>VLOOKUP(A246,Database!$A$2:$I$948,4,0)</f>
        <v>5603.1</v>
      </c>
      <c r="M246" t="b">
        <f t="shared" si="8"/>
        <v>1</v>
      </c>
      <c r="N246">
        <f>VLOOKUP(A246,Database!$A$2:$I$948,5,0)</f>
        <v>2</v>
      </c>
    </row>
    <row r="247" spans="1:14" hidden="1" x14ac:dyDescent="0.35">
      <c r="A247" s="3">
        <v>103410013</v>
      </c>
      <c r="B247" s="3" t="s">
        <v>41</v>
      </c>
      <c r="C247" s="3" t="str">
        <f t="shared" si="7"/>
        <v>2022-07-07</v>
      </c>
      <c r="D247" s="3" t="s">
        <v>9</v>
      </c>
      <c r="E247" s="3" t="s">
        <v>5</v>
      </c>
      <c r="F247" s="3" t="s">
        <v>10</v>
      </c>
      <c r="G247" s="3" t="s">
        <v>42</v>
      </c>
      <c r="H247" s="3" t="s">
        <v>43</v>
      </c>
      <c r="I247" s="5">
        <v>3849</v>
      </c>
      <c r="J247" s="3" t="s">
        <v>11</v>
      </c>
      <c r="K247">
        <f>MATCH(A247,Database!$A$2:$A$948,0)</f>
        <v>685</v>
      </c>
      <c r="L247">
        <f>VLOOKUP(A247,Database!$A$2:$I$948,4,0)</f>
        <v>3849</v>
      </c>
      <c r="M247" t="b">
        <f t="shared" si="8"/>
        <v>1</v>
      </c>
      <c r="N247">
        <f>VLOOKUP(A247,Database!$A$2:$I$948,5,0)</f>
        <v>1</v>
      </c>
    </row>
    <row r="248" spans="1:14" hidden="1" x14ac:dyDescent="0.35">
      <c r="A248" s="3">
        <v>103410010</v>
      </c>
      <c r="B248" s="3" t="s">
        <v>44</v>
      </c>
      <c r="C248" s="3" t="str">
        <f t="shared" si="7"/>
        <v>2022-07-07</v>
      </c>
      <c r="D248" s="3" t="s">
        <v>9</v>
      </c>
      <c r="E248" s="3" t="s">
        <v>5</v>
      </c>
      <c r="F248" s="3" t="s">
        <v>12</v>
      </c>
      <c r="G248" s="3" t="s">
        <v>45</v>
      </c>
      <c r="H248" s="3" t="s">
        <v>46</v>
      </c>
      <c r="I248" s="4">
        <v>6613.2</v>
      </c>
      <c r="J248" s="3" t="s">
        <v>11</v>
      </c>
      <c r="K248">
        <f>MATCH(A248,Database!$A$2:$A$948,0)</f>
        <v>684</v>
      </c>
      <c r="L248">
        <f>VLOOKUP(A248,Database!$A$2:$I$948,4,0)</f>
        <v>6613.2</v>
      </c>
      <c r="M248" t="b">
        <f t="shared" si="8"/>
        <v>1</v>
      </c>
      <c r="N248">
        <f>VLOOKUP(A248,Database!$A$2:$I$948,5,0)</f>
        <v>2</v>
      </c>
    </row>
    <row r="249" spans="1:14" hidden="1" x14ac:dyDescent="0.35">
      <c r="A249" s="3">
        <v>103410008</v>
      </c>
      <c r="B249" s="3" t="s">
        <v>47</v>
      </c>
      <c r="C249" s="3" t="str">
        <f t="shared" si="7"/>
        <v>2022-07-07</v>
      </c>
      <c r="D249" s="3" t="s">
        <v>9</v>
      </c>
      <c r="E249" s="3" t="s">
        <v>5</v>
      </c>
      <c r="F249" s="3" t="s">
        <v>10</v>
      </c>
      <c r="G249" s="3" t="s">
        <v>48</v>
      </c>
      <c r="H249" s="3" t="s">
        <v>49</v>
      </c>
      <c r="I249" s="5">
        <v>3599</v>
      </c>
      <c r="J249" s="3" t="s">
        <v>11</v>
      </c>
      <c r="K249">
        <f>MATCH(A249,Database!$A$2:$A$948,0)</f>
        <v>683</v>
      </c>
      <c r="L249">
        <f>VLOOKUP(A249,Database!$A$2:$I$948,4,0)</f>
        <v>3599</v>
      </c>
      <c r="M249" t="b">
        <f t="shared" si="8"/>
        <v>1</v>
      </c>
      <c r="N249">
        <f>VLOOKUP(A249,Database!$A$2:$I$948,5,0)</f>
        <v>1</v>
      </c>
    </row>
    <row r="250" spans="1:14" hidden="1" x14ac:dyDescent="0.35">
      <c r="A250" s="3">
        <v>103410007</v>
      </c>
      <c r="B250" s="3" t="s">
        <v>50</v>
      </c>
      <c r="C250" s="3" t="str">
        <f t="shared" si="7"/>
        <v>2022-07-07</v>
      </c>
      <c r="D250" s="3" t="s">
        <v>9</v>
      </c>
      <c r="E250" s="3" t="s">
        <v>5</v>
      </c>
      <c r="F250" s="3" t="s">
        <v>10</v>
      </c>
      <c r="G250" s="3" t="s">
        <v>51</v>
      </c>
      <c r="H250" s="3" t="s">
        <v>52</v>
      </c>
      <c r="I250" s="4">
        <v>1922.89</v>
      </c>
      <c r="J250" s="3" t="s">
        <v>11</v>
      </c>
      <c r="K250">
        <f>MATCH(A250,Database!$A$2:$A$948,0)</f>
        <v>682</v>
      </c>
      <c r="L250">
        <f>VLOOKUP(A250,Database!$A$2:$I$948,4,0)</f>
        <v>1922.89</v>
      </c>
      <c r="M250" t="b">
        <f t="shared" si="8"/>
        <v>1</v>
      </c>
      <c r="N250">
        <f>VLOOKUP(A250,Database!$A$2:$I$948,5,0)</f>
        <v>1</v>
      </c>
    </row>
    <row r="251" spans="1:14" hidden="1" x14ac:dyDescent="0.35">
      <c r="A251" s="3">
        <v>103410141</v>
      </c>
      <c r="B251" s="3" t="s">
        <v>53</v>
      </c>
      <c r="C251" s="3" t="str">
        <f t="shared" si="7"/>
        <v>2022-07-07</v>
      </c>
      <c r="D251" s="3" t="s">
        <v>9</v>
      </c>
      <c r="E251" s="3" t="s">
        <v>5</v>
      </c>
      <c r="F251" s="3" t="s">
        <v>10</v>
      </c>
      <c r="G251" s="3" t="s">
        <v>54</v>
      </c>
      <c r="H251" s="3" t="s">
        <v>55</v>
      </c>
      <c r="I251" s="5">
        <v>1399</v>
      </c>
      <c r="J251" s="3" t="s">
        <v>11</v>
      </c>
      <c r="K251">
        <f>MATCH(A251,Database!$A$2:$A$948,0)</f>
        <v>713</v>
      </c>
      <c r="L251">
        <f>VLOOKUP(A251,Database!$A$2:$I$948,4,0)</f>
        <v>1399</v>
      </c>
      <c r="M251" t="b">
        <f t="shared" si="8"/>
        <v>1</v>
      </c>
      <c r="N251">
        <f>VLOOKUP(A251,Database!$A$2:$I$948,5,0)</f>
        <v>1</v>
      </c>
    </row>
    <row r="252" spans="1:14" hidden="1" x14ac:dyDescent="0.35">
      <c r="A252" s="3">
        <v>103410134</v>
      </c>
      <c r="B252" s="3" t="s">
        <v>56</v>
      </c>
      <c r="C252" s="3" t="str">
        <f t="shared" si="7"/>
        <v>2022-07-07</v>
      </c>
      <c r="D252" s="3" t="s">
        <v>9</v>
      </c>
      <c r="E252" s="3" t="s">
        <v>5</v>
      </c>
      <c r="F252" s="3" t="s">
        <v>10</v>
      </c>
      <c r="G252" s="3" t="s">
        <v>57</v>
      </c>
      <c r="H252" s="3" t="s">
        <v>58</v>
      </c>
      <c r="I252" s="4">
        <v>1110.55</v>
      </c>
      <c r="J252" s="3" t="s">
        <v>11</v>
      </c>
      <c r="K252">
        <f>MATCH(A252,Database!$A$2:$A$948,0)</f>
        <v>712</v>
      </c>
      <c r="L252">
        <f>VLOOKUP(A252,Database!$A$2:$I$948,4,0)</f>
        <v>1110.55</v>
      </c>
      <c r="M252" t="b">
        <f t="shared" si="8"/>
        <v>1</v>
      </c>
      <c r="N252">
        <f>VLOOKUP(A252,Database!$A$2:$I$948,5,0)</f>
        <v>1</v>
      </c>
    </row>
    <row r="253" spans="1:14" hidden="1" x14ac:dyDescent="0.35">
      <c r="A253" s="3">
        <v>103410128</v>
      </c>
      <c r="B253" s="3" t="s">
        <v>59</v>
      </c>
      <c r="C253" s="3" t="str">
        <f t="shared" si="7"/>
        <v>2022-07-07</v>
      </c>
      <c r="D253" s="3" t="s">
        <v>9</v>
      </c>
      <c r="E253" s="3" t="s">
        <v>5</v>
      </c>
      <c r="F253" s="3" t="s">
        <v>12</v>
      </c>
      <c r="G253" s="3" t="s">
        <v>60</v>
      </c>
      <c r="H253" s="3" t="s">
        <v>61</v>
      </c>
      <c r="I253" s="5">
        <v>1299</v>
      </c>
      <c r="J253" s="3" t="s">
        <v>11</v>
      </c>
      <c r="K253">
        <f>MATCH(A253,Database!$A$2:$A$948,0)</f>
        <v>711</v>
      </c>
      <c r="L253">
        <f>VLOOKUP(A253,Database!$A$2:$I$948,4,0)</f>
        <v>1299</v>
      </c>
      <c r="M253" t="b">
        <f t="shared" si="8"/>
        <v>1</v>
      </c>
      <c r="N253">
        <f>VLOOKUP(A253,Database!$A$2:$I$948,5,0)</f>
        <v>1</v>
      </c>
    </row>
    <row r="254" spans="1:14" x14ac:dyDescent="0.35">
      <c r="A254" s="3">
        <v>103410000</v>
      </c>
      <c r="B254" s="3" t="s">
        <v>62</v>
      </c>
      <c r="C254" s="3" t="str">
        <f t="shared" si="7"/>
        <v>2022-07-07</v>
      </c>
      <c r="D254" s="3" t="s">
        <v>9</v>
      </c>
      <c r="E254" s="3" t="s">
        <v>5</v>
      </c>
      <c r="F254" s="3" t="s">
        <v>10</v>
      </c>
      <c r="G254" s="3" t="s">
        <v>63</v>
      </c>
      <c r="H254" s="3" t="s">
        <v>64</v>
      </c>
      <c r="I254" s="5">
        <v>9898</v>
      </c>
      <c r="J254" s="3" t="s">
        <v>11</v>
      </c>
      <c r="K254" t="e">
        <f>MATCH(A254,Database!$A$2:$A$948,0)</f>
        <v>#N/A</v>
      </c>
      <c r="L254" t="e">
        <f>VLOOKUP(A254,Database!$A$2:$I$948,4,0)</f>
        <v>#N/A</v>
      </c>
      <c r="M254" t="e">
        <f t="shared" si="8"/>
        <v>#N/A</v>
      </c>
      <c r="N254" t="e">
        <f>VLOOKUP(A254,Database!$A$2:$I$948,5,0)</f>
        <v>#N/A</v>
      </c>
    </row>
    <row r="255" spans="1:14" hidden="1" x14ac:dyDescent="0.35">
      <c r="A255" s="3">
        <v>103410123</v>
      </c>
      <c r="B255" s="3" t="s">
        <v>65</v>
      </c>
      <c r="C255" s="3" t="str">
        <f t="shared" si="7"/>
        <v>2022-07-07</v>
      </c>
      <c r="D255" s="3" t="s">
        <v>9</v>
      </c>
      <c r="E255" s="3" t="s">
        <v>5</v>
      </c>
      <c r="F255" s="3" t="s">
        <v>10</v>
      </c>
      <c r="G255" s="3" t="s">
        <v>66</v>
      </c>
      <c r="H255" s="3" t="s">
        <v>67</v>
      </c>
      <c r="I255" s="4">
        <v>2699.1</v>
      </c>
      <c r="J255" s="3" t="s">
        <v>11</v>
      </c>
      <c r="K255">
        <f>MATCH(A255,Database!$A$2:$A$948,0)</f>
        <v>710</v>
      </c>
      <c r="L255">
        <f>VLOOKUP(A255,Database!$A$2:$I$948,4,0)</f>
        <v>2699.1</v>
      </c>
      <c r="M255" t="b">
        <f t="shared" si="8"/>
        <v>1</v>
      </c>
      <c r="N255">
        <f>VLOOKUP(A255,Database!$A$2:$I$948,5,0)</f>
        <v>1</v>
      </c>
    </row>
    <row r="256" spans="1:14" hidden="1" x14ac:dyDescent="0.35">
      <c r="A256" s="3">
        <v>103410121</v>
      </c>
      <c r="B256" s="3" t="s">
        <v>68</v>
      </c>
      <c r="C256" s="3" t="str">
        <f t="shared" si="7"/>
        <v>2022-07-07</v>
      </c>
      <c r="D256" s="3" t="s">
        <v>9</v>
      </c>
      <c r="E256" s="3" t="s">
        <v>5</v>
      </c>
      <c r="F256" s="3" t="s">
        <v>10</v>
      </c>
      <c r="G256" s="3" t="s">
        <v>69</v>
      </c>
      <c r="H256" s="3" t="s">
        <v>70</v>
      </c>
      <c r="I256" s="4">
        <v>4273.29</v>
      </c>
      <c r="J256" s="3" t="s">
        <v>11</v>
      </c>
      <c r="K256">
        <f>MATCH(A256,Database!$A$2:$A$948,0)</f>
        <v>709</v>
      </c>
      <c r="L256">
        <f>VLOOKUP(A256,Database!$A$2:$I$948,4,0)</f>
        <v>4273.29</v>
      </c>
      <c r="M256" t="b">
        <f t="shared" si="8"/>
        <v>1</v>
      </c>
      <c r="N256">
        <f>VLOOKUP(A256,Database!$A$2:$I$948,5,0)</f>
        <v>2</v>
      </c>
    </row>
    <row r="257" spans="1:14" hidden="1" x14ac:dyDescent="0.35">
      <c r="A257" s="3">
        <v>103409996</v>
      </c>
      <c r="B257" s="3" t="s">
        <v>71</v>
      </c>
      <c r="C257" s="3" t="str">
        <f t="shared" si="7"/>
        <v>2022-07-07</v>
      </c>
      <c r="D257" s="3" t="s">
        <v>9</v>
      </c>
      <c r="E257" s="3" t="s">
        <v>5</v>
      </c>
      <c r="F257" s="3" t="s">
        <v>10</v>
      </c>
      <c r="G257" s="3" t="s">
        <v>72</v>
      </c>
      <c r="H257" s="3" t="s">
        <v>73</v>
      </c>
      <c r="I257" s="5">
        <v>2919</v>
      </c>
      <c r="J257" s="3" t="s">
        <v>11</v>
      </c>
      <c r="K257">
        <f>MATCH(A257,Database!$A$2:$A$948,0)</f>
        <v>681</v>
      </c>
      <c r="L257">
        <f>VLOOKUP(A257,Database!$A$2:$I$948,4,0)</f>
        <v>2919</v>
      </c>
      <c r="M257" t="b">
        <f t="shared" si="8"/>
        <v>1</v>
      </c>
      <c r="N257">
        <f>VLOOKUP(A257,Database!$A$2:$I$948,5,0)</f>
        <v>1</v>
      </c>
    </row>
    <row r="258" spans="1:14" hidden="1" x14ac:dyDescent="0.35">
      <c r="A258" s="3">
        <v>103409995</v>
      </c>
      <c r="B258" s="3" t="s">
        <v>74</v>
      </c>
      <c r="C258" s="3" t="str">
        <f t="shared" si="7"/>
        <v>2022-07-07</v>
      </c>
      <c r="D258" s="3" t="s">
        <v>9</v>
      </c>
      <c r="E258" s="3" t="s">
        <v>5</v>
      </c>
      <c r="F258" s="3" t="s">
        <v>12</v>
      </c>
      <c r="G258" s="3" t="s">
        <v>75</v>
      </c>
      <c r="H258" s="3" t="s">
        <v>76</v>
      </c>
      <c r="I258" s="5">
        <v>1379</v>
      </c>
      <c r="J258" s="3" t="s">
        <v>11</v>
      </c>
      <c r="K258">
        <f>MATCH(A258,Database!$A$2:$A$948,0)</f>
        <v>680</v>
      </c>
      <c r="L258">
        <f>VLOOKUP(A258,Database!$A$2:$I$948,4,0)</f>
        <v>1379</v>
      </c>
      <c r="M258" t="b">
        <f t="shared" si="8"/>
        <v>1</v>
      </c>
      <c r="N258">
        <f>VLOOKUP(A258,Database!$A$2:$I$948,5,0)</f>
        <v>1</v>
      </c>
    </row>
    <row r="259" spans="1:14" hidden="1" x14ac:dyDescent="0.35">
      <c r="A259" s="3">
        <v>103409991</v>
      </c>
      <c r="B259" s="3" t="s">
        <v>77</v>
      </c>
      <c r="C259" s="3" t="str">
        <f t="shared" ref="C259:C322" si="9">LEFT(B259,FIND("T",B259)-1)</f>
        <v>2022-07-07</v>
      </c>
      <c r="D259" s="3" t="s">
        <v>9</v>
      </c>
      <c r="E259" s="3" t="s">
        <v>5</v>
      </c>
      <c r="F259" s="3" t="s">
        <v>10</v>
      </c>
      <c r="G259" s="3" t="s">
        <v>78</v>
      </c>
      <c r="H259" s="3" t="s">
        <v>79</v>
      </c>
      <c r="I259" s="3">
        <v>512.04999999999995</v>
      </c>
      <c r="J259" s="3" t="s">
        <v>11</v>
      </c>
      <c r="K259">
        <f>MATCH(A259,Database!$A$2:$A$948,0)</f>
        <v>679</v>
      </c>
      <c r="L259">
        <f>VLOOKUP(A259,Database!$A$2:$I$948,4,0)</f>
        <v>512.04999999999995</v>
      </c>
      <c r="M259" t="b">
        <f t="shared" si="8"/>
        <v>1</v>
      </c>
      <c r="N259">
        <f>VLOOKUP(A259,Database!$A$2:$I$948,5,0)</f>
        <v>1</v>
      </c>
    </row>
    <row r="260" spans="1:14" hidden="1" x14ac:dyDescent="0.35">
      <c r="A260" s="3">
        <v>103410117</v>
      </c>
      <c r="B260" s="3" t="s">
        <v>80</v>
      </c>
      <c r="C260" s="3" t="str">
        <f t="shared" si="9"/>
        <v>2022-07-07</v>
      </c>
      <c r="D260" s="3" t="s">
        <v>9</v>
      </c>
      <c r="E260" s="3" t="s">
        <v>5</v>
      </c>
      <c r="F260" s="3" t="s">
        <v>10</v>
      </c>
      <c r="G260" s="3" t="s">
        <v>81</v>
      </c>
      <c r="H260" s="3" t="s">
        <v>82</v>
      </c>
      <c r="I260" s="4">
        <v>2029.72</v>
      </c>
      <c r="J260" s="3" t="s">
        <v>11</v>
      </c>
      <c r="K260">
        <f>MATCH(A260,Database!$A$2:$A$948,0)</f>
        <v>708</v>
      </c>
      <c r="L260">
        <f>VLOOKUP(A260,Database!$A$2:$I$948,4,0)</f>
        <v>2029.72</v>
      </c>
      <c r="M260" t="b">
        <f t="shared" si="8"/>
        <v>1</v>
      </c>
      <c r="N260">
        <f>VLOOKUP(A260,Database!$A$2:$I$948,5,0)</f>
        <v>1</v>
      </c>
    </row>
    <row r="261" spans="1:14" hidden="1" x14ac:dyDescent="0.35">
      <c r="A261" s="3">
        <v>103410113</v>
      </c>
      <c r="B261" s="3" t="s">
        <v>83</v>
      </c>
      <c r="C261" s="3" t="str">
        <f t="shared" si="9"/>
        <v>2022-07-07</v>
      </c>
      <c r="D261" s="3" t="s">
        <v>9</v>
      </c>
      <c r="E261" s="3" t="s">
        <v>5</v>
      </c>
      <c r="F261" s="3" t="s">
        <v>12</v>
      </c>
      <c r="G261" s="3" t="s">
        <v>84</v>
      </c>
      <c r="H261" s="3" t="s">
        <v>85</v>
      </c>
      <c r="I261" s="4">
        <v>3521.65</v>
      </c>
      <c r="J261" s="3" t="s">
        <v>11</v>
      </c>
      <c r="K261">
        <f>MATCH(A261,Database!$A$2:$A$948,0)</f>
        <v>707</v>
      </c>
      <c r="L261">
        <f>VLOOKUP(A261,Database!$A$2:$I$948,4,0)</f>
        <v>3521.65</v>
      </c>
      <c r="M261" t="b">
        <f t="shared" si="8"/>
        <v>1</v>
      </c>
      <c r="N261">
        <f>VLOOKUP(A261,Database!$A$2:$I$948,5,0)</f>
        <v>3</v>
      </c>
    </row>
    <row r="262" spans="1:14" hidden="1" x14ac:dyDescent="0.35">
      <c r="A262" s="3">
        <v>103410109</v>
      </c>
      <c r="B262" s="3" t="s">
        <v>86</v>
      </c>
      <c r="C262" s="3" t="str">
        <f t="shared" si="9"/>
        <v>2022-07-07</v>
      </c>
      <c r="D262" s="3" t="s">
        <v>9</v>
      </c>
      <c r="E262" s="3" t="s">
        <v>5</v>
      </c>
      <c r="F262" s="3" t="s">
        <v>10</v>
      </c>
      <c r="G262" s="3" t="s">
        <v>87</v>
      </c>
      <c r="H262" s="3" t="s">
        <v>88</v>
      </c>
      <c r="I262" s="3">
        <v>768.55</v>
      </c>
      <c r="J262" s="3" t="s">
        <v>11</v>
      </c>
      <c r="K262">
        <f>MATCH(A262,Database!$A$2:$A$948,0)</f>
        <v>706</v>
      </c>
      <c r="L262">
        <f>VLOOKUP(A262,Database!$A$2:$I$948,4,0)</f>
        <v>768.55</v>
      </c>
      <c r="M262" t="b">
        <f t="shared" si="8"/>
        <v>1</v>
      </c>
      <c r="N262">
        <f>VLOOKUP(A262,Database!$A$2:$I$948,5,0)</f>
        <v>1</v>
      </c>
    </row>
    <row r="263" spans="1:14" hidden="1" x14ac:dyDescent="0.35">
      <c r="A263" s="3">
        <v>103409985</v>
      </c>
      <c r="B263" s="3" t="s">
        <v>89</v>
      </c>
      <c r="C263" s="3" t="str">
        <f t="shared" si="9"/>
        <v>2022-07-07</v>
      </c>
      <c r="D263" s="3" t="s">
        <v>9</v>
      </c>
      <c r="E263" s="3" t="s">
        <v>5</v>
      </c>
      <c r="F263" s="3" t="s">
        <v>12</v>
      </c>
      <c r="G263" s="3" t="s">
        <v>90</v>
      </c>
      <c r="H263" s="3" t="s">
        <v>91</v>
      </c>
      <c r="I263" s="3">
        <v>740.05</v>
      </c>
      <c r="J263" s="3" t="s">
        <v>11</v>
      </c>
      <c r="K263">
        <f>MATCH(A263,Database!$A$2:$A$948,0)</f>
        <v>678</v>
      </c>
      <c r="L263">
        <f>VLOOKUP(A263,Database!$A$2:$I$948,4,0)</f>
        <v>740.05</v>
      </c>
      <c r="M263" t="b">
        <f t="shared" si="8"/>
        <v>1</v>
      </c>
      <c r="N263">
        <f>VLOOKUP(A263,Database!$A$2:$I$948,5,0)</f>
        <v>1</v>
      </c>
    </row>
    <row r="264" spans="1:14" hidden="1" x14ac:dyDescent="0.35">
      <c r="A264" s="3">
        <v>103410100</v>
      </c>
      <c r="B264" s="3" t="s">
        <v>92</v>
      </c>
      <c r="C264" s="3" t="str">
        <f t="shared" si="9"/>
        <v>2022-07-07</v>
      </c>
      <c r="D264" s="3" t="s">
        <v>9</v>
      </c>
      <c r="E264" s="3" t="s">
        <v>5</v>
      </c>
      <c r="F264" s="3" t="s">
        <v>10</v>
      </c>
      <c r="G264" s="3" t="s">
        <v>93</v>
      </c>
      <c r="H264" s="3" t="s">
        <v>94</v>
      </c>
      <c r="I264" s="4">
        <v>3704.05</v>
      </c>
      <c r="J264" s="3" t="s">
        <v>11</v>
      </c>
      <c r="K264">
        <f>MATCH(A264,Database!$A$2:$A$948,0)</f>
        <v>705</v>
      </c>
      <c r="L264">
        <f>VLOOKUP(A264,Database!$A$2:$I$948,4,0)</f>
        <v>3704.05</v>
      </c>
      <c r="M264" t="b">
        <f t="shared" si="8"/>
        <v>1</v>
      </c>
      <c r="N264">
        <f>VLOOKUP(A264,Database!$A$2:$I$948,5,0)</f>
        <v>1</v>
      </c>
    </row>
    <row r="265" spans="1:14" hidden="1" x14ac:dyDescent="0.35">
      <c r="A265" s="3">
        <v>103410099</v>
      </c>
      <c r="B265" s="3" t="s">
        <v>95</v>
      </c>
      <c r="C265" s="3" t="str">
        <f t="shared" si="9"/>
        <v>2022-07-07</v>
      </c>
      <c r="D265" s="3" t="s">
        <v>9</v>
      </c>
      <c r="E265" s="3" t="s">
        <v>5</v>
      </c>
      <c r="F265" s="3" t="s">
        <v>10</v>
      </c>
      <c r="G265" s="3" t="s">
        <v>96</v>
      </c>
      <c r="H265" s="3" t="s">
        <v>97</v>
      </c>
      <c r="I265" s="4">
        <v>1196.05</v>
      </c>
      <c r="J265" s="3" t="s">
        <v>11</v>
      </c>
      <c r="K265">
        <f>MATCH(A265,Database!$A$2:$A$948,0)</f>
        <v>704</v>
      </c>
      <c r="L265">
        <f>VLOOKUP(A265,Database!$A$2:$I$948,4,0)</f>
        <v>1196.05</v>
      </c>
      <c r="M265" t="b">
        <f t="shared" ref="M265:M328" si="10">I265=L265</f>
        <v>1</v>
      </c>
      <c r="N265">
        <f>VLOOKUP(A265,Database!$A$2:$I$948,5,0)</f>
        <v>1</v>
      </c>
    </row>
    <row r="266" spans="1:14" hidden="1" x14ac:dyDescent="0.35">
      <c r="A266" s="3">
        <v>103409982</v>
      </c>
      <c r="B266" s="3" t="s">
        <v>98</v>
      </c>
      <c r="C266" s="3" t="str">
        <f t="shared" si="9"/>
        <v>2022-07-07</v>
      </c>
      <c r="D266" s="3" t="s">
        <v>9</v>
      </c>
      <c r="E266" s="3" t="s">
        <v>5</v>
      </c>
      <c r="F266" s="3" t="s">
        <v>10</v>
      </c>
      <c r="G266" s="3" t="s">
        <v>99</v>
      </c>
      <c r="H266" s="3" t="s">
        <v>100</v>
      </c>
      <c r="I266" s="3">
        <v>797.05</v>
      </c>
      <c r="J266" s="3" t="s">
        <v>11</v>
      </c>
      <c r="K266">
        <f>MATCH(A266,Database!$A$2:$A$948,0)</f>
        <v>677</v>
      </c>
      <c r="L266">
        <f>VLOOKUP(A266,Database!$A$2:$I$948,4,0)</f>
        <v>797.05</v>
      </c>
      <c r="M266" t="b">
        <f t="shared" si="10"/>
        <v>1</v>
      </c>
      <c r="N266">
        <f>VLOOKUP(A266,Database!$A$2:$I$948,5,0)</f>
        <v>1</v>
      </c>
    </row>
    <row r="267" spans="1:14" hidden="1" x14ac:dyDescent="0.35">
      <c r="A267" s="3">
        <v>103410096</v>
      </c>
      <c r="B267" s="3" t="s">
        <v>101</v>
      </c>
      <c r="C267" s="3" t="str">
        <f t="shared" si="9"/>
        <v>2022-07-07</v>
      </c>
      <c r="D267" s="3" t="s">
        <v>9</v>
      </c>
      <c r="E267" s="3" t="s">
        <v>5</v>
      </c>
      <c r="F267" s="3" t="s">
        <v>10</v>
      </c>
      <c r="G267" s="3" t="s">
        <v>33</v>
      </c>
      <c r="H267" s="3" t="s">
        <v>34</v>
      </c>
      <c r="I267" s="5">
        <v>1369</v>
      </c>
      <c r="J267" s="3" t="s">
        <v>11</v>
      </c>
      <c r="K267">
        <f>MATCH(A267,Database!$A$2:$A$948,0)</f>
        <v>703</v>
      </c>
      <c r="L267">
        <f>VLOOKUP(A267,Database!$A$2:$I$948,4,0)</f>
        <v>1369</v>
      </c>
      <c r="M267" t="b">
        <f t="shared" si="10"/>
        <v>1</v>
      </c>
      <c r="N267">
        <f>VLOOKUP(A267,Database!$A$2:$I$948,5,0)</f>
        <v>1</v>
      </c>
    </row>
    <row r="268" spans="1:14" hidden="1" x14ac:dyDescent="0.35">
      <c r="A268" s="3">
        <v>103409981</v>
      </c>
      <c r="B268" s="3" t="s">
        <v>102</v>
      </c>
      <c r="C268" s="3" t="str">
        <f t="shared" si="9"/>
        <v>2022-07-07</v>
      </c>
      <c r="D268" s="3" t="s">
        <v>9</v>
      </c>
      <c r="E268" s="3" t="s">
        <v>5</v>
      </c>
      <c r="F268" s="3" t="s">
        <v>12</v>
      </c>
      <c r="G268" s="3" t="s">
        <v>103</v>
      </c>
      <c r="H268" s="3" t="s">
        <v>104</v>
      </c>
      <c r="I268" s="3">
        <v>635.54999999999995</v>
      </c>
      <c r="J268" s="3" t="s">
        <v>11</v>
      </c>
      <c r="K268">
        <f>MATCH(A268,Database!$A$2:$A$948,0)</f>
        <v>676</v>
      </c>
      <c r="L268">
        <f>VLOOKUP(A268,Database!$A$2:$I$948,4,0)</f>
        <v>635.54999999999995</v>
      </c>
      <c r="M268" t="b">
        <f t="shared" si="10"/>
        <v>1</v>
      </c>
      <c r="N268">
        <f>VLOOKUP(A268,Database!$A$2:$I$948,5,0)</f>
        <v>1</v>
      </c>
    </row>
    <row r="269" spans="1:14" hidden="1" x14ac:dyDescent="0.35">
      <c r="A269" s="3">
        <v>103410084</v>
      </c>
      <c r="B269" s="3" t="s">
        <v>105</v>
      </c>
      <c r="C269" s="3" t="str">
        <f t="shared" si="9"/>
        <v>2022-07-07</v>
      </c>
      <c r="D269" s="3" t="s">
        <v>9</v>
      </c>
      <c r="E269" s="3" t="s">
        <v>5</v>
      </c>
      <c r="F269" s="3" t="s">
        <v>10</v>
      </c>
      <c r="G269" s="3" t="s">
        <v>106</v>
      </c>
      <c r="H269" s="3" t="s">
        <v>107</v>
      </c>
      <c r="I269" s="5">
        <v>2199</v>
      </c>
      <c r="J269" s="3" t="s">
        <v>11</v>
      </c>
      <c r="K269">
        <f>MATCH(A269,Database!$A$2:$A$948,0)</f>
        <v>702</v>
      </c>
      <c r="L269">
        <f>VLOOKUP(A269,Database!$A$2:$I$948,4,0)</f>
        <v>2199</v>
      </c>
      <c r="M269" t="b">
        <f t="shared" si="10"/>
        <v>1</v>
      </c>
      <c r="N269">
        <f>VLOOKUP(A269,Database!$A$2:$I$948,5,0)</f>
        <v>1</v>
      </c>
    </row>
    <row r="270" spans="1:14" hidden="1" x14ac:dyDescent="0.35">
      <c r="A270" s="3">
        <v>103410082</v>
      </c>
      <c r="B270" s="3" t="s">
        <v>108</v>
      </c>
      <c r="C270" s="3" t="str">
        <f t="shared" si="9"/>
        <v>2022-07-07</v>
      </c>
      <c r="D270" s="3" t="s">
        <v>9</v>
      </c>
      <c r="E270" s="3" t="s">
        <v>5</v>
      </c>
      <c r="F270" s="3" t="s">
        <v>10</v>
      </c>
      <c r="G270" s="3" t="s">
        <v>109</v>
      </c>
      <c r="H270" s="3" t="s">
        <v>110</v>
      </c>
      <c r="I270" s="5">
        <v>1199</v>
      </c>
      <c r="J270" s="3" t="s">
        <v>11</v>
      </c>
      <c r="K270">
        <f>MATCH(A270,Database!$A$2:$A$948,0)</f>
        <v>701</v>
      </c>
      <c r="L270">
        <f>VLOOKUP(A270,Database!$A$2:$I$948,4,0)</f>
        <v>1199</v>
      </c>
      <c r="M270" t="b">
        <f t="shared" si="10"/>
        <v>1</v>
      </c>
      <c r="N270">
        <f>VLOOKUP(A270,Database!$A$2:$I$948,5,0)</f>
        <v>1</v>
      </c>
    </row>
    <row r="271" spans="1:14" hidden="1" x14ac:dyDescent="0.35">
      <c r="A271" s="3">
        <v>103409975</v>
      </c>
      <c r="B271" s="3" t="s">
        <v>111</v>
      </c>
      <c r="C271" s="3" t="str">
        <f t="shared" si="9"/>
        <v>2022-07-07</v>
      </c>
      <c r="D271" s="3" t="s">
        <v>9</v>
      </c>
      <c r="E271" s="3" t="s">
        <v>5</v>
      </c>
      <c r="F271" s="3" t="s">
        <v>10</v>
      </c>
      <c r="G271" s="3" t="s">
        <v>112</v>
      </c>
      <c r="H271" s="3" t="s">
        <v>113</v>
      </c>
      <c r="I271" s="4">
        <v>5229.75</v>
      </c>
      <c r="J271" s="3" t="s">
        <v>11</v>
      </c>
      <c r="K271">
        <f>MATCH(A271,Database!$A$2:$A$948,0)</f>
        <v>675</v>
      </c>
      <c r="L271">
        <f>VLOOKUP(A271,Database!$A$2:$I$948,4,0)</f>
        <v>5229.75</v>
      </c>
      <c r="M271" t="b">
        <f t="shared" si="10"/>
        <v>1</v>
      </c>
      <c r="N271">
        <f>VLOOKUP(A271,Database!$A$2:$I$948,5,0)</f>
        <v>5</v>
      </c>
    </row>
    <row r="272" spans="1:14" hidden="1" x14ac:dyDescent="0.35">
      <c r="A272" s="3">
        <v>103410080</v>
      </c>
      <c r="B272" s="3" t="s">
        <v>114</v>
      </c>
      <c r="C272" s="3" t="str">
        <f t="shared" si="9"/>
        <v>2022-07-07</v>
      </c>
      <c r="D272" s="3" t="s">
        <v>9</v>
      </c>
      <c r="E272" s="3" t="s">
        <v>5</v>
      </c>
      <c r="F272" s="3" t="s">
        <v>10</v>
      </c>
      <c r="G272" s="3" t="s">
        <v>115</v>
      </c>
      <c r="H272" s="3" t="s">
        <v>116</v>
      </c>
      <c r="I272" s="5">
        <v>1678</v>
      </c>
      <c r="J272" s="3" t="s">
        <v>11</v>
      </c>
      <c r="K272">
        <f>MATCH(A272,Database!$A$2:$A$948,0)</f>
        <v>700</v>
      </c>
      <c r="L272">
        <f>VLOOKUP(A272,Database!$A$2:$I$948,4,0)</f>
        <v>1678</v>
      </c>
      <c r="M272" t="b">
        <f t="shared" si="10"/>
        <v>1</v>
      </c>
      <c r="N272">
        <f>VLOOKUP(A272,Database!$A$2:$I$948,5,0)</f>
        <v>2</v>
      </c>
    </row>
    <row r="273" spans="1:14" hidden="1" x14ac:dyDescent="0.35">
      <c r="A273" s="3">
        <v>103410077</v>
      </c>
      <c r="B273" s="3" t="s">
        <v>117</v>
      </c>
      <c r="C273" s="3" t="str">
        <f t="shared" si="9"/>
        <v>2022-07-07</v>
      </c>
      <c r="D273" s="3" t="s">
        <v>9</v>
      </c>
      <c r="E273" s="3" t="s">
        <v>5</v>
      </c>
      <c r="F273" s="3" t="s">
        <v>10</v>
      </c>
      <c r="G273" s="3" t="s">
        <v>118</v>
      </c>
      <c r="H273" s="3" t="s">
        <v>119</v>
      </c>
      <c r="I273" s="3">
        <v>740.05</v>
      </c>
      <c r="J273" s="3" t="s">
        <v>11</v>
      </c>
      <c r="K273">
        <f>MATCH(A273,Database!$A$2:$A$948,0)</f>
        <v>699</v>
      </c>
      <c r="L273">
        <f>VLOOKUP(A273,Database!$A$2:$I$948,4,0)</f>
        <v>740.05</v>
      </c>
      <c r="M273" t="b">
        <f t="shared" si="10"/>
        <v>1</v>
      </c>
      <c r="N273">
        <f>VLOOKUP(A273,Database!$A$2:$I$948,5,0)</f>
        <v>1</v>
      </c>
    </row>
    <row r="274" spans="1:14" hidden="1" x14ac:dyDescent="0.35">
      <c r="A274" s="3">
        <v>103410074</v>
      </c>
      <c r="B274" s="3" t="s">
        <v>120</v>
      </c>
      <c r="C274" s="3" t="str">
        <f t="shared" si="9"/>
        <v>2022-07-07</v>
      </c>
      <c r="D274" s="3" t="s">
        <v>9</v>
      </c>
      <c r="E274" s="3" t="s">
        <v>5</v>
      </c>
      <c r="F274" s="3" t="s">
        <v>10</v>
      </c>
      <c r="G274" s="3" t="s">
        <v>121</v>
      </c>
      <c r="H274" s="3" t="s">
        <v>122</v>
      </c>
      <c r="I274" s="5">
        <v>3499</v>
      </c>
      <c r="J274" s="3" t="s">
        <v>11</v>
      </c>
      <c r="K274">
        <f>MATCH(A274,Database!$A$2:$A$948,0)</f>
        <v>698</v>
      </c>
      <c r="L274">
        <f>VLOOKUP(A274,Database!$A$2:$I$948,4,0)</f>
        <v>3499</v>
      </c>
      <c r="M274" t="b">
        <f t="shared" si="10"/>
        <v>1</v>
      </c>
      <c r="N274">
        <f>VLOOKUP(A274,Database!$A$2:$I$948,5,0)</f>
        <v>1</v>
      </c>
    </row>
    <row r="275" spans="1:14" hidden="1" x14ac:dyDescent="0.35">
      <c r="A275" s="3">
        <v>103410068</v>
      </c>
      <c r="B275" s="3" t="s">
        <v>123</v>
      </c>
      <c r="C275" s="3" t="str">
        <f t="shared" si="9"/>
        <v>2022-07-07</v>
      </c>
      <c r="D275" s="3" t="s">
        <v>9</v>
      </c>
      <c r="E275" s="3" t="s">
        <v>5</v>
      </c>
      <c r="F275" s="3" t="s">
        <v>10</v>
      </c>
      <c r="G275" s="3" t="s">
        <v>124</v>
      </c>
      <c r="H275" s="3" t="s">
        <v>125</v>
      </c>
      <c r="I275" s="5">
        <v>1399</v>
      </c>
      <c r="J275" s="3" t="s">
        <v>11</v>
      </c>
      <c r="K275">
        <f>MATCH(A275,Database!$A$2:$A$948,0)</f>
        <v>697</v>
      </c>
      <c r="L275">
        <f>VLOOKUP(A275,Database!$A$2:$I$948,4,0)</f>
        <v>1399</v>
      </c>
      <c r="M275" t="b">
        <f t="shared" si="10"/>
        <v>1</v>
      </c>
      <c r="N275">
        <f>VLOOKUP(A275,Database!$A$2:$I$948,5,0)</f>
        <v>1</v>
      </c>
    </row>
    <row r="276" spans="1:14" hidden="1" x14ac:dyDescent="0.35">
      <c r="A276" s="3">
        <v>103410067</v>
      </c>
      <c r="B276" s="3" t="s">
        <v>126</v>
      </c>
      <c r="C276" s="3" t="str">
        <f t="shared" si="9"/>
        <v>2022-07-07</v>
      </c>
      <c r="D276" s="3" t="s">
        <v>9</v>
      </c>
      <c r="E276" s="3" t="s">
        <v>5</v>
      </c>
      <c r="F276" s="3" t="s">
        <v>12</v>
      </c>
      <c r="G276" s="3" t="s">
        <v>127</v>
      </c>
      <c r="H276" s="3" t="s">
        <v>128</v>
      </c>
      <c r="I276" s="5">
        <v>9999</v>
      </c>
      <c r="J276" s="3" t="s">
        <v>11</v>
      </c>
      <c r="K276">
        <f>MATCH(A276,Database!$A$2:$A$948,0)</f>
        <v>696</v>
      </c>
      <c r="L276">
        <f>VLOOKUP(A276,Database!$A$2:$I$948,4,0)</f>
        <v>9999</v>
      </c>
      <c r="M276" t="b">
        <f t="shared" si="10"/>
        <v>1</v>
      </c>
      <c r="N276">
        <f>VLOOKUP(A276,Database!$A$2:$I$948,5,0)</f>
        <v>1</v>
      </c>
    </row>
    <row r="277" spans="1:14" hidden="1" x14ac:dyDescent="0.35">
      <c r="A277" s="3">
        <v>103409971</v>
      </c>
      <c r="B277" s="3" t="s">
        <v>129</v>
      </c>
      <c r="C277" s="3" t="str">
        <f t="shared" si="9"/>
        <v>2022-07-07</v>
      </c>
      <c r="D277" s="3" t="s">
        <v>9</v>
      </c>
      <c r="E277" s="3" t="s">
        <v>5</v>
      </c>
      <c r="F277" s="3" t="s">
        <v>10</v>
      </c>
      <c r="G277" s="3" t="s">
        <v>130</v>
      </c>
      <c r="H277" s="3" t="s">
        <v>131</v>
      </c>
      <c r="I277" s="5">
        <v>2269</v>
      </c>
      <c r="J277" s="3" t="s">
        <v>11</v>
      </c>
      <c r="K277">
        <f>MATCH(A277,Database!$A$2:$A$948,0)</f>
        <v>674</v>
      </c>
      <c r="L277">
        <f>VLOOKUP(A277,Database!$A$2:$I$948,4,0)</f>
        <v>2269</v>
      </c>
      <c r="M277" t="b">
        <f t="shared" si="10"/>
        <v>1</v>
      </c>
      <c r="N277">
        <f>VLOOKUP(A277,Database!$A$2:$I$948,5,0)</f>
        <v>1</v>
      </c>
    </row>
    <row r="278" spans="1:14" hidden="1" x14ac:dyDescent="0.35">
      <c r="A278" s="3">
        <v>103409970</v>
      </c>
      <c r="B278" s="3" t="s">
        <v>132</v>
      </c>
      <c r="C278" s="3" t="str">
        <f t="shared" si="9"/>
        <v>2022-07-07</v>
      </c>
      <c r="D278" s="3" t="s">
        <v>9</v>
      </c>
      <c r="E278" s="3" t="s">
        <v>5</v>
      </c>
      <c r="F278" s="3" t="s">
        <v>10</v>
      </c>
      <c r="G278" s="3" t="s">
        <v>133</v>
      </c>
      <c r="H278" s="3" t="s">
        <v>134</v>
      </c>
      <c r="I278" s="3">
        <v>768.55</v>
      </c>
      <c r="J278" s="3" t="s">
        <v>11</v>
      </c>
      <c r="K278">
        <f>MATCH(A278,Database!$A$2:$A$948,0)</f>
        <v>673</v>
      </c>
      <c r="L278">
        <f>VLOOKUP(A278,Database!$A$2:$I$948,4,0)</f>
        <v>768.55</v>
      </c>
      <c r="M278" t="b">
        <f t="shared" si="10"/>
        <v>1</v>
      </c>
      <c r="N278">
        <f>VLOOKUP(A278,Database!$A$2:$I$948,5,0)</f>
        <v>1</v>
      </c>
    </row>
    <row r="279" spans="1:14" hidden="1" x14ac:dyDescent="0.35">
      <c r="A279" s="3">
        <v>103409964</v>
      </c>
      <c r="B279" s="3" t="s">
        <v>135</v>
      </c>
      <c r="C279" s="3" t="str">
        <f t="shared" si="9"/>
        <v>2022-07-07</v>
      </c>
      <c r="D279" s="3" t="s">
        <v>9</v>
      </c>
      <c r="E279" s="3" t="s">
        <v>5</v>
      </c>
      <c r="F279" s="3" t="s">
        <v>10</v>
      </c>
      <c r="G279" s="3" t="s">
        <v>136</v>
      </c>
      <c r="H279" s="3" t="s">
        <v>137</v>
      </c>
      <c r="I279" s="4">
        <v>3304.1</v>
      </c>
      <c r="J279" s="3" t="s">
        <v>11</v>
      </c>
      <c r="K279">
        <f>MATCH(A279,Database!$A$2:$A$948,0)</f>
        <v>672</v>
      </c>
      <c r="L279">
        <f>VLOOKUP(A279,Database!$A$2:$I$948,4,0)</f>
        <v>3304.1</v>
      </c>
      <c r="M279" t="b">
        <f t="shared" si="10"/>
        <v>1</v>
      </c>
      <c r="N279">
        <f>VLOOKUP(A279,Database!$A$2:$I$948,5,0)</f>
        <v>2</v>
      </c>
    </row>
    <row r="280" spans="1:14" hidden="1" x14ac:dyDescent="0.35">
      <c r="A280" s="3">
        <v>103409962</v>
      </c>
      <c r="B280" s="3" t="s">
        <v>138</v>
      </c>
      <c r="C280" s="3" t="str">
        <f t="shared" si="9"/>
        <v>2022-07-07</v>
      </c>
      <c r="D280" s="3" t="s">
        <v>9</v>
      </c>
      <c r="E280" s="3" t="s">
        <v>5</v>
      </c>
      <c r="F280" s="3" t="s">
        <v>12</v>
      </c>
      <c r="G280" s="3" t="s">
        <v>139</v>
      </c>
      <c r="H280" s="3" t="s">
        <v>140</v>
      </c>
      <c r="I280" s="5">
        <v>1838</v>
      </c>
      <c r="J280" s="3" t="s">
        <v>11</v>
      </c>
      <c r="K280">
        <f>MATCH(A280,Database!$A$2:$A$948,0)</f>
        <v>671</v>
      </c>
      <c r="L280">
        <f>VLOOKUP(A280,Database!$A$2:$I$948,4,0)</f>
        <v>1838</v>
      </c>
      <c r="M280" t="b">
        <f t="shared" si="10"/>
        <v>1</v>
      </c>
      <c r="N280">
        <f>VLOOKUP(A280,Database!$A$2:$I$948,5,0)</f>
        <v>2</v>
      </c>
    </row>
    <row r="281" spans="1:14" hidden="1" x14ac:dyDescent="0.35">
      <c r="A281" s="3">
        <v>103409961</v>
      </c>
      <c r="B281" s="3" t="s">
        <v>141</v>
      </c>
      <c r="C281" s="3" t="str">
        <f t="shared" si="9"/>
        <v>2022-07-07</v>
      </c>
      <c r="D281" s="3" t="s">
        <v>9</v>
      </c>
      <c r="E281" s="3" t="s">
        <v>5</v>
      </c>
      <c r="F281" s="3" t="s">
        <v>12</v>
      </c>
      <c r="G281" s="3" t="s">
        <v>142</v>
      </c>
      <c r="H281" s="3" t="s">
        <v>143</v>
      </c>
      <c r="I281" s="4">
        <v>6174.05</v>
      </c>
      <c r="J281" s="3" t="s">
        <v>11</v>
      </c>
      <c r="K281">
        <f>MATCH(A281,Database!$A$2:$A$948,0)</f>
        <v>670</v>
      </c>
      <c r="L281">
        <f>VLOOKUP(A281,Database!$A$2:$I$948,4,0)</f>
        <v>6174.05</v>
      </c>
      <c r="M281" t="b">
        <f t="shared" si="10"/>
        <v>1</v>
      </c>
      <c r="N281">
        <f>VLOOKUP(A281,Database!$A$2:$I$948,5,0)</f>
        <v>1</v>
      </c>
    </row>
    <row r="282" spans="1:14" hidden="1" x14ac:dyDescent="0.35">
      <c r="A282" s="3">
        <v>103409954</v>
      </c>
      <c r="B282" s="3" t="s">
        <v>144</v>
      </c>
      <c r="C282" s="3" t="str">
        <f t="shared" si="9"/>
        <v>2022-07-07</v>
      </c>
      <c r="D282" s="3" t="s">
        <v>9</v>
      </c>
      <c r="E282" s="3" t="s">
        <v>5</v>
      </c>
      <c r="F282" s="3" t="s">
        <v>12</v>
      </c>
      <c r="G282" s="3" t="s">
        <v>145</v>
      </c>
      <c r="H282" s="3" t="s">
        <v>146</v>
      </c>
      <c r="I282" s="4">
        <v>2345.5500000000002</v>
      </c>
      <c r="J282" s="3" t="s">
        <v>11</v>
      </c>
      <c r="K282">
        <f>MATCH(A282,Database!$A$2:$A$948,0)</f>
        <v>669</v>
      </c>
      <c r="L282">
        <f>VLOOKUP(A282,Database!$A$2:$I$948,4,0)</f>
        <v>2345.5500000000002</v>
      </c>
      <c r="M282" t="b">
        <f t="shared" si="10"/>
        <v>1</v>
      </c>
      <c r="N282">
        <f>VLOOKUP(A282,Database!$A$2:$I$948,5,0)</f>
        <v>1</v>
      </c>
    </row>
    <row r="283" spans="1:14" hidden="1" x14ac:dyDescent="0.35">
      <c r="A283" s="3">
        <v>103409953</v>
      </c>
      <c r="B283" s="3" t="s">
        <v>147</v>
      </c>
      <c r="C283" s="3" t="str">
        <f t="shared" si="9"/>
        <v>2022-07-07</v>
      </c>
      <c r="D283" s="3" t="s">
        <v>9</v>
      </c>
      <c r="E283" s="3" t="s">
        <v>5</v>
      </c>
      <c r="F283" s="3" t="s">
        <v>10</v>
      </c>
      <c r="G283" s="3" t="s">
        <v>148</v>
      </c>
      <c r="H283" s="3" t="s">
        <v>149</v>
      </c>
      <c r="I283" s="4">
        <v>1799.1</v>
      </c>
      <c r="J283" s="3" t="s">
        <v>11</v>
      </c>
      <c r="K283">
        <f>MATCH(A283,Database!$A$2:$A$948,0)</f>
        <v>668</v>
      </c>
      <c r="L283">
        <f>VLOOKUP(A283,Database!$A$2:$I$948,4,0)</f>
        <v>1799.1</v>
      </c>
      <c r="M283" t="b">
        <f t="shared" si="10"/>
        <v>1</v>
      </c>
      <c r="N283">
        <f>VLOOKUP(A283,Database!$A$2:$I$948,5,0)</f>
        <v>1</v>
      </c>
    </row>
    <row r="284" spans="1:14" hidden="1" x14ac:dyDescent="0.35">
      <c r="A284" s="3">
        <v>103409945</v>
      </c>
      <c r="B284" s="3" t="s">
        <v>150</v>
      </c>
      <c r="C284" s="3" t="str">
        <f t="shared" si="9"/>
        <v>2022-07-07</v>
      </c>
      <c r="D284" s="3" t="s">
        <v>9</v>
      </c>
      <c r="E284" s="3" t="s">
        <v>5</v>
      </c>
      <c r="F284" s="3" t="s">
        <v>12</v>
      </c>
      <c r="G284" s="3" t="s">
        <v>151</v>
      </c>
      <c r="H284" s="3" t="s">
        <v>152</v>
      </c>
      <c r="I284" s="5">
        <v>4899</v>
      </c>
      <c r="J284" s="3" t="s">
        <v>11</v>
      </c>
      <c r="K284">
        <f>MATCH(A284,Database!$A$2:$A$948,0)</f>
        <v>667</v>
      </c>
      <c r="L284">
        <f>VLOOKUP(A284,Database!$A$2:$I$948,4,0)</f>
        <v>4899</v>
      </c>
      <c r="M284" t="b">
        <f t="shared" si="10"/>
        <v>1</v>
      </c>
      <c r="N284">
        <f>VLOOKUP(A284,Database!$A$2:$I$948,5,0)</f>
        <v>1</v>
      </c>
    </row>
    <row r="285" spans="1:14" hidden="1" x14ac:dyDescent="0.35">
      <c r="A285" s="3">
        <v>103409762</v>
      </c>
      <c r="B285" s="3" t="s">
        <v>4754</v>
      </c>
      <c r="C285" s="3" t="str">
        <f t="shared" si="9"/>
        <v>2022-07-07</v>
      </c>
      <c r="D285" s="3" t="s">
        <v>9</v>
      </c>
      <c r="E285" s="3" t="s">
        <v>5</v>
      </c>
      <c r="F285" s="3" t="s">
        <v>10</v>
      </c>
      <c r="G285" s="3" t="s">
        <v>121</v>
      </c>
      <c r="H285" s="3" t="s">
        <v>122</v>
      </c>
      <c r="I285" s="3">
        <v>417.05</v>
      </c>
      <c r="J285" s="3" t="s">
        <v>13</v>
      </c>
      <c r="K285">
        <f>MATCH(A285,Database!$A$2:$A$948,0)</f>
        <v>632</v>
      </c>
      <c r="L285">
        <f>VLOOKUP(A285,Database!$A$2:$I$948,4,0)</f>
        <v>417.05</v>
      </c>
      <c r="M285" t="b">
        <f t="shared" si="10"/>
        <v>1</v>
      </c>
      <c r="N285">
        <f>VLOOKUP(A285,Database!$A$2:$I$948,5,0)</f>
        <v>1</v>
      </c>
    </row>
    <row r="286" spans="1:14" hidden="1" x14ac:dyDescent="0.35">
      <c r="A286" s="3">
        <v>103409941</v>
      </c>
      <c r="B286" s="3" t="s">
        <v>153</v>
      </c>
      <c r="C286" s="3" t="str">
        <f t="shared" si="9"/>
        <v>2022-07-07</v>
      </c>
      <c r="D286" s="3" t="s">
        <v>9</v>
      </c>
      <c r="E286" s="3" t="s">
        <v>5</v>
      </c>
      <c r="F286" s="3" t="s">
        <v>10</v>
      </c>
      <c r="G286" s="3" t="s">
        <v>154</v>
      </c>
      <c r="H286" s="3" t="s">
        <v>155</v>
      </c>
      <c r="I286" s="3">
        <v>569.04999999999995</v>
      </c>
      <c r="J286" s="3" t="s">
        <v>11</v>
      </c>
      <c r="K286">
        <f>MATCH(A286,Database!$A$2:$A$948,0)</f>
        <v>666</v>
      </c>
      <c r="L286">
        <f>VLOOKUP(A286,Database!$A$2:$I$948,4,0)</f>
        <v>569.04999999999995</v>
      </c>
      <c r="M286" t="b">
        <f t="shared" si="10"/>
        <v>1</v>
      </c>
      <c r="N286">
        <f>VLOOKUP(A286,Database!$A$2:$I$948,5,0)</f>
        <v>1</v>
      </c>
    </row>
    <row r="287" spans="1:14" hidden="1" x14ac:dyDescent="0.35">
      <c r="A287" s="3">
        <v>103409757</v>
      </c>
      <c r="B287" s="3" t="s">
        <v>156</v>
      </c>
      <c r="C287" s="3" t="str">
        <f t="shared" si="9"/>
        <v>2022-07-07</v>
      </c>
      <c r="D287" s="3" t="s">
        <v>9</v>
      </c>
      <c r="E287" s="3" t="s">
        <v>5</v>
      </c>
      <c r="F287" s="3" t="s">
        <v>10</v>
      </c>
      <c r="G287" s="3" t="s">
        <v>157</v>
      </c>
      <c r="H287" s="3" t="s">
        <v>158</v>
      </c>
      <c r="I287" s="4">
        <v>4008.05</v>
      </c>
      <c r="J287" s="3" t="s">
        <v>11</v>
      </c>
      <c r="K287">
        <f>MATCH(A287,Database!$A$2:$A$948,0)</f>
        <v>631</v>
      </c>
      <c r="L287">
        <f>VLOOKUP(A287,Database!$A$2:$I$948,4,0)</f>
        <v>4008.05</v>
      </c>
      <c r="M287" t="b">
        <f t="shared" si="10"/>
        <v>1</v>
      </c>
      <c r="N287">
        <f>VLOOKUP(A287,Database!$A$2:$I$948,5,0)</f>
        <v>1</v>
      </c>
    </row>
    <row r="288" spans="1:14" hidden="1" x14ac:dyDescent="0.35">
      <c r="A288" s="3">
        <v>103409926</v>
      </c>
      <c r="B288" s="3" t="s">
        <v>159</v>
      </c>
      <c r="C288" s="3" t="str">
        <f t="shared" si="9"/>
        <v>2022-07-07</v>
      </c>
      <c r="D288" s="3" t="s">
        <v>9</v>
      </c>
      <c r="E288" s="3" t="s">
        <v>5</v>
      </c>
      <c r="F288" s="3" t="s">
        <v>10</v>
      </c>
      <c r="G288" s="3" t="s">
        <v>160</v>
      </c>
      <c r="H288" s="3" t="s">
        <v>161</v>
      </c>
      <c r="I288" s="5">
        <v>1249</v>
      </c>
      <c r="J288" s="3" t="s">
        <v>11</v>
      </c>
      <c r="K288">
        <f>MATCH(A288,Database!$A$2:$A$948,0)</f>
        <v>665</v>
      </c>
      <c r="L288">
        <f>VLOOKUP(A288,Database!$A$2:$I$948,4,0)</f>
        <v>1249</v>
      </c>
      <c r="M288" t="b">
        <f t="shared" si="10"/>
        <v>1</v>
      </c>
      <c r="N288">
        <f>VLOOKUP(A288,Database!$A$2:$I$948,5,0)</f>
        <v>1</v>
      </c>
    </row>
    <row r="289" spans="1:14" hidden="1" x14ac:dyDescent="0.35">
      <c r="A289" s="3">
        <v>103409923</v>
      </c>
      <c r="B289" s="3" t="s">
        <v>162</v>
      </c>
      <c r="C289" s="3" t="str">
        <f t="shared" si="9"/>
        <v>2022-07-07</v>
      </c>
      <c r="D289" s="3" t="s">
        <v>9</v>
      </c>
      <c r="E289" s="3" t="s">
        <v>5</v>
      </c>
      <c r="F289" s="3" t="s">
        <v>10</v>
      </c>
      <c r="G289" s="3" t="s">
        <v>163</v>
      </c>
      <c r="H289" s="3" t="s">
        <v>164</v>
      </c>
      <c r="I289" s="5">
        <v>2999</v>
      </c>
      <c r="J289" s="3" t="s">
        <v>11</v>
      </c>
      <c r="K289">
        <f>MATCH(A289,Database!$A$2:$A$948,0)</f>
        <v>664</v>
      </c>
      <c r="L289">
        <f>VLOOKUP(A289,Database!$A$2:$I$948,4,0)</f>
        <v>2999</v>
      </c>
      <c r="M289" t="b">
        <f t="shared" si="10"/>
        <v>1</v>
      </c>
      <c r="N289">
        <f>VLOOKUP(A289,Database!$A$2:$I$948,5,0)</f>
        <v>1</v>
      </c>
    </row>
    <row r="290" spans="1:14" hidden="1" x14ac:dyDescent="0.35">
      <c r="A290" s="3">
        <v>103409755</v>
      </c>
      <c r="B290" s="3" t="s">
        <v>165</v>
      </c>
      <c r="C290" s="3" t="str">
        <f t="shared" si="9"/>
        <v>2022-07-07</v>
      </c>
      <c r="D290" s="3" t="s">
        <v>9</v>
      </c>
      <c r="E290" s="3" t="s">
        <v>5</v>
      </c>
      <c r="F290" s="3" t="s">
        <v>10</v>
      </c>
      <c r="G290" s="3" t="s">
        <v>166</v>
      </c>
      <c r="H290" s="3" t="s">
        <v>167</v>
      </c>
      <c r="I290" s="5">
        <v>1539</v>
      </c>
      <c r="J290" s="3" t="s">
        <v>11</v>
      </c>
      <c r="K290">
        <f>MATCH(A290,Database!$A$2:$A$948,0)</f>
        <v>630</v>
      </c>
      <c r="L290">
        <f>VLOOKUP(A290,Database!$A$2:$I$948,4,0)</f>
        <v>1539</v>
      </c>
      <c r="M290" t="b">
        <f t="shared" si="10"/>
        <v>1</v>
      </c>
      <c r="N290">
        <f>VLOOKUP(A290,Database!$A$2:$I$948,5,0)</f>
        <v>1</v>
      </c>
    </row>
    <row r="291" spans="1:14" hidden="1" x14ac:dyDescent="0.35">
      <c r="A291" s="3">
        <v>103409754</v>
      </c>
      <c r="B291" s="3" t="s">
        <v>168</v>
      </c>
      <c r="C291" s="3" t="str">
        <f t="shared" si="9"/>
        <v>2022-07-07</v>
      </c>
      <c r="D291" s="3" t="s">
        <v>9</v>
      </c>
      <c r="E291" s="3" t="s">
        <v>5</v>
      </c>
      <c r="F291" s="3" t="s">
        <v>10</v>
      </c>
      <c r="G291" s="3" t="s">
        <v>169</v>
      </c>
      <c r="H291" s="3" t="s">
        <v>170</v>
      </c>
      <c r="I291" s="4">
        <v>1994.05</v>
      </c>
      <c r="J291" s="3" t="s">
        <v>11</v>
      </c>
      <c r="K291">
        <f>MATCH(A291,Database!$A$2:$A$948,0)</f>
        <v>629</v>
      </c>
      <c r="L291">
        <f>VLOOKUP(A291,Database!$A$2:$I$948,4,0)</f>
        <v>1994.05</v>
      </c>
      <c r="M291" t="b">
        <f t="shared" si="10"/>
        <v>1</v>
      </c>
      <c r="N291">
        <f>VLOOKUP(A291,Database!$A$2:$I$948,5,0)</f>
        <v>1</v>
      </c>
    </row>
    <row r="292" spans="1:14" hidden="1" x14ac:dyDescent="0.35">
      <c r="A292" s="3">
        <v>103409915</v>
      </c>
      <c r="B292" s="3" t="s">
        <v>171</v>
      </c>
      <c r="C292" s="3" t="str">
        <f t="shared" si="9"/>
        <v>2022-07-07</v>
      </c>
      <c r="D292" s="3" t="s">
        <v>9</v>
      </c>
      <c r="E292" s="3" t="s">
        <v>5</v>
      </c>
      <c r="F292" s="3" t="s">
        <v>10</v>
      </c>
      <c r="G292" s="3" t="s">
        <v>172</v>
      </c>
      <c r="H292" s="3" t="s">
        <v>173</v>
      </c>
      <c r="I292" s="4">
        <v>4008.05</v>
      </c>
      <c r="J292" s="3" t="s">
        <v>11</v>
      </c>
      <c r="K292">
        <f>MATCH(A292,Database!$A$2:$A$948,0)</f>
        <v>663</v>
      </c>
      <c r="L292">
        <f>VLOOKUP(A292,Database!$A$2:$I$948,4,0)</f>
        <v>4008.05</v>
      </c>
      <c r="M292" t="b">
        <f t="shared" si="10"/>
        <v>1</v>
      </c>
      <c r="N292">
        <f>VLOOKUP(A292,Database!$A$2:$I$948,5,0)</f>
        <v>1</v>
      </c>
    </row>
    <row r="293" spans="1:14" hidden="1" x14ac:dyDescent="0.35">
      <c r="A293" s="3">
        <v>103409911</v>
      </c>
      <c r="B293" s="3" t="s">
        <v>174</v>
      </c>
      <c r="C293" s="3" t="str">
        <f t="shared" si="9"/>
        <v>2022-07-07</v>
      </c>
      <c r="D293" s="3" t="s">
        <v>9</v>
      </c>
      <c r="E293" s="3" t="s">
        <v>5</v>
      </c>
      <c r="F293" s="3" t="s">
        <v>10</v>
      </c>
      <c r="G293" s="3" t="s">
        <v>175</v>
      </c>
      <c r="H293" s="3" t="s">
        <v>176</v>
      </c>
      <c r="I293" s="4">
        <v>1310.05</v>
      </c>
      <c r="J293" s="3" t="s">
        <v>11</v>
      </c>
      <c r="K293">
        <f>MATCH(A293,Database!$A$2:$A$948,0)</f>
        <v>662</v>
      </c>
      <c r="L293">
        <f>VLOOKUP(A293,Database!$A$2:$I$948,4,0)</f>
        <v>1310.05</v>
      </c>
      <c r="M293" t="b">
        <f t="shared" si="10"/>
        <v>1</v>
      </c>
      <c r="N293">
        <f>VLOOKUP(A293,Database!$A$2:$I$948,5,0)</f>
        <v>1</v>
      </c>
    </row>
    <row r="294" spans="1:14" hidden="1" x14ac:dyDescent="0.35">
      <c r="A294" s="3">
        <v>103409752</v>
      </c>
      <c r="B294" s="3" t="s">
        <v>177</v>
      </c>
      <c r="C294" s="3" t="str">
        <f t="shared" si="9"/>
        <v>2022-07-07</v>
      </c>
      <c r="D294" s="3" t="s">
        <v>9</v>
      </c>
      <c r="E294" s="3" t="s">
        <v>5</v>
      </c>
      <c r="F294" s="3" t="s">
        <v>10</v>
      </c>
      <c r="G294" s="3" t="s">
        <v>178</v>
      </c>
      <c r="H294" s="3" t="s">
        <v>179</v>
      </c>
      <c r="I294" s="4">
        <v>3134.05</v>
      </c>
      <c r="J294" s="3" t="s">
        <v>11</v>
      </c>
      <c r="K294">
        <f>MATCH(A294,Database!$A$2:$A$948,0)</f>
        <v>628</v>
      </c>
      <c r="L294">
        <f>VLOOKUP(A294,Database!$A$2:$I$948,4,0)</f>
        <v>3134.05</v>
      </c>
      <c r="M294" t="b">
        <f t="shared" si="10"/>
        <v>1</v>
      </c>
      <c r="N294">
        <f>VLOOKUP(A294,Database!$A$2:$I$948,5,0)</f>
        <v>1</v>
      </c>
    </row>
    <row r="295" spans="1:14" hidden="1" x14ac:dyDescent="0.35">
      <c r="A295" s="3">
        <v>103409909</v>
      </c>
      <c r="B295" s="3" t="s">
        <v>180</v>
      </c>
      <c r="C295" s="3" t="str">
        <f t="shared" si="9"/>
        <v>2022-07-07</v>
      </c>
      <c r="D295" s="3" t="s">
        <v>9</v>
      </c>
      <c r="E295" s="3" t="s">
        <v>5</v>
      </c>
      <c r="F295" s="3" t="s">
        <v>10</v>
      </c>
      <c r="G295" s="3" t="s">
        <v>181</v>
      </c>
      <c r="H295" s="3" t="s">
        <v>182</v>
      </c>
      <c r="I295" s="3">
        <v>521.54999999999995</v>
      </c>
      <c r="J295" s="3" t="s">
        <v>11</v>
      </c>
      <c r="K295">
        <f>MATCH(A295,Database!$A$2:$A$948,0)</f>
        <v>661</v>
      </c>
      <c r="L295">
        <f>VLOOKUP(A295,Database!$A$2:$I$948,4,0)</f>
        <v>521.54999999999995</v>
      </c>
      <c r="M295" t="b">
        <f t="shared" si="10"/>
        <v>1</v>
      </c>
      <c r="N295">
        <f>VLOOKUP(A295,Database!$A$2:$I$948,5,0)</f>
        <v>1</v>
      </c>
    </row>
    <row r="296" spans="1:14" hidden="1" x14ac:dyDescent="0.35">
      <c r="A296" s="3">
        <v>103409907</v>
      </c>
      <c r="B296" s="3" t="s">
        <v>183</v>
      </c>
      <c r="C296" s="3" t="str">
        <f t="shared" si="9"/>
        <v>2022-07-07</v>
      </c>
      <c r="D296" s="3" t="s">
        <v>9</v>
      </c>
      <c r="E296" s="3" t="s">
        <v>5</v>
      </c>
      <c r="F296" s="3" t="s">
        <v>10</v>
      </c>
      <c r="G296" s="3" t="s">
        <v>184</v>
      </c>
      <c r="H296" s="3" t="s">
        <v>185</v>
      </c>
      <c r="I296" s="4">
        <v>1451.6</v>
      </c>
      <c r="J296" s="3" t="s">
        <v>11</v>
      </c>
      <c r="K296">
        <f>MATCH(A296,Database!$A$2:$A$948,0)</f>
        <v>660</v>
      </c>
      <c r="L296">
        <f>VLOOKUP(A296,Database!$A$2:$I$948,4,0)</f>
        <v>1451.6</v>
      </c>
      <c r="M296" t="b">
        <f t="shared" si="10"/>
        <v>1</v>
      </c>
      <c r="N296">
        <f>VLOOKUP(A296,Database!$A$2:$I$948,5,0)</f>
        <v>2</v>
      </c>
    </row>
    <row r="297" spans="1:14" hidden="1" x14ac:dyDescent="0.35">
      <c r="A297" s="3">
        <v>103409906</v>
      </c>
      <c r="B297" s="3" t="s">
        <v>186</v>
      </c>
      <c r="C297" s="3" t="str">
        <f t="shared" si="9"/>
        <v>2022-07-07</v>
      </c>
      <c r="D297" s="3" t="s">
        <v>9</v>
      </c>
      <c r="E297" s="3" t="s">
        <v>5</v>
      </c>
      <c r="F297" s="3" t="s">
        <v>10</v>
      </c>
      <c r="G297" s="3" t="s">
        <v>187</v>
      </c>
      <c r="H297" s="3" t="s">
        <v>188</v>
      </c>
      <c r="I297" s="4">
        <v>1025.05</v>
      </c>
      <c r="J297" s="3" t="s">
        <v>11</v>
      </c>
      <c r="K297">
        <f>MATCH(A297,Database!$A$2:$A$948,0)</f>
        <v>659</v>
      </c>
      <c r="L297">
        <f>VLOOKUP(A297,Database!$A$2:$I$948,4,0)</f>
        <v>1025.05</v>
      </c>
      <c r="M297" t="b">
        <f t="shared" si="10"/>
        <v>1</v>
      </c>
      <c r="N297">
        <f>VLOOKUP(A297,Database!$A$2:$I$948,5,0)</f>
        <v>1</v>
      </c>
    </row>
    <row r="298" spans="1:14" hidden="1" x14ac:dyDescent="0.35">
      <c r="A298" s="3">
        <v>103409904</v>
      </c>
      <c r="B298" s="3" t="s">
        <v>189</v>
      </c>
      <c r="C298" s="3" t="str">
        <f t="shared" si="9"/>
        <v>2022-07-07</v>
      </c>
      <c r="D298" s="3" t="s">
        <v>9</v>
      </c>
      <c r="E298" s="3" t="s">
        <v>5</v>
      </c>
      <c r="F298" s="3" t="s">
        <v>10</v>
      </c>
      <c r="G298" s="3" t="s">
        <v>190</v>
      </c>
      <c r="H298" s="3" t="s">
        <v>191</v>
      </c>
      <c r="I298" s="4">
        <v>1157.0999999999999</v>
      </c>
      <c r="J298" s="3" t="s">
        <v>11</v>
      </c>
      <c r="K298">
        <f>MATCH(A298,Database!$A$2:$A$948,0)</f>
        <v>658</v>
      </c>
      <c r="L298">
        <f>VLOOKUP(A298,Database!$A$2:$I$948,4,0)</f>
        <v>1157.0999999999999</v>
      </c>
      <c r="M298" t="b">
        <f t="shared" si="10"/>
        <v>1</v>
      </c>
      <c r="N298">
        <f>VLOOKUP(A298,Database!$A$2:$I$948,5,0)</f>
        <v>2</v>
      </c>
    </row>
    <row r="299" spans="1:14" hidden="1" x14ac:dyDescent="0.35">
      <c r="A299" s="3">
        <v>103409902</v>
      </c>
      <c r="B299" s="3" t="s">
        <v>192</v>
      </c>
      <c r="C299" s="3" t="str">
        <f t="shared" si="9"/>
        <v>2022-07-07</v>
      </c>
      <c r="D299" s="3" t="s">
        <v>9</v>
      </c>
      <c r="E299" s="3" t="s">
        <v>5</v>
      </c>
      <c r="F299" s="3" t="s">
        <v>10</v>
      </c>
      <c r="G299" s="3" t="s">
        <v>193</v>
      </c>
      <c r="H299" s="3" t="s">
        <v>194</v>
      </c>
      <c r="I299" s="4">
        <v>1110.6400000000001</v>
      </c>
      <c r="J299" s="3" t="s">
        <v>11</v>
      </c>
      <c r="K299">
        <f>MATCH(A299,Database!$A$2:$A$948,0)</f>
        <v>657</v>
      </c>
      <c r="L299">
        <f>VLOOKUP(A299,Database!$A$2:$I$948,4,0)</f>
        <v>1110.6400000000001</v>
      </c>
      <c r="M299" t="b">
        <f t="shared" si="10"/>
        <v>1</v>
      </c>
      <c r="N299">
        <f>VLOOKUP(A299,Database!$A$2:$I$948,5,0)</f>
        <v>1</v>
      </c>
    </row>
    <row r="300" spans="1:14" hidden="1" x14ac:dyDescent="0.35">
      <c r="A300" s="3">
        <v>103409749</v>
      </c>
      <c r="B300" s="3" t="s">
        <v>195</v>
      </c>
      <c r="C300" s="3" t="str">
        <f t="shared" si="9"/>
        <v>2022-07-07</v>
      </c>
      <c r="D300" s="3" t="s">
        <v>9</v>
      </c>
      <c r="E300" s="3" t="s">
        <v>5</v>
      </c>
      <c r="F300" s="3" t="s">
        <v>10</v>
      </c>
      <c r="G300" s="3" t="s">
        <v>196</v>
      </c>
      <c r="H300" s="3" t="s">
        <v>197</v>
      </c>
      <c r="I300" s="4">
        <v>2634.4</v>
      </c>
      <c r="J300" s="3" t="s">
        <v>11</v>
      </c>
      <c r="K300">
        <f>MATCH(A300,Database!$A$2:$A$948,0)</f>
        <v>627</v>
      </c>
      <c r="L300">
        <f>VLOOKUP(A300,Database!$A$2:$I$948,4,0)</f>
        <v>2634.4</v>
      </c>
      <c r="M300" t="b">
        <f t="shared" si="10"/>
        <v>1</v>
      </c>
      <c r="N300">
        <f>VLOOKUP(A300,Database!$A$2:$I$948,5,0)</f>
        <v>1</v>
      </c>
    </row>
    <row r="301" spans="1:14" hidden="1" x14ac:dyDescent="0.35">
      <c r="A301" s="3">
        <v>103409748</v>
      </c>
      <c r="B301" s="3" t="s">
        <v>198</v>
      </c>
      <c r="C301" s="3" t="str">
        <f t="shared" si="9"/>
        <v>2022-07-07</v>
      </c>
      <c r="D301" s="3" t="s">
        <v>9</v>
      </c>
      <c r="E301" s="3" t="s">
        <v>5</v>
      </c>
      <c r="F301" s="3" t="s">
        <v>10</v>
      </c>
      <c r="G301" s="3" t="s">
        <v>199</v>
      </c>
      <c r="H301" s="3" t="s">
        <v>200</v>
      </c>
      <c r="I301" s="4">
        <v>4616.1400000000003</v>
      </c>
      <c r="J301" s="3" t="s">
        <v>11</v>
      </c>
      <c r="K301">
        <f>MATCH(A301,Database!$A$2:$A$948,0)</f>
        <v>626</v>
      </c>
      <c r="L301">
        <f>VLOOKUP(A301,Database!$A$2:$I$948,4,0)</f>
        <v>4616.1400000000003</v>
      </c>
      <c r="M301" t="b">
        <f t="shared" si="10"/>
        <v>1</v>
      </c>
      <c r="N301">
        <f>VLOOKUP(A301,Database!$A$2:$I$948,5,0)</f>
        <v>1</v>
      </c>
    </row>
    <row r="302" spans="1:14" hidden="1" x14ac:dyDescent="0.35">
      <c r="A302" s="3">
        <v>103409746</v>
      </c>
      <c r="B302" s="3" t="s">
        <v>201</v>
      </c>
      <c r="C302" s="3" t="str">
        <f t="shared" si="9"/>
        <v>2022-07-07</v>
      </c>
      <c r="D302" s="3" t="s">
        <v>9</v>
      </c>
      <c r="E302" s="3" t="s">
        <v>5</v>
      </c>
      <c r="F302" s="3" t="s">
        <v>12</v>
      </c>
      <c r="G302" s="3" t="s">
        <v>202</v>
      </c>
      <c r="H302" s="3" t="s">
        <v>203</v>
      </c>
      <c r="I302" s="3">
        <v>797.05</v>
      </c>
      <c r="J302" s="3" t="s">
        <v>11</v>
      </c>
      <c r="K302">
        <f>MATCH(A302,Database!$A$2:$A$948,0)</f>
        <v>625</v>
      </c>
      <c r="L302">
        <f>VLOOKUP(A302,Database!$A$2:$I$948,4,0)</f>
        <v>797.05</v>
      </c>
      <c r="M302" t="b">
        <f t="shared" si="10"/>
        <v>1</v>
      </c>
      <c r="N302">
        <f>VLOOKUP(A302,Database!$A$2:$I$948,5,0)</f>
        <v>1</v>
      </c>
    </row>
    <row r="303" spans="1:14" hidden="1" x14ac:dyDescent="0.35">
      <c r="A303" s="3">
        <v>103409897</v>
      </c>
      <c r="B303" s="3" t="s">
        <v>204</v>
      </c>
      <c r="C303" s="3" t="str">
        <f t="shared" si="9"/>
        <v>2022-07-07</v>
      </c>
      <c r="D303" s="3" t="s">
        <v>9</v>
      </c>
      <c r="E303" s="3" t="s">
        <v>5</v>
      </c>
      <c r="F303" s="3" t="s">
        <v>10</v>
      </c>
      <c r="G303" s="3" t="s">
        <v>205</v>
      </c>
      <c r="H303" s="3" t="s">
        <v>206</v>
      </c>
      <c r="I303" s="4">
        <v>3574.45</v>
      </c>
      <c r="J303" s="3" t="s">
        <v>11</v>
      </c>
      <c r="K303">
        <f>MATCH(A303,Database!$A$2:$A$948,0)</f>
        <v>656</v>
      </c>
      <c r="L303">
        <f>VLOOKUP(A303,Database!$A$2:$I$948,4,0)</f>
        <v>3574.45</v>
      </c>
      <c r="M303" t="b">
        <f t="shared" si="10"/>
        <v>1</v>
      </c>
      <c r="N303">
        <f>VLOOKUP(A303,Database!$A$2:$I$948,5,0)</f>
        <v>1</v>
      </c>
    </row>
    <row r="304" spans="1:14" hidden="1" x14ac:dyDescent="0.35">
      <c r="A304" s="3">
        <v>103409744</v>
      </c>
      <c r="B304" s="3" t="s">
        <v>207</v>
      </c>
      <c r="C304" s="3" t="str">
        <f t="shared" si="9"/>
        <v>2022-07-07</v>
      </c>
      <c r="D304" s="3" t="s">
        <v>9</v>
      </c>
      <c r="E304" s="3" t="s">
        <v>5</v>
      </c>
      <c r="F304" s="3" t="s">
        <v>10</v>
      </c>
      <c r="G304" s="3" t="s">
        <v>208</v>
      </c>
      <c r="H304" s="3" t="s">
        <v>209</v>
      </c>
      <c r="I304" s="4">
        <v>3324.05</v>
      </c>
      <c r="J304" s="3" t="s">
        <v>11</v>
      </c>
      <c r="K304">
        <f>MATCH(A304,Database!$A$2:$A$948,0)</f>
        <v>624</v>
      </c>
      <c r="L304">
        <f>VLOOKUP(A304,Database!$A$2:$I$948,4,0)</f>
        <v>3324.05</v>
      </c>
      <c r="M304" t="b">
        <f t="shared" si="10"/>
        <v>1</v>
      </c>
      <c r="N304">
        <f>VLOOKUP(A304,Database!$A$2:$I$948,5,0)</f>
        <v>1</v>
      </c>
    </row>
    <row r="305" spans="1:14" hidden="1" x14ac:dyDescent="0.35">
      <c r="A305" s="3">
        <v>103409893</v>
      </c>
      <c r="B305" s="3" t="s">
        <v>210</v>
      </c>
      <c r="C305" s="3" t="str">
        <f t="shared" si="9"/>
        <v>2022-07-07</v>
      </c>
      <c r="D305" s="3" t="s">
        <v>9</v>
      </c>
      <c r="E305" s="3" t="s">
        <v>5</v>
      </c>
      <c r="F305" s="3" t="s">
        <v>10</v>
      </c>
      <c r="G305" s="3" t="s">
        <v>211</v>
      </c>
      <c r="H305" s="3" t="s">
        <v>212</v>
      </c>
      <c r="I305" s="4">
        <v>4984.6499999999996</v>
      </c>
      <c r="J305" s="3" t="s">
        <v>11</v>
      </c>
      <c r="K305">
        <f>MATCH(A305,Database!$A$2:$A$948,0)</f>
        <v>655</v>
      </c>
      <c r="L305">
        <f>VLOOKUP(A305,Database!$A$2:$I$948,4,0)</f>
        <v>4984.6499999999996</v>
      </c>
      <c r="M305" t="b">
        <f t="shared" si="10"/>
        <v>1</v>
      </c>
      <c r="N305">
        <f>VLOOKUP(A305,Database!$A$2:$I$948,5,0)</f>
        <v>3</v>
      </c>
    </row>
    <row r="306" spans="1:14" hidden="1" x14ac:dyDescent="0.35">
      <c r="A306" s="3">
        <v>103409741</v>
      </c>
      <c r="B306" s="3" t="s">
        <v>213</v>
      </c>
      <c r="C306" s="3" t="str">
        <f t="shared" si="9"/>
        <v>2022-07-07</v>
      </c>
      <c r="D306" s="3" t="s">
        <v>9</v>
      </c>
      <c r="E306" s="3" t="s">
        <v>5</v>
      </c>
      <c r="F306" s="3" t="s">
        <v>10</v>
      </c>
      <c r="G306" s="3" t="s">
        <v>160</v>
      </c>
      <c r="H306" s="3" t="s">
        <v>161</v>
      </c>
      <c r="I306" s="5">
        <v>1259</v>
      </c>
      <c r="J306" s="3" t="s">
        <v>11</v>
      </c>
      <c r="K306">
        <f>MATCH(A306,Database!$A$2:$A$948,0)</f>
        <v>623</v>
      </c>
      <c r="L306">
        <f>VLOOKUP(A306,Database!$A$2:$I$948,4,0)</f>
        <v>1259</v>
      </c>
      <c r="M306" t="b">
        <f t="shared" si="10"/>
        <v>1</v>
      </c>
      <c r="N306">
        <f>VLOOKUP(A306,Database!$A$2:$I$948,5,0)</f>
        <v>1</v>
      </c>
    </row>
    <row r="307" spans="1:14" hidden="1" x14ac:dyDescent="0.35">
      <c r="A307" s="3">
        <v>103409739</v>
      </c>
      <c r="B307" s="3" t="s">
        <v>214</v>
      </c>
      <c r="C307" s="3" t="str">
        <f t="shared" si="9"/>
        <v>2022-07-07</v>
      </c>
      <c r="D307" s="3" t="s">
        <v>9</v>
      </c>
      <c r="E307" s="3" t="s">
        <v>5</v>
      </c>
      <c r="F307" s="3" t="s">
        <v>10</v>
      </c>
      <c r="G307" s="3" t="s">
        <v>215</v>
      </c>
      <c r="H307" s="3" t="s">
        <v>216</v>
      </c>
      <c r="I307" s="4">
        <v>6839.05</v>
      </c>
      <c r="J307" s="3" t="s">
        <v>11</v>
      </c>
      <c r="K307">
        <f>MATCH(A307,Database!$A$2:$A$948,0)</f>
        <v>622</v>
      </c>
      <c r="L307">
        <f>VLOOKUP(A307,Database!$A$2:$I$948,4,0)</f>
        <v>6839.05</v>
      </c>
      <c r="M307" t="b">
        <f t="shared" si="10"/>
        <v>1</v>
      </c>
      <c r="N307">
        <f>VLOOKUP(A307,Database!$A$2:$I$948,5,0)</f>
        <v>1</v>
      </c>
    </row>
    <row r="308" spans="1:14" hidden="1" x14ac:dyDescent="0.35">
      <c r="A308" s="3">
        <v>103409886</v>
      </c>
      <c r="B308" s="3" t="s">
        <v>217</v>
      </c>
      <c r="C308" s="3" t="str">
        <f t="shared" si="9"/>
        <v>2022-07-07</v>
      </c>
      <c r="D308" s="3" t="s">
        <v>9</v>
      </c>
      <c r="E308" s="3" t="s">
        <v>5</v>
      </c>
      <c r="F308" s="3" t="s">
        <v>10</v>
      </c>
      <c r="G308" s="3" t="s">
        <v>218</v>
      </c>
      <c r="H308" s="3" t="s">
        <v>219</v>
      </c>
      <c r="I308" s="4">
        <v>2041.55</v>
      </c>
      <c r="J308" s="3" t="s">
        <v>11</v>
      </c>
      <c r="K308">
        <f>MATCH(A308,Database!$A$2:$A$948,0)</f>
        <v>654</v>
      </c>
      <c r="L308">
        <f>VLOOKUP(A308,Database!$A$2:$I$948,4,0)</f>
        <v>2041.55</v>
      </c>
      <c r="M308" t="b">
        <f t="shared" si="10"/>
        <v>1</v>
      </c>
      <c r="N308">
        <f>VLOOKUP(A308,Database!$A$2:$I$948,5,0)</f>
        <v>1</v>
      </c>
    </row>
    <row r="309" spans="1:14" hidden="1" x14ac:dyDescent="0.35">
      <c r="A309" s="3">
        <v>103409885</v>
      </c>
      <c r="B309" s="3" t="s">
        <v>220</v>
      </c>
      <c r="C309" s="3" t="str">
        <f t="shared" si="9"/>
        <v>2022-07-07</v>
      </c>
      <c r="D309" s="3" t="s">
        <v>9</v>
      </c>
      <c r="E309" s="3" t="s">
        <v>5</v>
      </c>
      <c r="F309" s="3" t="s">
        <v>10</v>
      </c>
      <c r="G309" s="3" t="s">
        <v>221</v>
      </c>
      <c r="H309" s="3" t="s">
        <v>222</v>
      </c>
      <c r="I309" s="5">
        <v>1049</v>
      </c>
      <c r="J309" s="3" t="s">
        <v>11</v>
      </c>
      <c r="K309">
        <f>MATCH(A309,Database!$A$2:$A$948,0)</f>
        <v>653</v>
      </c>
      <c r="L309">
        <f>VLOOKUP(A309,Database!$A$2:$I$948,4,0)</f>
        <v>1049</v>
      </c>
      <c r="M309" t="b">
        <f t="shared" si="10"/>
        <v>1</v>
      </c>
      <c r="N309">
        <f>VLOOKUP(A309,Database!$A$2:$I$948,5,0)</f>
        <v>1</v>
      </c>
    </row>
    <row r="310" spans="1:14" hidden="1" x14ac:dyDescent="0.35">
      <c r="A310" s="3">
        <v>103409729</v>
      </c>
      <c r="B310" s="3" t="s">
        <v>223</v>
      </c>
      <c r="C310" s="3" t="str">
        <f t="shared" si="9"/>
        <v>2022-07-07</v>
      </c>
      <c r="D310" s="3" t="s">
        <v>9</v>
      </c>
      <c r="E310" s="3" t="s">
        <v>5</v>
      </c>
      <c r="F310" s="3" t="s">
        <v>10</v>
      </c>
      <c r="G310" s="3" t="s">
        <v>19</v>
      </c>
      <c r="H310" s="3" t="s">
        <v>224</v>
      </c>
      <c r="I310" s="5">
        <v>4799</v>
      </c>
      <c r="J310" s="3" t="s">
        <v>11</v>
      </c>
      <c r="K310">
        <f>MATCH(A310,Database!$A$2:$A$948,0)</f>
        <v>621</v>
      </c>
      <c r="L310">
        <f>VLOOKUP(A310,Database!$A$2:$I$948,4,0)</f>
        <v>4799</v>
      </c>
      <c r="M310" t="b">
        <f t="shared" si="10"/>
        <v>1</v>
      </c>
      <c r="N310">
        <f>VLOOKUP(A310,Database!$A$2:$I$948,5,0)</f>
        <v>1</v>
      </c>
    </row>
    <row r="311" spans="1:14" hidden="1" x14ac:dyDescent="0.35">
      <c r="A311" s="3">
        <v>103409875</v>
      </c>
      <c r="B311" s="3" t="s">
        <v>225</v>
      </c>
      <c r="C311" s="3" t="str">
        <f t="shared" si="9"/>
        <v>2022-07-07</v>
      </c>
      <c r="D311" s="3" t="s">
        <v>9</v>
      </c>
      <c r="E311" s="3" t="s">
        <v>5</v>
      </c>
      <c r="F311" s="3" t="s">
        <v>10</v>
      </c>
      <c r="G311" s="3" t="s">
        <v>226</v>
      </c>
      <c r="H311" s="3" t="s">
        <v>227</v>
      </c>
      <c r="I311" s="5">
        <v>4799</v>
      </c>
      <c r="J311" s="3" t="s">
        <v>11</v>
      </c>
      <c r="K311">
        <f>MATCH(A311,Database!$A$2:$A$948,0)</f>
        <v>652</v>
      </c>
      <c r="L311">
        <f>VLOOKUP(A311,Database!$A$2:$I$948,4,0)</f>
        <v>4799</v>
      </c>
      <c r="M311" t="b">
        <f t="shared" si="10"/>
        <v>1</v>
      </c>
      <c r="N311">
        <f>VLOOKUP(A311,Database!$A$2:$I$948,5,0)</f>
        <v>1</v>
      </c>
    </row>
    <row r="312" spans="1:14" hidden="1" x14ac:dyDescent="0.35">
      <c r="A312" s="3">
        <v>103409871</v>
      </c>
      <c r="B312" s="3" t="s">
        <v>228</v>
      </c>
      <c r="C312" s="3" t="str">
        <f t="shared" si="9"/>
        <v>2022-07-07</v>
      </c>
      <c r="D312" s="3" t="s">
        <v>9</v>
      </c>
      <c r="E312" s="3" t="s">
        <v>5</v>
      </c>
      <c r="F312" s="3" t="s">
        <v>10</v>
      </c>
      <c r="G312" s="3" t="s">
        <v>229</v>
      </c>
      <c r="H312" s="3" t="s">
        <v>230</v>
      </c>
      <c r="I312" s="3">
        <v>489</v>
      </c>
      <c r="J312" s="3" t="s">
        <v>11</v>
      </c>
      <c r="K312">
        <f>MATCH(A312,Database!$A$2:$A$948,0)</f>
        <v>651</v>
      </c>
      <c r="L312">
        <f>VLOOKUP(A312,Database!$A$2:$I$948,4,0)</f>
        <v>489</v>
      </c>
      <c r="M312" t="b">
        <f t="shared" si="10"/>
        <v>1</v>
      </c>
      <c r="N312">
        <f>VLOOKUP(A312,Database!$A$2:$I$948,5,0)</f>
        <v>1</v>
      </c>
    </row>
    <row r="313" spans="1:14" hidden="1" x14ac:dyDescent="0.35">
      <c r="A313" s="3">
        <v>103409722</v>
      </c>
      <c r="B313" s="3" t="s">
        <v>231</v>
      </c>
      <c r="C313" s="3" t="str">
        <f t="shared" si="9"/>
        <v>2022-07-07</v>
      </c>
      <c r="D313" s="3" t="s">
        <v>9</v>
      </c>
      <c r="E313" s="3" t="s">
        <v>5</v>
      </c>
      <c r="F313" s="3" t="s">
        <v>12</v>
      </c>
      <c r="G313" s="3" t="s">
        <v>232</v>
      </c>
      <c r="H313" s="3" t="s">
        <v>233</v>
      </c>
      <c r="I313" s="3">
        <v>674.1</v>
      </c>
      <c r="J313" s="3" t="s">
        <v>11</v>
      </c>
      <c r="K313">
        <f>MATCH(A313,Database!$A$2:$A$948,0)</f>
        <v>620</v>
      </c>
      <c r="L313">
        <f>VLOOKUP(A313,Database!$A$2:$I$948,4,0)</f>
        <v>674.1</v>
      </c>
      <c r="M313" t="b">
        <f t="shared" si="10"/>
        <v>1</v>
      </c>
      <c r="N313">
        <f>VLOOKUP(A313,Database!$A$2:$I$948,5,0)</f>
        <v>1</v>
      </c>
    </row>
    <row r="314" spans="1:14" hidden="1" x14ac:dyDescent="0.35">
      <c r="A314" s="3">
        <v>103409868</v>
      </c>
      <c r="B314" s="3" t="s">
        <v>234</v>
      </c>
      <c r="C314" s="3" t="str">
        <f t="shared" si="9"/>
        <v>2022-07-07</v>
      </c>
      <c r="D314" s="3" t="s">
        <v>9</v>
      </c>
      <c r="E314" s="3" t="s">
        <v>5</v>
      </c>
      <c r="F314" s="3" t="s">
        <v>10</v>
      </c>
      <c r="G314" s="3" t="s">
        <v>235</v>
      </c>
      <c r="H314" s="3" t="s">
        <v>236</v>
      </c>
      <c r="I314" s="4">
        <v>1899.05</v>
      </c>
      <c r="J314" s="3" t="s">
        <v>11</v>
      </c>
      <c r="K314">
        <f>MATCH(A314,Database!$A$2:$A$948,0)</f>
        <v>650</v>
      </c>
      <c r="L314">
        <f>VLOOKUP(A314,Database!$A$2:$I$948,4,0)</f>
        <v>1899.05</v>
      </c>
      <c r="M314" t="b">
        <f t="shared" si="10"/>
        <v>1</v>
      </c>
      <c r="N314">
        <f>VLOOKUP(A314,Database!$A$2:$I$948,5,0)</f>
        <v>1</v>
      </c>
    </row>
    <row r="315" spans="1:14" hidden="1" x14ac:dyDescent="0.35">
      <c r="A315" s="3">
        <v>103409721</v>
      </c>
      <c r="B315" s="3" t="s">
        <v>237</v>
      </c>
      <c r="C315" s="3" t="str">
        <f t="shared" si="9"/>
        <v>2022-07-07</v>
      </c>
      <c r="D315" s="3" t="s">
        <v>9</v>
      </c>
      <c r="E315" s="3" t="s">
        <v>5</v>
      </c>
      <c r="F315" s="3" t="s">
        <v>10</v>
      </c>
      <c r="G315" s="3" t="s">
        <v>238</v>
      </c>
      <c r="H315" s="3" t="s">
        <v>239</v>
      </c>
      <c r="I315" s="5">
        <v>1868</v>
      </c>
      <c r="J315" s="3" t="s">
        <v>11</v>
      </c>
      <c r="K315">
        <f>MATCH(A315,Database!$A$2:$A$948,0)</f>
        <v>619</v>
      </c>
      <c r="L315">
        <f>VLOOKUP(A315,Database!$A$2:$I$948,4,0)</f>
        <v>1868</v>
      </c>
      <c r="M315" t="b">
        <f t="shared" si="10"/>
        <v>1</v>
      </c>
      <c r="N315">
        <f>VLOOKUP(A315,Database!$A$2:$I$948,5,0)</f>
        <v>2</v>
      </c>
    </row>
    <row r="316" spans="1:14" hidden="1" x14ac:dyDescent="0.35">
      <c r="A316" s="3">
        <v>103409720</v>
      </c>
      <c r="B316" s="3" t="s">
        <v>240</v>
      </c>
      <c r="C316" s="3" t="str">
        <f t="shared" si="9"/>
        <v>2022-07-07</v>
      </c>
      <c r="D316" s="3" t="s">
        <v>9</v>
      </c>
      <c r="E316" s="3" t="s">
        <v>5</v>
      </c>
      <c r="F316" s="3" t="s">
        <v>10</v>
      </c>
      <c r="G316" s="3" t="s">
        <v>241</v>
      </c>
      <c r="H316" s="3" t="s">
        <v>242</v>
      </c>
      <c r="I316" s="4">
        <v>3532.1</v>
      </c>
      <c r="J316" s="3" t="s">
        <v>11</v>
      </c>
      <c r="K316">
        <f>MATCH(A316,Database!$A$2:$A$948,0)</f>
        <v>618</v>
      </c>
      <c r="L316">
        <f>VLOOKUP(A316,Database!$A$2:$I$948,4,0)</f>
        <v>3532.1</v>
      </c>
      <c r="M316" t="b">
        <f t="shared" si="10"/>
        <v>1</v>
      </c>
      <c r="N316">
        <f>VLOOKUP(A316,Database!$A$2:$I$948,5,0)</f>
        <v>2</v>
      </c>
    </row>
    <row r="317" spans="1:14" hidden="1" x14ac:dyDescent="0.35">
      <c r="A317" s="3">
        <v>103409718</v>
      </c>
      <c r="B317" s="3" t="s">
        <v>243</v>
      </c>
      <c r="C317" s="3" t="str">
        <f t="shared" si="9"/>
        <v>2022-07-07</v>
      </c>
      <c r="D317" s="3" t="s">
        <v>9</v>
      </c>
      <c r="E317" s="3" t="s">
        <v>5</v>
      </c>
      <c r="F317" s="3" t="s">
        <v>10</v>
      </c>
      <c r="G317" s="3" t="s">
        <v>244</v>
      </c>
      <c r="H317" s="3" t="s">
        <v>245</v>
      </c>
      <c r="I317" s="5">
        <v>1189</v>
      </c>
      <c r="J317" s="3" t="s">
        <v>11</v>
      </c>
      <c r="K317">
        <f>MATCH(A317,Database!$A$2:$A$948,0)</f>
        <v>617</v>
      </c>
      <c r="L317">
        <f>VLOOKUP(A317,Database!$A$2:$I$948,4,0)</f>
        <v>1189</v>
      </c>
      <c r="M317" t="b">
        <f t="shared" si="10"/>
        <v>1</v>
      </c>
      <c r="N317">
        <f>VLOOKUP(A317,Database!$A$2:$I$948,5,0)</f>
        <v>1</v>
      </c>
    </row>
    <row r="318" spans="1:14" hidden="1" x14ac:dyDescent="0.35">
      <c r="A318" s="3">
        <v>103409859</v>
      </c>
      <c r="B318" s="3" t="s">
        <v>246</v>
      </c>
      <c r="C318" s="3" t="str">
        <f t="shared" si="9"/>
        <v>2022-07-07</v>
      </c>
      <c r="D318" s="3" t="s">
        <v>9</v>
      </c>
      <c r="E318" s="3" t="s">
        <v>5</v>
      </c>
      <c r="F318" s="3" t="s">
        <v>10</v>
      </c>
      <c r="G318" s="3" t="s">
        <v>247</v>
      </c>
      <c r="H318" s="3" t="s">
        <v>248</v>
      </c>
      <c r="I318" s="5">
        <v>2999</v>
      </c>
      <c r="J318" s="3" t="s">
        <v>11</v>
      </c>
      <c r="K318">
        <f>MATCH(A318,Database!$A$2:$A$948,0)</f>
        <v>649</v>
      </c>
      <c r="L318">
        <f>VLOOKUP(A318,Database!$A$2:$I$948,4,0)</f>
        <v>2999</v>
      </c>
      <c r="M318" t="b">
        <f t="shared" si="10"/>
        <v>1</v>
      </c>
      <c r="N318">
        <f>VLOOKUP(A318,Database!$A$2:$I$948,5,0)</f>
        <v>1</v>
      </c>
    </row>
    <row r="319" spans="1:14" hidden="1" x14ac:dyDescent="0.35">
      <c r="A319" s="3">
        <v>103409715</v>
      </c>
      <c r="B319" s="3" t="s">
        <v>249</v>
      </c>
      <c r="C319" s="3" t="str">
        <f t="shared" si="9"/>
        <v>2022-07-07</v>
      </c>
      <c r="D319" s="3" t="s">
        <v>9</v>
      </c>
      <c r="E319" s="3" t="s">
        <v>5</v>
      </c>
      <c r="F319" s="3" t="s">
        <v>10</v>
      </c>
      <c r="G319" s="3" t="s">
        <v>250</v>
      </c>
      <c r="H319" s="3" t="s">
        <v>251</v>
      </c>
      <c r="I319" s="5">
        <v>1299</v>
      </c>
      <c r="J319" s="3" t="s">
        <v>11</v>
      </c>
      <c r="K319">
        <f>MATCH(A319,Database!$A$2:$A$948,0)</f>
        <v>616</v>
      </c>
      <c r="L319">
        <f>VLOOKUP(A319,Database!$A$2:$I$948,4,0)</f>
        <v>1299</v>
      </c>
      <c r="M319" t="b">
        <f t="shared" si="10"/>
        <v>1</v>
      </c>
      <c r="N319">
        <f>VLOOKUP(A319,Database!$A$2:$I$948,5,0)</f>
        <v>1</v>
      </c>
    </row>
    <row r="320" spans="1:14" hidden="1" x14ac:dyDescent="0.35">
      <c r="A320" s="3">
        <v>103409853</v>
      </c>
      <c r="B320" s="3" t="s">
        <v>252</v>
      </c>
      <c r="C320" s="3" t="str">
        <f t="shared" si="9"/>
        <v>2022-07-07</v>
      </c>
      <c r="D320" s="3" t="s">
        <v>9</v>
      </c>
      <c r="E320" s="3" t="s">
        <v>5</v>
      </c>
      <c r="F320" s="3" t="s">
        <v>10</v>
      </c>
      <c r="G320" s="3" t="s">
        <v>253</v>
      </c>
      <c r="H320" s="3" t="s">
        <v>254</v>
      </c>
      <c r="I320" s="4">
        <v>2155.5500000000002</v>
      </c>
      <c r="J320" s="3" t="s">
        <v>11</v>
      </c>
      <c r="K320">
        <f>MATCH(A320,Database!$A$2:$A$948,0)</f>
        <v>648</v>
      </c>
      <c r="L320">
        <f>VLOOKUP(A320,Database!$A$2:$I$948,4,0)</f>
        <v>2155.5500000000002</v>
      </c>
      <c r="M320" t="b">
        <f t="shared" si="10"/>
        <v>1</v>
      </c>
      <c r="N320">
        <f>VLOOKUP(A320,Database!$A$2:$I$948,5,0)</f>
        <v>1</v>
      </c>
    </row>
    <row r="321" spans="1:14" hidden="1" x14ac:dyDescent="0.35">
      <c r="A321" s="3">
        <v>103409709</v>
      </c>
      <c r="B321" s="3" t="s">
        <v>255</v>
      </c>
      <c r="C321" s="3" t="str">
        <f t="shared" si="9"/>
        <v>2022-07-07</v>
      </c>
      <c r="D321" s="3" t="s">
        <v>9</v>
      </c>
      <c r="E321" s="3" t="s">
        <v>5</v>
      </c>
      <c r="F321" s="3" t="s">
        <v>10</v>
      </c>
      <c r="G321" s="3" t="s">
        <v>256</v>
      </c>
      <c r="H321" s="3" t="s">
        <v>257</v>
      </c>
      <c r="I321" s="4">
        <v>2279.0500000000002</v>
      </c>
      <c r="J321" s="3" t="s">
        <v>11</v>
      </c>
      <c r="K321">
        <f>MATCH(A321,Database!$A$2:$A$948,0)</f>
        <v>615</v>
      </c>
      <c r="L321">
        <f>VLOOKUP(A321,Database!$A$2:$I$948,4,0)</f>
        <v>2279.0500000000002</v>
      </c>
      <c r="M321" t="b">
        <f t="shared" si="10"/>
        <v>1</v>
      </c>
      <c r="N321">
        <f>VLOOKUP(A321,Database!$A$2:$I$948,5,0)</f>
        <v>1</v>
      </c>
    </row>
    <row r="322" spans="1:14" hidden="1" x14ac:dyDescent="0.35">
      <c r="A322" s="3">
        <v>103409846</v>
      </c>
      <c r="B322" s="3" t="s">
        <v>258</v>
      </c>
      <c r="C322" s="3" t="str">
        <f t="shared" si="9"/>
        <v>2022-07-07</v>
      </c>
      <c r="D322" s="3" t="s">
        <v>9</v>
      </c>
      <c r="E322" s="3" t="s">
        <v>5</v>
      </c>
      <c r="F322" s="3" t="s">
        <v>10</v>
      </c>
      <c r="G322" s="3" t="s">
        <v>259</v>
      </c>
      <c r="H322" s="3" t="s">
        <v>260</v>
      </c>
      <c r="I322" s="4">
        <v>3077.14</v>
      </c>
      <c r="J322" s="3" t="s">
        <v>11</v>
      </c>
      <c r="K322">
        <f>MATCH(A322,Database!$A$2:$A$948,0)</f>
        <v>647</v>
      </c>
      <c r="L322">
        <f>VLOOKUP(A322,Database!$A$2:$I$948,4,0)</f>
        <v>3077.14</v>
      </c>
      <c r="M322" t="b">
        <f t="shared" si="10"/>
        <v>1</v>
      </c>
      <c r="N322">
        <f>VLOOKUP(A322,Database!$A$2:$I$948,5,0)</f>
        <v>1</v>
      </c>
    </row>
    <row r="323" spans="1:14" hidden="1" x14ac:dyDescent="0.35">
      <c r="A323" s="3">
        <v>103409845</v>
      </c>
      <c r="B323" s="3" t="s">
        <v>261</v>
      </c>
      <c r="C323" s="3" t="str">
        <f t="shared" ref="C323:C386" si="11">LEFT(B323,FIND("T",B323)-1)</f>
        <v>2022-07-07</v>
      </c>
      <c r="D323" s="3" t="s">
        <v>9</v>
      </c>
      <c r="E323" s="3" t="s">
        <v>5</v>
      </c>
      <c r="F323" s="3" t="s">
        <v>10</v>
      </c>
      <c r="G323" s="3" t="s">
        <v>262</v>
      </c>
      <c r="H323" s="3" t="s">
        <v>263</v>
      </c>
      <c r="I323" s="3">
        <v>629</v>
      </c>
      <c r="J323" s="3" t="s">
        <v>11</v>
      </c>
      <c r="K323">
        <f>MATCH(A323,Database!$A$2:$A$948,0)</f>
        <v>646</v>
      </c>
      <c r="L323">
        <f>VLOOKUP(A323,Database!$A$2:$I$948,4,0)</f>
        <v>629</v>
      </c>
      <c r="M323" t="b">
        <f t="shared" si="10"/>
        <v>1</v>
      </c>
      <c r="N323">
        <f>VLOOKUP(A323,Database!$A$2:$I$948,5,0)</f>
        <v>1</v>
      </c>
    </row>
    <row r="324" spans="1:14" hidden="1" x14ac:dyDescent="0.35">
      <c r="A324" s="3">
        <v>103409842</v>
      </c>
      <c r="B324" s="3" t="s">
        <v>264</v>
      </c>
      <c r="C324" s="3" t="str">
        <f t="shared" si="11"/>
        <v>2022-07-07</v>
      </c>
      <c r="D324" s="3" t="s">
        <v>9</v>
      </c>
      <c r="E324" s="3" t="s">
        <v>5</v>
      </c>
      <c r="F324" s="3" t="s">
        <v>10</v>
      </c>
      <c r="G324" s="3" t="s">
        <v>265</v>
      </c>
      <c r="H324" s="3" t="s">
        <v>266</v>
      </c>
      <c r="I324" s="3">
        <v>419</v>
      </c>
      <c r="J324" s="3" t="s">
        <v>11</v>
      </c>
      <c r="K324">
        <f>MATCH(A324,Database!$A$2:$A$948,0)</f>
        <v>645</v>
      </c>
      <c r="L324">
        <f>VLOOKUP(A324,Database!$A$2:$I$948,4,0)</f>
        <v>419</v>
      </c>
      <c r="M324" t="b">
        <f t="shared" si="10"/>
        <v>1</v>
      </c>
      <c r="N324">
        <f>VLOOKUP(A324,Database!$A$2:$I$948,5,0)</f>
        <v>1</v>
      </c>
    </row>
    <row r="325" spans="1:14" hidden="1" x14ac:dyDescent="0.35">
      <c r="A325" s="3">
        <v>103409839</v>
      </c>
      <c r="B325" s="3" t="s">
        <v>267</v>
      </c>
      <c r="C325" s="3" t="str">
        <f t="shared" si="11"/>
        <v>2022-07-07</v>
      </c>
      <c r="D325" s="3" t="s">
        <v>9</v>
      </c>
      <c r="E325" s="3" t="s">
        <v>5</v>
      </c>
      <c r="F325" s="3" t="s">
        <v>10</v>
      </c>
      <c r="G325" s="3" t="s">
        <v>268</v>
      </c>
      <c r="H325" s="3" t="s">
        <v>269</v>
      </c>
      <c r="I325" s="4">
        <v>2849.05</v>
      </c>
      <c r="J325" s="3" t="s">
        <v>11</v>
      </c>
      <c r="K325">
        <f>MATCH(A325,Database!$A$2:$A$948,0)</f>
        <v>644</v>
      </c>
      <c r="L325">
        <f>VLOOKUP(A325,Database!$A$2:$I$948,4,0)</f>
        <v>2849.05</v>
      </c>
      <c r="M325" t="b">
        <f t="shared" si="10"/>
        <v>1</v>
      </c>
      <c r="N325">
        <f>VLOOKUP(A325,Database!$A$2:$I$948,5,0)</f>
        <v>1</v>
      </c>
    </row>
    <row r="326" spans="1:14" hidden="1" x14ac:dyDescent="0.35">
      <c r="A326" s="3">
        <v>103409706</v>
      </c>
      <c r="B326" s="3" t="s">
        <v>270</v>
      </c>
      <c r="C326" s="3" t="str">
        <f t="shared" si="11"/>
        <v>2022-07-07</v>
      </c>
      <c r="D326" s="3" t="s">
        <v>9</v>
      </c>
      <c r="E326" s="3" t="s">
        <v>5</v>
      </c>
      <c r="F326" s="3" t="s">
        <v>10</v>
      </c>
      <c r="G326" s="3" t="s">
        <v>271</v>
      </c>
      <c r="H326" s="3" t="s">
        <v>272</v>
      </c>
      <c r="I326" s="3">
        <v>269</v>
      </c>
      <c r="J326" s="3" t="s">
        <v>11</v>
      </c>
      <c r="K326">
        <f>MATCH(A326,Database!$A$2:$A$948,0)</f>
        <v>614</v>
      </c>
      <c r="L326">
        <f>VLOOKUP(A326,Database!$A$2:$I$948,4,0)</f>
        <v>269</v>
      </c>
      <c r="M326" t="b">
        <f t="shared" si="10"/>
        <v>1</v>
      </c>
      <c r="N326">
        <f>VLOOKUP(A326,Database!$A$2:$I$948,5,0)</f>
        <v>1</v>
      </c>
    </row>
    <row r="327" spans="1:14" hidden="1" x14ac:dyDescent="0.35">
      <c r="A327" s="3">
        <v>103409834</v>
      </c>
      <c r="B327" s="3" t="s">
        <v>273</v>
      </c>
      <c r="C327" s="3" t="str">
        <f t="shared" si="11"/>
        <v>2022-07-07</v>
      </c>
      <c r="D327" s="3" t="s">
        <v>9</v>
      </c>
      <c r="E327" s="3" t="s">
        <v>5</v>
      </c>
      <c r="F327" s="3" t="s">
        <v>10</v>
      </c>
      <c r="G327" s="3" t="s">
        <v>274</v>
      </c>
      <c r="H327" s="3" t="s">
        <v>275</v>
      </c>
      <c r="I327" s="3">
        <v>969</v>
      </c>
      <c r="J327" s="3" t="s">
        <v>11</v>
      </c>
      <c r="K327">
        <f>MATCH(A327,Database!$A$2:$A$948,0)</f>
        <v>643</v>
      </c>
      <c r="L327">
        <f>VLOOKUP(A327,Database!$A$2:$I$948,4,0)</f>
        <v>969</v>
      </c>
      <c r="M327" t="b">
        <f t="shared" si="10"/>
        <v>1</v>
      </c>
      <c r="N327">
        <f>VLOOKUP(A327,Database!$A$2:$I$948,5,0)</f>
        <v>1</v>
      </c>
    </row>
    <row r="328" spans="1:14" hidden="1" x14ac:dyDescent="0.35">
      <c r="A328" s="3">
        <v>103409833</v>
      </c>
      <c r="B328" s="3" t="s">
        <v>276</v>
      </c>
      <c r="C328" s="3" t="str">
        <f t="shared" si="11"/>
        <v>2022-07-07</v>
      </c>
      <c r="D328" s="3" t="s">
        <v>9</v>
      </c>
      <c r="E328" s="3" t="s">
        <v>5</v>
      </c>
      <c r="F328" s="3" t="s">
        <v>10</v>
      </c>
      <c r="G328" s="3" t="s">
        <v>277</v>
      </c>
      <c r="H328" s="3" t="s">
        <v>278</v>
      </c>
      <c r="I328" s="3">
        <v>699</v>
      </c>
      <c r="J328" s="3" t="s">
        <v>11</v>
      </c>
      <c r="K328">
        <f>MATCH(A328,Database!$A$2:$A$948,0)</f>
        <v>642</v>
      </c>
      <c r="L328">
        <f>VLOOKUP(A328,Database!$A$2:$I$948,4,0)</f>
        <v>699</v>
      </c>
      <c r="M328" t="b">
        <f t="shared" si="10"/>
        <v>1</v>
      </c>
      <c r="N328">
        <f>VLOOKUP(A328,Database!$A$2:$I$948,5,0)</f>
        <v>1</v>
      </c>
    </row>
    <row r="329" spans="1:14" hidden="1" x14ac:dyDescent="0.35">
      <c r="A329" s="3">
        <v>103409818</v>
      </c>
      <c r="B329" s="3" t="s">
        <v>279</v>
      </c>
      <c r="C329" s="3" t="str">
        <f t="shared" si="11"/>
        <v>2022-07-07</v>
      </c>
      <c r="D329" s="3" t="s">
        <v>9</v>
      </c>
      <c r="E329" s="3" t="s">
        <v>5</v>
      </c>
      <c r="F329" s="3" t="s">
        <v>10</v>
      </c>
      <c r="G329" s="3" t="s">
        <v>280</v>
      </c>
      <c r="H329" s="3" t="s">
        <v>281</v>
      </c>
      <c r="I329" s="3">
        <v>969</v>
      </c>
      <c r="J329" s="3" t="s">
        <v>11</v>
      </c>
      <c r="K329">
        <f>MATCH(A329,Database!$A$2:$A$948,0)</f>
        <v>641</v>
      </c>
      <c r="L329">
        <f>VLOOKUP(A329,Database!$A$2:$I$948,4,0)</f>
        <v>969</v>
      </c>
      <c r="M329" t="b">
        <f t="shared" ref="M329:M392" si="12">I329=L329</f>
        <v>1</v>
      </c>
      <c r="N329">
        <f>VLOOKUP(A329,Database!$A$2:$I$948,5,0)</f>
        <v>1</v>
      </c>
    </row>
    <row r="330" spans="1:14" hidden="1" x14ac:dyDescent="0.35">
      <c r="A330" s="3">
        <v>103409817</v>
      </c>
      <c r="B330" s="3" t="s">
        <v>282</v>
      </c>
      <c r="C330" s="3" t="str">
        <f t="shared" si="11"/>
        <v>2022-07-07</v>
      </c>
      <c r="D330" s="3" t="s">
        <v>9</v>
      </c>
      <c r="E330" s="3" t="s">
        <v>5</v>
      </c>
      <c r="F330" s="3" t="s">
        <v>12</v>
      </c>
      <c r="G330" s="3" t="s">
        <v>283</v>
      </c>
      <c r="H330" s="3" t="s">
        <v>284</v>
      </c>
      <c r="I330" s="3">
        <v>899</v>
      </c>
      <c r="J330" s="3" t="s">
        <v>11</v>
      </c>
      <c r="K330">
        <f>MATCH(A330,Database!$A$2:$A$948,0)</f>
        <v>640</v>
      </c>
      <c r="L330">
        <f>VLOOKUP(A330,Database!$A$2:$I$948,4,0)</f>
        <v>899</v>
      </c>
      <c r="M330" t="b">
        <f t="shared" si="12"/>
        <v>1</v>
      </c>
      <c r="N330">
        <f>VLOOKUP(A330,Database!$A$2:$I$948,5,0)</f>
        <v>1</v>
      </c>
    </row>
    <row r="331" spans="1:14" hidden="1" x14ac:dyDescent="0.35">
      <c r="A331" s="3">
        <v>103409699</v>
      </c>
      <c r="B331" s="3" t="s">
        <v>4755</v>
      </c>
      <c r="C331" s="3" t="str">
        <f t="shared" si="11"/>
        <v>2022-07-07</v>
      </c>
      <c r="D331" s="3" t="s">
        <v>9</v>
      </c>
      <c r="E331" s="3" t="s">
        <v>5</v>
      </c>
      <c r="F331" s="3" t="s">
        <v>10</v>
      </c>
      <c r="G331" s="3" t="s">
        <v>4756</v>
      </c>
      <c r="H331" s="3" t="s">
        <v>4757</v>
      </c>
      <c r="I331" s="4">
        <v>2089.0500000000002</v>
      </c>
      <c r="J331" s="3" t="s">
        <v>13</v>
      </c>
      <c r="K331">
        <f>MATCH(A331,Database!$A$2:$A$948,0)</f>
        <v>613</v>
      </c>
      <c r="L331">
        <f>VLOOKUP(A331,Database!$A$2:$I$948,4,0)</f>
        <v>2089.0500000000002</v>
      </c>
      <c r="M331" t="b">
        <f t="shared" si="12"/>
        <v>1</v>
      </c>
      <c r="N331">
        <f>VLOOKUP(A331,Database!$A$2:$I$948,5,0)</f>
        <v>1</v>
      </c>
    </row>
    <row r="332" spans="1:14" hidden="1" x14ac:dyDescent="0.35">
      <c r="A332" s="3">
        <v>103409698</v>
      </c>
      <c r="B332" s="3" t="s">
        <v>285</v>
      </c>
      <c r="C332" s="3" t="str">
        <f t="shared" si="11"/>
        <v>2022-07-07</v>
      </c>
      <c r="D332" s="3" t="s">
        <v>9</v>
      </c>
      <c r="E332" s="3" t="s">
        <v>5</v>
      </c>
      <c r="F332" s="3" t="s">
        <v>10</v>
      </c>
      <c r="G332" s="3" t="s">
        <v>286</v>
      </c>
      <c r="H332" s="3" t="s">
        <v>287</v>
      </c>
      <c r="I332" s="5">
        <v>1499</v>
      </c>
      <c r="J332" s="3" t="s">
        <v>11</v>
      </c>
      <c r="K332">
        <f>MATCH(A332,Database!$A$2:$A$948,0)</f>
        <v>612</v>
      </c>
      <c r="L332">
        <f>VLOOKUP(A332,Database!$A$2:$I$948,4,0)</f>
        <v>1499</v>
      </c>
      <c r="M332" t="b">
        <f t="shared" si="12"/>
        <v>1</v>
      </c>
      <c r="N332">
        <f>VLOOKUP(A332,Database!$A$2:$I$948,5,0)</f>
        <v>1</v>
      </c>
    </row>
    <row r="333" spans="1:14" hidden="1" x14ac:dyDescent="0.35">
      <c r="A333" s="3">
        <v>103409810</v>
      </c>
      <c r="B333" s="3" t="s">
        <v>288</v>
      </c>
      <c r="C333" s="3" t="str">
        <f t="shared" si="11"/>
        <v>2022-07-07</v>
      </c>
      <c r="D333" s="3" t="s">
        <v>9</v>
      </c>
      <c r="E333" s="3" t="s">
        <v>5</v>
      </c>
      <c r="F333" s="3" t="s">
        <v>10</v>
      </c>
      <c r="G333" s="3" t="s">
        <v>289</v>
      </c>
      <c r="H333" s="3" t="s">
        <v>290</v>
      </c>
      <c r="I333" s="4">
        <v>3134.05</v>
      </c>
      <c r="J333" s="3" t="s">
        <v>11</v>
      </c>
      <c r="K333">
        <f>MATCH(A333,Database!$A$2:$A$948,0)</f>
        <v>639</v>
      </c>
      <c r="L333">
        <f>VLOOKUP(A333,Database!$A$2:$I$948,4,0)</f>
        <v>3134.05</v>
      </c>
      <c r="M333" t="b">
        <f t="shared" si="12"/>
        <v>1</v>
      </c>
      <c r="N333">
        <f>VLOOKUP(A333,Database!$A$2:$I$948,5,0)</f>
        <v>1</v>
      </c>
    </row>
    <row r="334" spans="1:14" hidden="1" x14ac:dyDescent="0.35">
      <c r="A334" s="3">
        <v>103409697</v>
      </c>
      <c r="B334" s="3" t="s">
        <v>291</v>
      </c>
      <c r="C334" s="3" t="str">
        <f t="shared" si="11"/>
        <v>2022-07-07</v>
      </c>
      <c r="D334" s="3" t="s">
        <v>9</v>
      </c>
      <c r="E334" s="3" t="s">
        <v>5</v>
      </c>
      <c r="F334" s="3" t="s">
        <v>10</v>
      </c>
      <c r="G334" s="3" t="s">
        <v>292</v>
      </c>
      <c r="H334" s="3" t="s">
        <v>293</v>
      </c>
      <c r="I334" s="4">
        <v>2345.6</v>
      </c>
      <c r="J334" s="3" t="s">
        <v>11</v>
      </c>
      <c r="K334">
        <f>MATCH(A334,Database!$A$2:$A$948,0)</f>
        <v>611</v>
      </c>
      <c r="L334">
        <f>VLOOKUP(A334,Database!$A$2:$I$948,4,0)</f>
        <v>2345.6</v>
      </c>
      <c r="M334" t="b">
        <f t="shared" si="12"/>
        <v>1</v>
      </c>
      <c r="N334">
        <f>VLOOKUP(A334,Database!$A$2:$I$948,5,0)</f>
        <v>1</v>
      </c>
    </row>
    <row r="335" spans="1:14" x14ac:dyDescent="0.35">
      <c r="A335" s="3">
        <v>103409805</v>
      </c>
      <c r="B335" s="3" t="s">
        <v>294</v>
      </c>
      <c r="C335" s="3" t="str">
        <f t="shared" si="11"/>
        <v>2022-07-07</v>
      </c>
      <c r="D335" s="3" t="s">
        <v>9</v>
      </c>
      <c r="E335" s="3" t="s">
        <v>5</v>
      </c>
      <c r="F335" s="3" t="s">
        <v>10</v>
      </c>
      <c r="G335" s="3" t="s">
        <v>295</v>
      </c>
      <c r="H335" s="3" t="s">
        <v>296</v>
      </c>
      <c r="I335" s="3">
        <v>749</v>
      </c>
      <c r="J335" s="3" t="s">
        <v>11</v>
      </c>
      <c r="K335" t="e">
        <f>MATCH(A335,Database!$A$2:$A$948,0)</f>
        <v>#N/A</v>
      </c>
      <c r="L335" t="e">
        <f>VLOOKUP(A335,Database!$A$2:$I$948,4,0)</f>
        <v>#N/A</v>
      </c>
      <c r="M335" t="e">
        <f t="shared" si="12"/>
        <v>#N/A</v>
      </c>
      <c r="N335" t="e">
        <f>VLOOKUP(A335,Database!$A$2:$I$948,5,0)</f>
        <v>#N/A</v>
      </c>
    </row>
    <row r="336" spans="1:14" hidden="1" x14ac:dyDescent="0.35">
      <c r="A336" s="3">
        <v>103409691</v>
      </c>
      <c r="B336" s="3" t="s">
        <v>297</v>
      </c>
      <c r="C336" s="3" t="str">
        <f t="shared" si="11"/>
        <v>2022-07-07</v>
      </c>
      <c r="D336" s="3" t="s">
        <v>9</v>
      </c>
      <c r="E336" s="3" t="s">
        <v>5</v>
      </c>
      <c r="F336" s="3" t="s">
        <v>10</v>
      </c>
      <c r="G336" s="3" t="s">
        <v>298</v>
      </c>
      <c r="H336" s="3" t="s">
        <v>299</v>
      </c>
      <c r="I336" s="4">
        <v>1414.55</v>
      </c>
      <c r="J336" s="3" t="s">
        <v>11</v>
      </c>
      <c r="K336">
        <f>MATCH(A336,Database!$A$2:$A$948,0)</f>
        <v>610</v>
      </c>
      <c r="L336">
        <f>VLOOKUP(A336,Database!$A$2:$I$948,4,0)</f>
        <v>1414.55</v>
      </c>
      <c r="M336" t="b">
        <f t="shared" si="12"/>
        <v>1</v>
      </c>
      <c r="N336">
        <f>VLOOKUP(A336,Database!$A$2:$I$948,5,0)</f>
        <v>1</v>
      </c>
    </row>
    <row r="337" spans="1:14" hidden="1" x14ac:dyDescent="0.35">
      <c r="A337" s="3">
        <v>103409690</v>
      </c>
      <c r="B337" s="3" t="s">
        <v>300</v>
      </c>
      <c r="C337" s="3" t="str">
        <f t="shared" si="11"/>
        <v>2022-07-07</v>
      </c>
      <c r="D337" s="3" t="s">
        <v>9</v>
      </c>
      <c r="E337" s="3" t="s">
        <v>5</v>
      </c>
      <c r="F337" s="3" t="s">
        <v>10</v>
      </c>
      <c r="G337" s="3" t="s">
        <v>301</v>
      </c>
      <c r="H337" s="3" t="s">
        <v>302</v>
      </c>
      <c r="I337" s="3">
        <v>579</v>
      </c>
      <c r="J337" s="3" t="s">
        <v>11</v>
      </c>
      <c r="K337">
        <f>MATCH(A337,Database!$A$2:$A$948,0)</f>
        <v>609</v>
      </c>
      <c r="L337">
        <f>VLOOKUP(A337,Database!$A$2:$I$948,4,0)</f>
        <v>579</v>
      </c>
      <c r="M337" t="b">
        <f t="shared" si="12"/>
        <v>1</v>
      </c>
      <c r="N337">
        <f>VLOOKUP(A337,Database!$A$2:$I$948,5,0)</f>
        <v>1</v>
      </c>
    </row>
    <row r="338" spans="1:14" hidden="1" x14ac:dyDescent="0.35">
      <c r="A338" s="3">
        <v>103409801</v>
      </c>
      <c r="B338" s="3" t="s">
        <v>303</v>
      </c>
      <c r="C338" s="3" t="str">
        <f t="shared" si="11"/>
        <v>2022-07-07</v>
      </c>
      <c r="D338" s="3" t="s">
        <v>9</v>
      </c>
      <c r="E338" s="3" t="s">
        <v>5</v>
      </c>
      <c r="F338" s="3" t="s">
        <v>10</v>
      </c>
      <c r="G338" s="3" t="s">
        <v>304</v>
      </c>
      <c r="H338" s="3" t="s">
        <v>305</v>
      </c>
      <c r="I338" s="3">
        <v>571.99</v>
      </c>
      <c r="J338" s="3" t="s">
        <v>11</v>
      </c>
      <c r="K338">
        <f>MATCH(A338,Database!$A$2:$A$948,0)</f>
        <v>638</v>
      </c>
      <c r="L338">
        <f>VLOOKUP(A338,Database!$A$2:$I$948,4,0)</f>
        <v>571.99</v>
      </c>
      <c r="M338" t="b">
        <f t="shared" si="12"/>
        <v>1</v>
      </c>
      <c r="N338">
        <f>VLOOKUP(A338,Database!$A$2:$I$948,5,0)</f>
        <v>1</v>
      </c>
    </row>
    <row r="339" spans="1:14" hidden="1" x14ac:dyDescent="0.35">
      <c r="A339" s="3">
        <v>103409688</v>
      </c>
      <c r="B339" s="3" t="s">
        <v>306</v>
      </c>
      <c r="C339" s="3" t="str">
        <f t="shared" si="11"/>
        <v>2022-07-07</v>
      </c>
      <c r="D339" s="3" t="s">
        <v>9</v>
      </c>
      <c r="E339" s="3" t="s">
        <v>5</v>
      </c>
      <c r="F339" s="3" t="s">
        <v>12</v>
      </c>
      <c r="G339" s="3" t="s">
        <v>307</v>
      </c>
      <c r="H339" s="3" t="s">
        <v>308</v>
      </c>
      <c r="I339" s="5">
        <v>4998</v>
      </c>
      <c r="J339" s="3" t="s">
        <v>11</v>
      </c>
      <c r="K339">
        <f>MATCH(A339,Database!$A$2:$A$948,0)</f>
        <v>608</v>
      </c>
      <c r="L339">
        <f>VLOOKUP(A339,Database!$A$2:$I$948,4,0)</f>
        <v>4998</v>
      </c>
      <c r="M339" t="b">
        <f t="shared" si="12"/>
        <v>1</v>
      </c>
      <c r="N339">
        <f>VLOOKUP(A339,Database!$A$2:$I$948,5,0)</f>
        <v>2</v>
      </c>
    </row>
    <row r="340" spans="1:14" x14ac:dyDescent="0.35">
      <c r="A340" s="3">
        <v>103409797</v>
      </c>
      <c r="B340" s="3" t="s">
        <v>309</v>
      </c>
      <c r="C340" s="3" t="str">
        <f t="shared" si="11"/>
        <v>2022-07-07</v>
      </c>
      <c r="D340" s="3" t="s">
        <v>9</v>
      </c>
      <c r="E340" s="3" t="s">
        <v>5</v>
      </c>
      <c r="F340" s="3" t="s">
        <v>10</v>
      </c>
      <c r="G340" s="3" t="s">
        <v>310</v>
      </c>
      <c r="H340" s="3" t="s">
        <v>311</v>
      </c>
      <c r="I340" s="4">
        <v>4418.6400000000003</v>
      </c>
      <c r="J340" s="3" t="s">
        <v>11</v>
      </c>
      <c r="K340">
        <f>MATCH(A340,Database!$A$2:$A$948,0)</f>
        <v>637</v>
      </c>
      <c r="L340">
        <f>VLOOKUP(A340,Database!$A$2:$I$948,4,0)</f>
        <v>3590.14</v>
      </c>
      <c r="M340" t="b">
        <f t="shared" si="12"/>
        <v>0</v>
      </c>
      <c r="N340">
        <f>VLOOKUP(A340,Database!$A$2:$I$948,5,0)</f>
        <v>1</v>
      </c>
    </row>
    <row r="341" spans="1:14" hidden="1" x14ac:dyDescent="0.35">
      <c r="A341" s="3">
        <v>103409793</v>
      </c>
      <c r="B341" s="3" t="s">
        <v>312</v>
      </c>
      <c r="C341" s="3" t="str">
        <f t="shared" si="11"/>
        <v>2022-07-07</v>
      </c>
      <c r="D341" s="3" t="s">
        <v>9</v>
      </c>
      <c r="E341" s="3" t="s">
        <v>5</v>
      </c>
      <c r="F341" s="3" t="s">
        <v>10</v>
      </c>
      <c r="G341" s="3" t="s">
        <v>313</v>
      </c>
      <c r="H341" s="3" t="s">
        <v>314</v>
      </c>
      <c r="I341" s="5">
        <v>2449</v>
      </c>
      <c r="J341" s="3" t="s">
        <v>11</v>
      </c>
      <c r="K341">
        <f>MATCH(A341,Database!$A$2:$A$948,0)</f>
        <v>636</v>
      </c>
      <c r="L341">
        <f>VLOOKUP(A341,Database!$A$2:$I$948,4,0)</f>
        <v>2449</v>
      </c>
      <c r="M341" t="b">
        <f t="shared" si="12"/>
        <v>1</v>
      </c>
      <c r="N341">
        <f>VLOOKUP(A341,Database!$A$2:$I$948,5,0)</f>
        <v>1</v>
      </c>
    </row>
    <row r="342" spans="1:14" hidden="1" x14ac:dyDescent="0.35">
      <c r="A342" s="3">
        <v>103409681</v>
      </c>
      <c r="B342" s="3" t="s">
        <v>315</v>
      </c>
      <c r="C342" s="3" t="str">
        <f t="shared" si="11"/>
        <v>2022-07-07</v>
      </c>
      <c r="D342" s="3" t="s">
        <v>9</v>
      </c>
      <c r="E342" s="3" t="s">
        <v>5</v>
      </c>
      <c r="F342" s="3" t="s">
        <v>10</v>
      </c>
      <c r="G342" s="3" t="s">
        <v>316</v>
      </c>
      <c r="H342" s="3" t="s">
        <v>317</v>
      </c>
      <c r="I342" s="5">
        <v>2048</v>
      </c>
      <c r="J342" s="3" t="s">
        <v>11</v>
      </c>
      <c r="K342">
        <f>MATCH(A342,Database!$A$2:$A$948,0)</f>
        <v>607</v>
      </c>
      <c r="L342">
        <f>VLOOKUP(A342,Database!$A$2:$I$948,4,0)</f>
        <v>2048</v>
      </c>
      <c r="M342" t="b">
        <f t="shared" si="12"/>
        <v>1</v>
      </c>
      <c r="N342">
        <f>VLOOKUP(A342,Database!$A$2:$I$948,5,0)</f>
        <v>2</v>
      </c>
    </row>
    <row r="343" spans="1:14" hidden="1" x14ac:dyDescent="0.35">
      <c r="A343" s="3">
        <v>103409678</v>
      </c>
      <c r="B343" s="3" t="s">
        <v>4758</v>
      </c>
      <c r="C343" s="3" t="str">
        <f t="shared" si="11"/>
        <v>2022-07-07</v>
      </c>
      <c r="D343" s="3" t="s">
        <v>9</v>
      </c>
      <c r="E343" s="3" t="s">
        <v>5</v>
      </c>
      <c r="F343" s="3" t="s">
        <v>10</v>
      </c>
      <c r="G343" s="3" t="s">
        <v>4759</v>
      </c>
      <c r="H343" s="3" t="s">
        <v>4760</v>
      </c>
      <c r="I343" s="4">
        <v>2849.05</v>
      </c>
      <c r="J343" s="3" t="s">
        <v>13</v>
      </c>
      <c r="K343">
        <f>MATCH(A343,Database!$A$2:$A$948,0)</f>
        <v>606</v>
      </c>
      <c r="L343">
        <f>VLOOKUP(A343,Database!$A$2:$I$948,4,0)</f>
        <v>2849.05</v>
      </c>
      <c r="M343" t="b">
        <f t="shared" si="12"/>
        <v>1</v>
      </c>
      <c r="N343">
        <f>VLOOKUP(A343,Database!$A$2:$I$948,5,0)</f>
        <v>1</v>
      </c>
    </row>
    <row r="344" spans="1:14" hidden="1" x14ac:dyDescent="0.35">
      <c r="A344" s="3">
        <v>103409784</v>
      </c>
      <c r="B344" s="3" t="s">
        <v>318</v>
      </c>
      <c r="C344" s="3" t="str">
        <f t="shared" si="11"/>
        <v>2022-07-07</v>
      </c>
      <c r="D344" s="3" t="s">
        <v>9</v>
      </c>
      <c r="E344" s="3" t="s">
        <v>5</v>
      </c>
      <c r="F344" s="3" t="s">
        <v>10</v>
      </c>
      <c r="G344" s="3" t="s">
        <v>319</v>
      </c>
      <c r="H344" s="3" t="s">
        <v>320</v>
      </c>
      <c r="I344" s="5">
        <v>2399</v>
      </c>
      <c r="J344" s="3" t="s">
        <v>11</v>
      </c>
      <c r="K344">
        <f>MATCH(A344,Database!$A$2:$A$948,0)</f>
        <v>635</v>
      </c>
      <c r="L344">
        <f>VLOOKUP(A344,Database!$A$2:$I$948,4,0)</f>
        <v>2399</v>
      </c>
      <c r="M344" t="b">
        <f t="shared" si="12"/>
        <v>1</v>
      </c>
      <c r="N344">
        <f>VLOOKUP(A344,Database!$A$2:$I$948,5,0)</f>
        <v>1</v>
      </c>
    </row>
    <row r="345" spans="1:14" hidden="1" x14ac:dyDescent="0.35">
      <c r="A345" s="3">
        <v>103409673</v>
      </c>
      <c r="B345" s="3" t="s">
        <v>321</v>
      </c>
      <c r="C345" s="3" t="str">
        <f t="shared" si="11"/>
        <v>2022-07-07</v>
      </c>
      <c r="D345" s="3" t="s">
        <v>9</v>
      </c>
      <c r="E345" s="3" t="s">
        <v>5</v>
      </c>
      <c r="F345" s="3" t="s">
        <v>10</v>
      </c>
      <c r="G345" s="3" t="s">
        <v>322</v>
      </c>
      <c r="H345" s="3" t="s">
        <v>323</v>
      </c>
      <c r="I345" s="5">
        <v>3899</v>
      </c>
      <c r="J345" s="3" t="s">
        <v>11</v>
      </c>
      <c r="K345">
        <f>MATCH(A345,Database!$A$2:$A$948,0)</f>
        <v>605</v>
      </c>
      <c r="L345">
        <f>VLOOKUP(A345,Database!$A$2:$I$948,4,0)</f>
        <v>3899</v>
      </c>
      <c r="M345" t="b">
        <f t="shared" si="12"/>
        <v>1</v>
      </c>
      <c r="N345">
        <f>VLOOKUP(A345,Database!$A$2:$I$948,5,0)</f>
        <v>1</v>
      </c>
    </row>
    <row r="346" spans="1:14" hidden="1" x14ac:dyDescent="0.35">
      <c r="A346" s="3">
        <v>103409775</v>
      </c>
      <c r="B346" s="3" t="s">
        <v>324</v>
      </c>
      <c r="C346" s="3" t="str">
        <f t="shared" si="11"/>
        <v>2022-07-07</v>
      </c>
      <c r="D346" s="3" t="s">
        <v>9</v>
      </c>
      <c r="E346" s="3" t="s">
        <v>5</v>
      </c>
      <c r="F346" s="3" t="s">
        <v>10</v>
      </c>
      <c r="G346" s="3" t="s">
        <v>325</v>
      </c>
      <c r="H346" s="3" t="s">
        <v>326</v>
      </c>
      <c r="I346" s="5">
        <v>2099</v>
      </c>
      <c r="J346" s="3" t="s">
        <v>11</v>
      </c>
      <c r="K346">
        <f>MATCH(A346,Database!$A$2:$A$948,0)</f>
        <v>634</v>
      </c>
      <c r="L346">
        <f>VLOOKUP(A346,Database!$A$2:$I$948,4,0)</f>
        <v>2099</v>
      </c>
      <c r="M346" t="b">
        <f t="shared" si="12"/>
        <v>1</v>
      </c>
      <c r="N346">
        <f>VLOOKUP(A346,Database!$A$2:$I$948,5,0)</f>
        <v>1</v>
      </c>
    </row>
    <row r="347" spans="1:14" hidden="1" x14ac:dyDescent="0.35">
      <c r="A347" s="3">
        <v>103409769</v>
      </c>
      <c r="B347" s="3" t="s">
        <v>327</v>
      </c>
      <c r="C347" s="3" t="str">
        <f t="shared" si="11"/>
        <v>2022-07-07</v>
      </c>
      <c r="D347" s="3" t="s">
        <v>9</v>
      </c>
      <c r="E347" s="3" t="s">
        <v>5</v>
      </c>
      <c r="F347" s="3" t="s">
        <v>10</v>
      </c>
      <c r="G347" s="3" t="s">
        <v>328</v>
      </c>
      <c r="H347" s="3" t="s">
        <v>329</v>
      </c>
      <c r="I347" s="3">
        <v>493.05</v>
      </c>
      <c r="J347" s="3" t="s">
        <v>11</v>
      </c>
      <c r="K347">
        <f>MATCH(A347,Database!$A$2:$A$948,0)</f>
        <v>633</v>
      </c>
      <c r="L347">
        <f>VLOOKUP(A347,Database!$A$2:$I$948,4,0)</f>
        <v>493.05</v>
      </c>
      <c r="M347" t="b">
        <f t="shared" si="12"/>
        <v>1</v>
      </c>
      <c r="N347">
        <f>VLOOKUP(A347,Database!$A$2:$I$948,5,0)</f>
        <v>1</v>
      </c>
    </row>
    <row r="348" spans="1:14" hidden="1" x14ac:dyDescent="0.35">
      <c r="A348" s="3">
        <v>103409661</v>
      </c>
      <c r="B348" s="3" t="s">
        <v>330</v>
      </c>
      <c r="C348" s="3" t="str">
        <f t="shared" si="11"/>
        <v>2022-07-07</v>
      </c>
      <c r="D348" s="3" t="s">
        <v>9</v>
      </c>
      <c r="E348" s="3" t="s">
        <v>5</v>
      </c>
      <c r="F348" s="3" t="s">
        <v>10</v>
      </c>
      <c r="G348" s="3" t="s">
        <v>331</v>
      </c>
      <c r="H348" s="3" t="s">
        <v>332</v>
      </c>
      <c r="I348" s="3">
        <v>329</v>
      </c>
      <c r="J348" s="3" t="s">
        <v>11</v>
      </c>
      <c r="K348">
        <f>MATCH(A348,Database!$A$2:$A$948,0)</f>
        <v>604</v>
      </c>
      <c r="L348">
        <f>VLOOKUP(A348,Database!$A$2:$I$948,4,0)</f>
        <v>329</v>
      </c>
      <c r="M348" t="b">
        <f t="shared" si="12"/>
        <v>1</v>
      </c>
      <c r="N348">
        <f>VLOOKUP(A348,Database!$A$2:$I$948,5,0)</f>
        <v>1</v>
      </c>
    </row>
    <row r="349" spans="1:14" hidden="1" x14ac:dyDescent="0.35">
      <c r="A349" s="3">
        <v>103409657</v>
      </c>
      <c r="B349" s="3" t="s">
        <v>333</v>
      </c>
      <c r="C349" s="3" t="str">
        <f t="shared" si="11"/>
        <v>2022-07-07</v>
      </c>
      <c r="D349" s="3" t="s">
        <v>9</v>
      </c>
      <c r="E349" s="3" t="s">
        <v>5</v>
      </c>
      <c r="F349" s="3" t="s">
        <v>10</v>
      </c>
      <c r="G349" s="3" t="s">
        <v>334</v>
      </c>
      <c r="H349" s="3" t="s">
        <v>335</v>
      </c>
      <c r="I349" s="5">
        <v>3499</v>
      </c>
      <c r="J349" s="3" t="s">
        <v>11</v>
      </c>
      <c r="K349">
        <f>MATCH(A349,Database!$A$2:$A$948,0)</f>
        <v>603</v>
      </c>
      <c r="L349">
        <f>VLOOKUP(A349,Database!$A$2:$I$948,4,0)</f>
        <v>3499</v>
      </c>
      <c r="M349" t="b">
        <f t="shared" si="12"/>
        <v>1</v>
      </c>
      <c r="N349">
        <f>VLOOKUP(A349,Database!$A$2:$I$948,5,0)</f>
        <v>1</v>
      </c>
    </row>
    <row r="350" spans="1:14" hidden="1" x14ac:dyDescent="0.35">
      <c r="A350" s="3">
        <v>103409656</v>
      </c>
      <c r="B350" s="3" t="s">
        <v>336</v>
      </c>
      <c r="C350" s="3" t="str">
        <f t="shared" si="11"/>
        <v>2022-07-07</v>
      </c>
      <c r="D350" s="3" t="s">
        <v>9</v>
      </c>
      <c r="E350" s="3" t="s">
        <v>5</v>
      </c>
      <c r="F350" s="3" t="s">
        <v>10</v>
      </c>
      <c r="G350" s="3" t="s">
        <v>337</v>
      </c>
      <c r="H350" s="3" t="s">
        <v>338</v>
      </c>
      <c r="I350" s="5">
        <v>4899</v>
      </c>
      <c r="J350" s="3" t="s">
        <v>11</v>
      </c>
      <c r="K350">
        <f>MATCH(A350,Database!$A$2:$A$948,0)</f>
        <v>602</v>
      </c>
      <c r="L350">
        <f>VLOOKUP(A350,Database!$A$2:$I$948,4,0)</f>
        <v>4899</v>
      </c>
      <c r="M350" t="b">
        <f t="shared" si="12"/>
        <v>1</v>
      </c>
      <c r="N350">
        <f>VLOOKUP(A350,Database!$A$2:$I$948,5,0)</f>
        <v>1</v>
      </c>
    </row>
    <row r="351" spans="1:14" hidden="1" x14ac:dyDescent="0.35">
      <c r="A351" s="3">
        <v>103409557</v>
      </c>
      <c r="B351" s="3" t="s">
        <v>339</v>
      </c>
      <c r="C351" s="3" t="str">
        <f t="shared" si="11"/>
        <v>2022-07-07</v>
      </c>
      <c r="D351" s="3" t="s">
        <v>9</v>
      </c>
      <c r="E351" s="3" t="s">
        <v>5</v>
      </c>
      <c r="F351" s="3" t="s">
        <v>10</v>
      </c>
      <c r="G351" s="3" t="s">
        <v>340</v>
      </c>
      <c r="H351" s="3" t="s">
        <v>341</v>
      </c>
      <c r="I351" s="3">
        <v>675.97</v>
      </c>
      <c r="J351" s="3" t="s">
        <v>11</v>
      </c>
      <c r="K351">
        <f>MATCH(A351,Database!$A$2:$A$948,0)</f>
        <v>586</v>
      </c>
      <c r="L351">
        <f>VLOOKUP(A351,Database!$A$2:$I$948,4,0)</f>
        <v>675.97</v>
      </c>
      <c r="M351" t="b">
        <f t="shared" si="12"/>
        <v>1</v>
      </c>
      <c r="N351">
        <f>VLOOKUP(A351,Database!$A$2:$I$948,5,0)</f>
        <v>1</v>
      </c>
    </row>
    <row r="352" spans="1:14" hidden="1" x14ac:dyDescent="0.35">
      <c r="A352" s="3">
        <v>103409653</v>
      </c>
      <c r="B352" s="3" t="s">
        <v>342</v>
      </c>
      <c r="C352" s="3" t="str">
        <f t="shared" si="11"/>
        <v>2022-07-07</v>
      </c>
      <c r="D352" s="3" t="s">
        <v>9</v>
      </c>
      <c r="E352" s="3" t="s">
        <v>5</v>
      </c>
      <c r="F352" s="3" t="s">
        <v>10</v>
      </c>
      <c r="G352" s="3" t="s">
        <v>343</v>
      </c>
      <c r="H352" s="3" t="s">
        <v>344</v>
      </c>
      <c r="I352" s="3">
        <v>559</v>
      </c>
      <c r="J352" s="3" t="s">
        <v>11</v>
      </c>
      <c r="K352">
        <f>MATCH(A352,Database!$A$2:$A$948,0)</f>
        <v>601</v>
      </c>
      <c r="L352">
        <f>VLOOKUP(A352,Database!$A$2:$I$948,4,0)</f>
        <v>559</v>
      </c>
      <c r="M352" t="b">
        <f t="shared" si="12"/>
        <v>1</v>
      </c>
      <c r="N352">
        <f>VLOOKUP(A352,Database!$A$2:$I$948,5,0)</f>
        <v>1</v>
      </c>
    </row>
    <row r="353" spans="1:14" hidden="1" x14ac:dyDescent="0.35">
      <c r="A353" s="3">
        <v>103409651</v>
      </c>
      <c r="B353" s="3" t="s">
        <v>345</v>
      </c>
      <c r="C353" s="3" t="str">
        <f t="shared" si="11"/>
        <v>2022-07-07</v>
      </c>
      <c r="D353" s="3" t="s">
        <v>9</v>
      </c>
      <c r="E353" s="3" t="s">
        <v>5</v>
      </c>
      <c r="F353" s="3" t="s">
        <v>10</v>
      </c>
      <c r="G353" s="3" t="s">
        <v>346</v>
      </c>
      <c r="H353" s="3" t="s">
        <v>347</v>
      </c>
      <c r="I353" s="4">
        <v>3889.39</v>
      </c>
      <c r="J353" s="3" t="s">
        <v>11</v>
      </c>
      <c r="K353">
        <f>MATCH(A353,Database!$A$2:$A$948,0)</f>
        <v>600</v>
      </c>
      <c r="L353">
        <f>VLOOKUP(A353,Database!$A$2:$I$948,4,0)</f>
        <v>3889.39</v>
      </c>
      <c r="M353" t="b">
        <f t="shared" si="12"/>
        <v>1</v>
      </c>
      <c r="N353">
        <f>VLOOKUP(A353,Database!$A$2:$I$948,5,0)</f>
        <v>1</v>
      </c>
    </row>
    <row r="354" spans="1:14" hidden="1" x14ac:dyDescent="0.35">
      <c r="A354" s="3">
        <v>103409650</v>
      </c>
      <c r="B354" s="3" t="s">
        <v>348</v>
      </c>
      <c r="C354" s="3" t="str">
        <f t="shared" si="11"/>
        <v>2022-07-07</v>
      </c>
      <c r="D354" s="3" t="s">
        <v>9</v>
      </c>
      <c r="E354" s="3" t="s">
        <v>5</v>
      </c>
      <c r="F354" s="3" t="s">
        <v>10</v>
      </c>
      <c r="G354" s="3" t="s">
        <v>349</v>
      </c>
      <c r="H354" s="3" t="s">
        <v>350</v>
      </c>
      <c r="I354" s="4">
        <v>1448.1</v>
      </c>
      <c r="J354" s="3" t="s">
        <v>11</v>
      </c>
      <c r="K354">
        <f>MATCH(A354,Database!$A$2:$A$948,0)</f>
        <v>599</v>
      </c>
      <c r="L354">
        <f>VLOOKUP(A354,Database!$A$2:$I$948,4,0)</f>
        <v>1448.1</v>
      </c>
      <c r="M354" t="b">
        <f t="shared" si="12"/>
        <v>1</v>
      </c>
      <c r="N354">
        <f>VLOOKUP(A354,Database!$A$2:$I$948,5,0)</f>
        <v>1</v>
      </c>
    </row>
    <row r="355" spans="1:14" hidden="1" x14ac:dyDescent="0.35">
      <c r="A355" s="3">
        <v>103409549</v>
      </c>
      <c r="B355" s="3" t="s">
        <v>351</v>
      </c>
      <c r="C355" s="3" t="str">
        <f t="shared" si="11"/>
        <v>2022-07-07</v>
      </c>
      <c r="D355" s="3" t="s">
        <v>9</v>
      </c>
      <c r="E355" s="3" t="s">
        <v>5</v>
      </c>
      <c r="F355" s="3" t="s">
        <v>12</v>
      </c>
      <c r="G355" s="3" t="s">
        <v>352</v>
      </c>
      <c r="H355" s="3" t="s">
        <v>353</v>
      </c>
      <c r="I355" s="5">
        <v>1169</v>
      </c>
      <c r="J355" s="3" t="s">
        <v>11</v>
      </c>
      <c r="K355">
        <f>MATCH(A355,Database!$A$2:$A$948,0)</f>
        <v>585</v>
      </c>
      <c r="L355">
        <f>VLOOKUP(A355,Database!$A$2:$I$948,4,0)</f>
        <v>1169</v>
      </c>
      <c r="M355" t="b">
        <f t="shared" si="12"/>
        <v>1</v>
      </c>
      <c r="N355">
        <f>VLOOKUP(A355,Database!$A$2:$I$948,5,0)</f>
        <v>1</v>
      </c>
    </row>
    <row r="356" spans="1:14" hidden="1" x14ac:dyDescent="0.35">
      <c r="A356" s="3">
        <v>103409548</v>
      </c>
      <c r="B356" s="3" t="s">
        <v>354</v>
      </c>
      <c r="C356" s="3" t="str">
        <f t="shared" si="11"/>
        <v>2022-07-07</v>
      </c>
      <c r="D356" s="3" t="s">
        <v>9</v>
      </c>
      <c r="E356" s="3" t="s">
        <v>5</v>
      </c>
      <c r="F356" s="3" t="s">
        <v>12</v>
      </c>
      <c r="G356" s="3" t="s">
        <v>355</v>
      </c>
      <c r="H356" s="3" t="s">
        <v>356</v>
      </c>
      <c r="I356" s="5">
        <v>2749</v>
      </c>
      <c r="J356" s="3" t="s">
        <v>11</v>
      </c>
      <c r="K356">
        <f>MATCH(A356,Database!$A$2:$A$948,0)</f>
        <v>584</v>
      </c>
      <c r="L356">
        <f>VLOOKUP(A356,Database!$A$2:$I$948,4,0)</f>
        <v>2749</v>
      </c>
      <c r="M356" t="b">
        <f t="shared" si="12"/>
        <v>1</v>
      </c>
      <c r="N356">
        <f>VLOOKUP(A356,Database!$A$2:$I$948,5,0)</f>
        <v>1</v>
      </c>
    </row>
    <row r="357" spans="1:14" hidden="1" x14ac:dyDescent="0.35">
      <c r="A357" s="3">
        <v>103409647</v>
      </c>
      <c r="B357" s="3" t="s">
        <v>357</v>
      </c>
      <c r="C357" s="3" t="str">
        <f t="shared" si="11"/>
        <v>2022-07-07</v>
      </c>
      <c r="D357" s="3" t="s">
        <v>9</v>
      </c>
      <c r="E357" s="3" t="s">
        <v>5</v>
      </c>
      <c r="F357" s="3" t="s">
        <v>10</v>
      </c>
      <c r="G357" s="3" t="s">
        <v>358</v>
      </c>
      <c r="H357" s="3" t="s">
        <v>359</v>
      </c>
      <c r="I357" s="4">
        <v>2991.64</v>
      </c>
      <c r="J357" s="3" t="s">
        <v>11</v>
      </c>
      <c r="K357">
        <f>MATCH(A357,Database!$A$2:$A$948,0)</f>
        <v>598</v>
      </c>
      <c r="L357">
        <f>VLOOKUP(A357,Database!$A$2:$I$948,4,0)</f>
        <v>2991.64</v>
      </c>
      <c r="M357" t="b">
        <f t="shared" si="12"/>
        <v>1</v>
      </c>
      <c r="N357">
        <f>VLOOKUP(A357,Database!$A$2:$I$948,5,0)</f>
        <v>1</v>
      </c>
    </row>
    <row r="358" spans="1:14" hidden="1" x14ac:dyDescent="0.35">
      <c r="A358" s="3">
        <v>103409644</v>
      </c>
      <c r="B358" s="3" t="s">
        <v>360</v>
      </c>
      <c r="C358" s="3" t="str">
        <f t="shared" si="11"/>
        <v>2022-07-07</v>
      </c>
      <c r="D358" s="3" t="s">
        <v>9</v>
      </c>
      <c r="E358" s="3" t="s">
        <v>5</v>
      </c>
      <c r="F358" s="3" t="s">
        <v>10</v>
      </c>
      <c r="G358" s="3" t="s">
        <v>361</v>
      </c>
      <c r="H358" s="3" t="s">
        <v>362</v>
      </c>
      <c r="I358" s="4">
        <v>3656.55</v>
      </c>
      <c r="J358" s="3" t="s">
        <v>11</v>
      </c>
      <c r="K358">
        <f>MATCH(A358,Database!$A$2:$A$948,0)</f>
        <v>597</v>
      </c>
      <c r="L358">
        <f>VLOOKUP(A358,Database!$A$2:$I$948,4,0)</f>
        <v>3656.55</v>
      </c>
      <c r="M358" t="b">
        <f t="shared" si="12"/>
        <v>1</v>
      </c>
      <c r="N358">
        <f>VLOOKUP(A358,Database!$A$2:$I$948,5,0)</f>
        <v>1</v>
      </c>
    </row>
    <row r="359" spans="1:14" hidden="1" x14ac:dyDescent="0.35">
      <c r="A359" s="3">
        <v>103409639</v>
      </c>
      <c r="B359" s="3" t="s">
        <v>363</v>
      </c>
      <c r="C359" s="3" t="str">
        <f t="shared" si="11"/>
        <v>2022-07-07</v>
      </c>
      <c r="D359" s="3" t="s">
        <v>9</v>
      </c>
      <c r="E359" s="3" t="s">
        <v>5</v>
      </c>
      <c r="F359" s="3" t="s">
        <v>10</v>
      </c>
      <c r="G359" s="3" t="s">
        <v>364</v>
      </c>
      <c r="H359" s="3" t="s">
        <v>365</v>
      </c>
      <c r="I359" s="5">
        <v>3599</v>
      </c>
      <c r="J359" s="3" t="s">
        <v>11</v>
      </c>
      <c r="K359">
        <f>MATCH(A359,Database!$A$2:$A$948,0)</f>
        <v>596</v>
      </c>
      <c r="L359">
        <f>VLOOKUP(A359,Database!$A$2:$I$948,4,0)</f>
        <v>3599</v>
      </c>
      <c r="M359" t="b">
        <f t="shared" si="12"/>
        <v>1</v>
      </c>
      <c r="N359">
        <f>VLOOKUP(A359,Database!$A$2:$I$948,5,0)</f>
        <v>1</v>
      </c>
    </row>
    <row r="360" spans="1:14" hidden="1" x14ac:dyDescent="0.35">
      <c r="A360" s="3">
        <v>103409637</v>
      </c>
      <c r="B360" s="3" t="s">
        <v>366</v>
      </c>
      <c r="C360" s="3" t="str">
        <f t="shared" si="11"/>
        <v>2022-07-07</v>
      </c>
      <c r="D360" s="3" t="s">
        <v>9</v>
      </c>
      <c r="E360" s="3" t="s">
        <v>5</v>
      </c>
      <c r="F360" s="3" t="s">
        <v>12</v>
      </c>
      <c r="G360" s="3" t="s">
        <v>367</v>
      </c>
      <c r="H360" s="3" t="s">
        <v>368</v>
      </c>
      <c r="I360" s="4">
        <v>4102.1000000000004</v>
      </c>
      <c r="J360" s="3" t="s">
        <v>11</v>
      </c>
      <c r="K360">
        <f>MATCH(A360,Database!$A$2:$A$948,0)</f>
        <v>595</v>
      </c>
      <c r="L360">
        <f>VLOOKUP(A360,Database!$A$2:$I$948,4,0)</f>
        <v>4102.1000000000004</v>
      </c>
      <c r="M360" t="b">
        <f t="shared" si="12"/>
        <v>1</v>
      </c>
      <c r="N360">
        <f>VLOOKUP(A360,Database!$A$2:$I$948,5,0)</f>
        <v>2</v>
      </c>
    </row>
    <row r="361" spans="1:14" hidden="1" x14ac:dyDescent="0.35">
      <c r="A361" s="3">
        <v>103409635</v>
      </c>
      <c r="B361" s="3" t="s">
        <v>369</v>
      </c>
      <c r="C361" s="3" t="str">
        <f t="shared" si="11"/>
        <v>2022-07-07</v>
      </c>
      <c r="D361" s="3" t="s">
        <v>9</v>
      </c>
      <c r="E361" s="3" t="s">
        <v>5</v>
      </c>
      <c r="F361" s="3" t="s">
        <v>10</v>
      </c>
      <c r="G361" s="3" t="s">
        <v>370</v>
      </c>
      <c r="H361" s="3" t="s">
        <v>371</v>
      </c>
      <c r="I361" s="3">
        <v>937.7</v>
      </c>
      <c r="J361" s="3" t="s">
        <v>11</v>
      </c>
      <c r="K361">
        <f>MATCH(A361,Database!$A$2:$A$948,0)</f>
        <v>594</v>
      </c>
      <c r="L361">
        <f>VLOOKUP(A361,Database!$A$2:$I$948,4,0)</f>
        <v>937.7</v>
      </c>
      <c r="M361" t="b">
        <f t="shared" si="12"/>
        <v>1</v>
      </c>
      <c r="N361">
        <f>VLOOKUP(A361,Database!$A$2:$I$948,5,0)</f>
        <v>1</v>
      </c>
    </row>
    <row r="362" spans="1:14" hidden="1" x14ac:dyDescent="0.35">
      <c r="A362" s="3">
        <v>103409538</v>
      </c>
      <c r="B362" s="3" t="s">
        <v>372</v>
      </c>
      <c r="C362" s="3" t="str">
        <f t="shared" si="11"/>
        <v>2022-07-07</v>
      </c>
      <c r="D362" s="3" t="s">
        <v>9</v>
      </c>
      <c r="E362" s="3" t="s">
        <v>5</v>
      </c>
      <c r="F362" s="3" t="s">
        <v>12</v>
      </c>
      <c r="G362" s="3" t="s">
        <v>373</v>
      </c>
      <c r="H362" s="3" t="s">
        <v>374</v>
      </c>
      <c r="I362" s="3">
        <v>669</v>
      </c>
      <c r="J362" s="3" t="s">
        <v>11</v>
      </c>
      <c r="K362">
        <f>MATCH(A362,Database!$A$2:$A$948,0)</f>
        <v>583</v>
      </c>
      <c r="L362">
        <f>VLOOKUP(A362,Database!$A$2:$I$948,4,0)</f>
        <v>669</v>
      </c>
      <c r="M362" t="b">
        <f t="shared" si="12"/>
        <v>1</v>
      </c>
      <c r="N362">
        <f>VLOOKUP(A362,Database!$A$2:$I$948,5,0)</f>
        <v>1</v>
      </c>
    </row>
    <row r="363" spans="1:14" hidden="1" x14ac:dyDescent="0.35">
      <c r="A363" s="3">
        <v>103409537</v>
      </c>
      <c r="B363" s="3" t="s">
        <v>375</v>
      </c>
      <c r="C363" s="3" t="str">
        <f t="shared" si="11"/>
        <v>2022-07-07</v>
      </c>
      <c r="D363" s="3" t="s">
        <v>9</v>
      </c>
      <c r="E363" s="3" t="s">
        <v>5</v>
      </c>
      <c r="F363" s="3" t="s">
        <v>10</v>
      </c>
      <c r="G363" s="3" t="s">
        <v>376</v>
      </c>
      <c r="H363" s="3" t="s">
        <v>377</v>
      </c>
      <c r="I363" s="4">
        <v>6636.7</v>
      </c>
      <c r="J363" s="3" t="s">
        <v>11</v>
      </c>
      <c r="K363">
        <f>MATCH(A363,Database!$A$2:$A$948,0)</f>
        <v>582</v>
      </c>
      <c r="L363">
        <f>VLOOKUP(A363,Database!$A$2:$I$948,4,0)</f>
        <v>6636.7</v>
      </c>
      <c r="M363" t="b">
        <f t="shared" si="12"/>
        <v>1</v>
      </c>
      <c r="N363">
        <f>VLOOKUP(A363,Database!$A$2:$I$948,5,0)</f>
        <v>4</v>
      </c>
    </row>
    <row r="364" spans="1:14" hidden="1" x14ac:dyDescent="0.35">
      <c r="A364" s="3">
        <v>103409616</v>
      </c>
      <c r="B364" s="3" t="s">
        <v>378</v>
      </c>
      <c r="C364" s="3" t="str">
        <f t="shared" si="11"/>
        <v>2022-07-07</v>
      </c>
      <c r="D364" s="3" t="s">
        <v>9</v>
      </c>
      <c r="E364" s="3" t="s">
        <v>5</v>
      </c>
      <c r="F364" s="3" t="s">
        <v>10</v>
      </c>
      <c r="G364" s="3" t="s">
        <v>379</v>
      </c>
      <c r="H364" s="3" t="s">
        <v>380</v>
      </c>
      <c r="I364" s="4">
        <v>3490.87</v>
      </c>
      <c r="J364" s="3" t="s">
        <v>11</v>
      </c>
      <c r="K364">
        <f>MATCH(A364,Database!$A$2:$A$948,0)</f>
        <v>593</v>
      </c>
      <c r="L364">
        <f>VLOOKUP(A364,Database!$A$2:$I$948,4,0)</f>
        <v>3490.87</v>
      </c>
      <c r="M364" t="b">
        <f t="shared" si="12"/>
        <v>1</v>
      </c>
      <c r="N364">
        <f>VLOOKUP(A364,Database!$A$2:$I$948,5,0)</f>
        <v>2</v>
      </c>
    </row>
    <row r="365" spans="1:14" hidden="1" x14ac:dyDescent="0.35">
      <c r="A365" s="3">
        <v>103409615</v>
      </c>
      <c r="B365" s="3" t="s">
        <v>381</v>
      </c>
      <c r="C365" s="3" t="str">
        <f t="shared" si="11"/>
        <v>2022-07-07</v>
      </c>
      <c r="D365" s="3" t="s">
        <v>9</v>
      </c>
      <c r="E365" s="3" t="s">
        <v>5</v>
      </c>
      <c r="F365" s="3" t="s">
        <v>10</v>
      </c>
      <c r="G365" s="3" t="s">
        <v>382</v>
      </c>
      <c r="H365" s="3" t="s">
        <v>383</v>
      </c>
      <c r="I365" s="4">
        <v>2960.2</v>
      </c>
      <c r="J365" s="3" t="s">
        <v>11</v>
      </c>
      <c r="K365">
        <f>MATCH(A365,Database!$A$2:$A$948,0)</f>
        <v>592</v>
      </c>
      <c r="L365">
        <f>VLOOKUP(A365,Database!$A$2:$I$948,4,0)</f>
        <v>2960.2</v>
      </c>
      <c r="M365" t="b">
        <f t="shared" si="12"/>
        <v>1</v>
      </c>
      <c r="N365">
        <f>VLOOKUP(A365,Database!$A$2:$I$948,5,0)</f>
        <v>4</v>
      </c>
    </row>
    <row r="366" spans="1:14" hidden="1" x14ac:dyDescent="0.35">
      <c r="A366" s="3">
        <v>103409608</v>
      </c>
      <c r="B366" s="3" t="s">
        <v>384</v>
      </c>
      <c r="C366" s="3" t="str">
        <f t="shared" si="11"/>
        <v>2022-07-07</v>
      </c>
      <c r="D366" s="3" t="s">
        <v>9</v>
      </c>
      <c r="E366" s="3" t="s">
        <v>5</v>
      </c>
      <c r="F366" s="3" t="s">
        <v>10</v>
      </c>
      <c r="G366" s="3" t="s">
        <v>385</v>
      </c>
      <c r="H366" s="3" t="s">
        <v>386</v>
      </c>
      <c r="I366" s="5">
        <v>1349</v>
      </c>
      <c r="J366" s="3" t="s">
        <v>11</v>
      </c>
      <c r="K366">
        <f>MATCH(A366,Database!$A$2:$A$948,0)</f>
        <v>591</v>
      </c>
      <c r="L366">
        <f>VLOOKUP(A366,Database!$A$2:$I$948,4,0)</f>
        <v>1349</v>
      </c>
      <c r="M366" t="b">
        <f t="shared" si="12"/>
        <v>1</v>
      </c>
      <c r="N366">
        <f>VLOOKUP(A366,Database!$A$2:$I$948,5,0)</f>
        <v>1</v>
      </c>
    </row>
    <row r="367" spans="1:14" hidden="1" x14ac:dyDescent="0.35">
      <c r="A367" s="3">
        <v>103409521</v>
      </c>
      <c r="B367" s="3" t="s">
        <v>387</v>
      </c>
      <c r="C367" s="3" t="str">
        <f t="shared" si="11"/>
        <v>2022-07-07</v>
      </c>
      <c r="D367" s="3" t="s">
        <v>9</v>
      </c>
      <c r="E367" s="3" t="s">
        <v>5</v>
      </c>
      <c r="F367" s="3" t="s">
        <v>10</v>
      </c>
      <c r="G367" s="3" t="s">
        <v>388</v>
      </c>
      <c r="H367" s="3" t="s">
        <v>389</v>
      </c>
      <c r="I367" s="5">
        <v>2249</v>
      </c>
      <c r="J367" s="3" t="s">
        <v>11</v>
      </c>
      <c r="K367">
        <f>MATCH(A367,Database!$A$2:$A$948,0)</f>
        <v>581</v>
      </c>
      <c r="L367">
        <f>VLOOKUP(A367,Database!$A$2:$I$948,4,0)</f>
        <v>2249</v>
      </c>
      <c r="M367" t="b">
        <f t="shared" si="12"/>
        <v>1</v>
      </c>
      <c r="N367">
        <f>VLOOKUP(A367,Database!$A$2:$I$948,5,0)</f>
        <v>1</v>
      </c>
    </row>
    <row r="368" spans="1:14" hidden="1" x14ac:dyDescent="0.35">
      <c r="A368" s="3">
        <v>103409517</v>
      </c>
      <c r="B368" s="3" t="s">
        <v>390</v>
      </c>
      <c r="C368" s="3" t="str">
        <f t="shared" si="11"/>
        <v>2022-07-07</v>
      </c>
      <c r="D368" s="3" t="s">
        <v>9</v>
      </c>
      <c r="E368" s="3" t="s">
        <v>5</v>
      </c>
      <c r="F368" s="3" t="s">
        <v>12</v>
      </c>
      <c r="G368" s="3" t="s">
        <v>391</v>
      </c>
      <c r="H368" s="3" t="s">
        <v>392</v>
      </c>
      <c r="I368" s="3">
        <v>489</v>
      </c>
      <c r="J368" s="3" t="s">
        <v>11</v>
      </c>
      <c r="K368">
        <f>MATCH(A368,Database!$A$2:$A$948,0)</f>
        <v>580</v>
      </c>
      <c r="L368">
        <f>VLOOKUP(A368,Database!$A$2:$I$948,4,0)</f>
        <v>489</v>
      </c>
      <c r="M368" t="b">
        <f t="shared" si="12"/>
        <v>1</v>
      </c>
      <c r="N368">
        <f>VLOOKUP(A368,Database!$A$2:$I$948,5,0)</f>
        <v>1</v>
      </c>
    </row>
    <row r="369" spans="1:14" hidden="1" x14ac:dyDescent="0.35">
      <c r="A369" s="3">
        <v>103409514</v>
      </c>
      <c r="B369" s="3" t="s">
        <v>393</v>
      </c>
      <c r="C369" s="3" t="str">
        <f t="shared" si="11"/>
        <v>2022-07-07</v>
      </c>
      <c r="D369" s="3" t="s">
        <v>9</v>
      </c>
      <c r="E369" s="3" t="s">
        <v>5</v>
      </c>
      <c r="F369" s="3" t="s">
        <v>12</v>
      </c>
      <c r="G369" s="3" t="s">
        <v>394</v>
      </c>
      <c r="H369" s="3" t="s">
        <v>395</v>
      </c>
      <c r="I369" s="3">
        <v>369</v>
      </c>
      <c r="J369" s="3" t="s">
        <v>11</v>
      </c>
      <c r="K369">
        <f>MATCH(A369,Database!$A$2:$A$948,0)</f>
        <v>579</v>
      </c>
      <c r="L369">
        <f>VLOOKUP(A369,Database!$A$2:$I$948,4,0)</f>
        <v>369</v>
      </c>
      <c r="M369" t="b">
        <f t="shared" si="12"/>
        <v>1</v>
      </c>
      <c r="N369">
        <f>VLOOKUP(A369,Database!$A$2:$I$948,5,0)</f>
        <v>1</v>
      </c>
    </row>
    <row r="370" spans="1:14" hidden="1" x14ac:dyDescent="0.35">
      <c r="A370" s="3">
        <v>103409604</v>
      </c>
      <c r="B370" s="3" t="s">
        <v>396</v>
      </c>
      <c r="C370" s="3" t="str">
        <f t="shared" si="11"/>
        <v>2022-07-07</v>
      </c>
      <c r="D370" s="3" t="s">
        <v>9</v>
      </c>
      <c r="E370" s="3" t="s">
        <v>5</v>
      </c>
      <c r="F370" s="3" t="s">
        <v>12</v>
      </c>
      <c r="G370" s="3" t="s">
        <v>397</v>
      </c>
      <c r="H370" s="3" t="s">
        <v>398</v>
      </c>
      <c r="I370" s="4">
        <v>2041.55</v>
      </c>
      <c r="J370" s="3" t="s">
        <v>11</v>
      </c>
      <c r="K370">
        <f>MATCH(A370,Database!$A$2:$A$948,0)</f>
        <v>590</v>
      </c>
      <c r="L370">
        <f>VLOOKUP(A370,Database!$A$2:$I$948,4,0)</f>
        <v>2041.55</v>
      </c>
      <c r="M370" t="b">
        <f t="shared" si="12"/>
        <v>1</v>
      </c>
      <c r="N370">
        <f>VLOOKUP(A370,Database!$A$2:$I$948,5,0)</f>
        <v>1</v>
      </c>
    </row>
    <row r="371" spans="1:14" x14ac:dyDescent="0.35">
      <c r="A371" s="3">
        <v>103409595</v>
      </c>
      <c r="B371" s="3" t="s">
        <v>399</v>
      </c>
      <c r="C371" s="3" t="str">
        <f t="shared" si="11"/>
        <v>2022-07-07</v>
      </c>
      <c r="D371" s="3" t="s">
        <v>9</v>
      </c>
      <c r="E371" s="3" t="s">
        <v>5</v>
      </c>
      <c r="F371" s="3" t="s">
        <v>10</v>
      </c>
      <c r="G371" s="3" t="s">
        <v>400</v>
      </c>
      <c r="H371" s="3" t="s">
        <v>401</v>
      </c>
      <c r="I371" s="4">
        <v>1994.05</v>
      </c>
      <c r="J371" s="3" t="s">
        <v>11</v>
      </c>
      <c r="K371" t="e">
        <f>MATCH(A371,Database!$A$2:$A$948,0)</f>
        <v>#N/A</v>
      </c>
      <c r="L371" t="e">
        <f>VLOOKUP(A371,Database!$A$2:$I$948,4,0)</f>
        <v>#N/A</v>
      </c>
      <c r="M371" t="e">
        <f t="shared" si="12"/>
        <v>#N/A</v>
      </c>
      <c r="N371" t="e">
        <f>VLOOKUP(A371,Database!$A$2:$I$948,5,0)</f>
        <v>#N/A</v>
      </c>
    </row>
    <row r="372" spans="1:14" hidden="1" x14ac:dyDescent="0.35">
      <c r="A372" s="3">
        <v>103409509</v>
      </c>
      <c r="B372" s="3" t="s">
        <v>402</v>
      </c>
      <c r="C372" s="3" t="str">
        <f t="shared" si="11"/>
        <v>2022-07-07</v>
      </c>
      <c r="D372" s="3" t="s">
        <v>9</v>
      </c>
      <c r="E372" s="3" t="s">
        <v>5</v>
      </c>
      <c r="F372" s="3" t="s">
        <v>10</v>
      </c>
      <c r="G372" s="3" t="s">
        <v>403</v>
      </c>
      <c r="H372" s="3" t="s">
        <v>404</v>
      </c>
      <c r="I372" s="5">
        <v>1617</v>
      </c>
      <c r="J372" s="3" t="s">
        <v>11</v>
      </c>
      <c r="K372">
        <f>MATCH(A372,Database!$A$2:$A$948,0)</f>
        <v>578</v>
      </c>
      <c r="L372">
        <f>VLOOKUP(A372,Database!$A$2:$I$948,4,0)</f>
        <v>1617</v>
      </c>
      <c r="M372" t="b">
        <f t="shared" si="12"/>
        <v>1</v>
      </c>
      <c r="N372">
        <f>VLOOKUP(A372,Database!$A$2:$I$948,5,0)</f>
        <v>3</v>
      </c>
    </row>
    <row r="373" spans="1:14" hidden="1" x14ac:dyDescent="0.35">
      <c r="A373" s="3">
        <v>103409508</v>
      </c>
      <c r="B373" s="3" t="s">
        <v>405</v>
      </c>
      <c r="C373" s="3" t="str">
        <f t="shared" si="11"/>
        <v>2022-07-07</v>
      </c>
      <c r="D373" s="3" t="s">
        <v>9</v>
      </c>
      <c r="E373" s="3" t="s">
        <v>5</v>
      </c>
      <c r="F373" s="3" t="s">
        <v>10</v>
      </c>
      <c r="G373" s="3" t="s">
        <v>406</v>
      </c>
      <c r="H373" s="3" t="s">
        <v>407</v>
      </c>
      <c r="I373" s="4">
        <v>5735.15</v>
      </c>
      <c r="J373" s="3" t="s">
        <v>11</v>
      </c>
      <c r="K373">
        <f>MATCH(A373,Database!$A$2:$A$948,0)</f>
        <v>577</v>
      </c>
      <c r="L373">
        <f>VLOOKUP(A373,Database!$A$2:$I$948,4,0)</f>
        <v>5735.15</v>
      </c>
      <c r="M373" t="b">
        <f t="shared" si="12"/>
        <v>1</v>
      </c>
      <c r="N373">
        <f>VLOOKUP(A373,Database!$A$2:$I$948,5,0)</f>
        <v>3</v>
      </c>
    </row>
    <row r="374" spans="1:14" hidden="1" x14ac:dyDescent="0.35">
      <c r="A374" s="3">
        <v>103409594</v>
      </c>
      <c r="B374" s="3" t="s">
        <v>408</v>
      </c>
      <c r="C374" s="3" t="str">
        <f t="shared" si="11"/>
        <v>2022-07-07</v>
      </c>
      <c r="D374" s="3" t="s">
        <v>9</v>
      </c>
      <c r="E374" s="3" t="s">
        <v>5</v>
      </c>
      <c r="F374" s="3" t="s">
        <v>10</v>
      </c>
      <c r="G374" s="3" t="s">
        <v>409</v>
      </c>
      <c r="H374" s="3" t="s">
        <v>410</v>
      </c>
      <c r="I374" s="4">
        <v>2051.14</v>
      </c>
      <c r="J374" s="3" t="s">
        <v>11</v>
      </c>
      <c r="K374">
        <f>MATCH(A374,Database!$A$2:$A$948,0)</f>
        <v>589</v>
      </c>
      <c r="L374">
        <f>VLOOKUP(A374,Database!$A$2:$I$948,4,0)</f>
        <v>2051.14</v>
      </c>
      <c r="M374" t="b">
        <f t="shared" si="12"/>
        <v>1</v>
      </c>
      <c r="N374">
        <f>VLOOKUP(A374,Database!$A$2:$I$948,5,0)</f>
        <v>1</v>
      </c>
    </row>
    <row r="375" spans="1:14" x14ac:dyDescent="0.35">
      <c r="A375" s="3">
        <v>103409585</v>
      </c>
      <c r="B375" s="3" t="s">
        <v>411</v>
      </c>
      <c r="C375" s="3" t="str">
        <f t="shared" si="11"/>
        <v>2022-07-07</v>
      </c>
      <c r="D375" s="3" t="s">
        <v>9</v>
      </c>
      <c r="E375" s="3" t="s">
        <v>5</v>
      </c>
      <c r="F375" s="3" t="s">
        <v>10</v>
      </c>
      <c r="G375" s="3" t="s">
        <v>412</v>
      </c>
      <c r="H375" s="3" t="s">
        <v>413</v>
      </c>
      <c r="I375" s="4">
        <v>2658.1</v>
      </c>
      <c r="J375" s="3" t="s">
        <v>13</v>
      </c>
      <c r="K375">
        <f>MATCH(A375,Database!$A$2:$A$948,0)</f>
        <v>588</v>
      </c>
      <c r="L375">
        <f>VLOOKUP(A375,Database!$A$2:$I$948,4,0)</f>
        <v>1234.05</v>
      </c>
      <c r="M375" t="b">
        <f t="shared" si="12"/>
        <v>0</v>
      </c>
      <c r="N375">
        <f>VLOOKUP(A375,Database!$A$2:$I$948,5,0)</f>
        <v>1</v>
      </c>
    </row>
    <row r="376" spans="1:14" hidden="1" x14ac:dyDescent="0.35">
      <c r="A376" s="3">
        <v>103409500</v>
      </c>
      <c r="B376" s="3" t="s">
        <v>414</v>
      </c>
      <c r="C376" s="3" t="str">
        <f t="shared" si="11"/>
        <v>2022-07-07</v>
      </c>
      <c r="D376" s="3" t="s">
        <v>9</v>
      </c>
      <c r="E376" s="3" t="s">
        <v>5</v>
      </c>
      <c r="F376" s="3" t="s">
        <v>12</v>
      </c>
      <c r="G376" s="3" t="s">
        <v>415</v>
      </c>
      <c r="H376" s="3" t="s">
        <v>416</v>
      </c>
      <c r="I376" s="4">
        <v>2611.5500000000002</v>
      </c>
      <c r="J376" s="3" t="s">
        <v>11</v>
      </c>
      <c r="K376">
        <f>MATCH(A376,Database!$A$2:$A$948,0)</f>
        <v>576</v>
      </c>
      <c r="L376">
        <f>VLOOKUP(A376,Database!$A$2:$I$948,4,0)</f>
        <v>2611.5500000000002</v>
      </c>
      <c r="M376" t="b">
        <f t="shared" si="12"/>
        <v>1</v>
      </c>
      <c r="N376">
        <f>VLOOKUP(A376,Database!$A$2:$I$948,5,0)</f>
        <v>1</v>
      </c>
    </row>
    <row r="377" spans="1:14" hidden="1" x14ac:dyDescent="0.35">
      <c r="A377" s="3">
        <v>103409579</v>
      </c>
      <c r="B377" s="3" t="s">
        <v>417</v>
      </c>
      <c r="C377" s="3" t="str">
        <f t="shared" si="11"/>
        <v>2022-07-07</v>
      </c>
      <c r="D377" s="3" t="s">
        <v>9</v>
      </c>
      <c r="E377" s="3" t="s">
        <v>5</v>
      </c>
      <c r="F377" s="3" t="s">
        <v>10</v>
      </c>
      <c r="G377" s="3" t="s">
        <v>418</v>
      </c>
      <c r="H377" s="3" t="s">
        <v>419</v>
      </c>
      <c r="I377" s="3">
        <v>495.04</v>
      </c>
      <c r="J377" s="3" t="s">
        <v>11</v>
      </c>
      <c r="K377">
        <f>MATCH(A377,Database!$A$2:$A$948,0)</f>
        <v>587</v>
      </c>
      <c r="L377">
        <f>VLOOKUP(A377,Database!$A$2:$I$948,4,0)</f>
        <v>495.04</v>
      </c>
      <c r="M377" t="b">
        <f t="shared" si="12"/>
        <v>1</v>
      </c>
      <c r="N377">
        <f>VLOOKUP(A377,Database!$A$2:$I$948,5,0)</f>
        <v>1</v>
      </c>
    </row>
    <row r="378" spans="1:14" hidden="1" x14ac:dyDescent="0.35">
      <c r="A378" s="3">
        <v>103409487</v>
      </c>
      <c r="B378" s="3" t="s">
        <v>420</v>
      </c>
      <c r="C378" s="3" t="str">
        <f t="shared" si="11"/>
        <v>2022-07-06</v>
      </c>
      <c r="D378" s="3" t="s">
        <v>9</v>
      </c>
      <c r="E378" s="3" t="s">
        <v>5</v>
      </c>
      <c r="F378" s="3" t="s">
        <v>10</v>
      </c>
      <c r="G378" s="3" t="s">
        <v>421</v>
      </c>
      <c r="H378" s="3" t="s">
        <v>422</v>
      </c>
      <c r="I378" s="4">
        <v>2350.39</v>
      </c>
      <c r="J378" s="3" t="s">
        <v>11</v>
      </c>
      <c r="K378">
        <f>MATCH(A378,Database!$A$2:$A$948,0)</f>
        <v>575</v>
      </c>
      <c r="L378">
        <f>VLOOKUP(A378,Database!$A$2:$I$948,4,0)</f>
        <v>2350.39</v>
      </c>
      <c r="M378" t="b">
        <f t="shared" si="12"/>
        <v>1</v>
      </c>
      <c r="N378">
        <f>VLOOKUP(A378,Database!$A$2:$I$948,5,0)</f>
        <v>1</v>
      </c>
    </row>
    <row r="379" spans="1:14" hidden="1" x14ac:dyDescent="0.35">
      <c r="A379" s="3">
        <v>103409461</v>
      </c>
      <c r="B379" s="3" t="s">
        <v>423</v>
      </c>
      <c r="C379" s="3" t="str">
        <f t="shared" si="11"/>
        <v>2022-07-06</v>
      </c>
      <c r="D379" s="3" t="s">
        <v>9</v>
      </c>
      <c r="E379" s="3" t="s">
        <v>5</v>
      </c>
      <c r="F379" s="3" t="s">
        <v>10</v>
      </c>
      <c r="G379" s="3" t="s">
        <v>424</v>
      </c>
      <c r="H379" s="3" t="s">
        <v>425</v>
      </c>
      <c r="I379" s="4">
        <v>1347.1</v>
      </c>
      <c r="J379" s="3" t="s">
        <v>11</v>
      </c>
      <c r="K379">
        <f>MATCH(A379,Database!$A$2:$A$948,0)</f>
        <v>571</v>
      </c>
      <c r="L379">
        <f>VLOOKUP(A379,Database!$A$2:$I$948,4,0)</f>
        <v>1347.1</v>
      </c>
      <c r="M379" t="b">
        <f t="shared" si="12"/>
        <v>1</v>
      </c>
      <c r="N379">
        <f>VLOOKUP(A379,Database!$A$2:$I$948,5,0)</f>
        <v>2</v>
      </c>
    </row>
    <row r="380" spans="1:14" hidden="1" x14ac:dyDescent="0.35">
      <c r="A380" s="3">
        <v>103409460</v>
      </c>
      <c r="B380" s="3" t="s">
        <v>426</v>
      </c>
      <c r="C380" s="3" t="str">
        <f t="shared" si="11"/>
        <v>2022-07-06</v>
      </c>
      <c r="D380" s="3" t="s">
        <v>9</v>
      </c>
      <c r="E380" s="3" t="s">
        <v>5</v>
      </c>
      <c r="F380" s="3" t="s">
        <v>10</v>
      </c>
      <c r="G380" s="3" t="s">
        <v>427</v>
      </c>
      <c r="H380" s="3" t="s">
        <v>428</v>
      </c>
      <c r="I380" s="3">
        <v>639</v>
      </c>
      <c r="J380" s="3" t="s">
        <v>11</v>
      </c>
      <c r="K380">
        <f>MATCH(A380,Database!$A$2:$A$948,0)</f>
        <v>570</v>
      </c>
      <c r="L380">
        <f>VLOOKUP(A380,Database!$A$2:$I$948,4,0)</f>
        <v>639</v>
      </c>
      <c r="M380" t="b">
        <f t="shared" si="12"/>
        <v>1</v>
      </c>
      <c r="N380">
        <f>VLOOKUP(A380,Database!$A$2:$I$948,5,0)</f>
        <v>1</v>
      </c>
    </row>
    <row r="381" spans="1:14" hidden="1" x14ac:dyDescent="0.35">
      <c r="A381" s="3">
        <v>103409458</v>
      </c>
      <c r="B381" s="3" t="s">
        <v>429</v>
      </c>
      <c r="C381" s="3" t="str">
        <f t="shared" si="11"/>
        <v>2022-07-06</v>
      </c>
      <c r="D381" s="3" t="s">
        <v>9</v>
      </c>
      <c r="E381" s="3" t="s">
        <v>5</v>
      </c>
      <c r="F381" s="3" t="s">
        <v>10</v>
      </c>
      <c r="G381" s="3" t="s">
        <v>430</v>
      </c>
      <c r="H381" s="3" t="s">
        <v>431</v>
      </c>
      <c r="I381" s="3">
        <v>113.05</v>
      </c>
      <c r="J381" s="3" t="s">
        <v>11</v>
      </c>
      <c r="K381">
        <f>MATCH(A381,Database!$A$2:$A$948,0)</f>
        <v>569</v>
      </c>
      <c r="L381">
        <f>VLOOKUP(A381,Database!$A$2:$I$948,4,0)</f>
        <v>113.05</v>
      </c>
      <c r="M381" t="b">
        <f t="shared" si="12"/>
        <v>1</v>
      </c>
      <c r="N381">
        <f>VLOOKUP(A381,Database!$A$2:$I$948,5,0)</f>
        <v>1</v>
      </c>
    </row>
    <row r="382" spans="1:14" hidden="1" x14ac:dyDescent="0.35">
      <c r="A382" s="3">
        <v>103409457</v>
      </c>
      <c r="B382" s="3" t="s">
        <v>432</v>
      </c>
      <c r="C382" s="3" t="str">
        <f t="shared" si="11"/>
        <v>2022-07-06</v>
      </c>
      <c r="D382" s="3" t="s">
        <v>9</v>
      </c>
      <c r="E382" s="3" t="s">
        <v>5</v>
      </c>
      <c r="F382" s="3" t="s">
        <v>10</v>
      </c>
      <c r="G382" s="3" t="s">
        <v>433</v>
      </c>
      <c r="H382" s="3" t="s">
        <v>434</v>
      </c>
      <c r="I382" s="3">
        <v>92.15</v>
      </c>
      <c r="J382" s="3" t="s">
        <v>11</v>
      </c>
      <c r="K382">
        <f>MATCH(A382,Database!$A$2:$A$948,0)</f>
        <v>568</v>
      </c>
      <c r="L382">
        <f>VLOOKUP(A382,Database!$A$2:$I$948,4,0)</f>
        <v>92.15</v>
      </c>
      <c r="M382" t="b">
        <f t="shared" si="12"/>
        <v>1</v>
      </c>
      <c r="N382">
        <f>VLOOKUP(A382,Database!$A$2:$I$948,5,0)</f>
        <v>3</v>
      </c>
    </row>
    <row r="383" spans="1:14" hidden="1" x14ac:dyDescent="0.35">
      <c r="A383" s="3">
        <v>103409474</v>
      </c>
      <c r="B383" s="3" t="s">
        <v>435</v>
      </c>
      <c r="C383" s="3" t="str">
        <f t="shared" si="11"/>
        <v>2022-07-06</v>
      </c>
      <c r="D383" s="3" t="s">
        <v>9</v>
      </c>
      <c r="E383" s="3" t="s">
        <v>5</v>
      </c>
      <c r="F383" s="3" t="s">
        <v>12</v>
      </c>
      <c r="G383" s="3" t="s">
        <v>436</v>
      </c>
      <c r="H383" s="3" t="s">
        <v>437</v>
      </c>
      <c r="I383" s="5">
        <v>1499</v>
      </c>
      <c r="J383" s="3" t="s">
        <v>11</v>
      </c>
      <c r="K383">
        <f>MATCH(A383,Database!$A$2:$A$948,0)</f>
        <v>574</v>
      </c>
      <c r="L383">
        <f>VLOOKUP(A383,Database!$A$2:$I$948,4,0)</f>
        <v>1499</v>
      </c>
      <c r="M383" t="b">
        <f t="shared" si="12"/>
        <v>1</v>
      </c>
      <c r="N383">
        <f>VLOOKUP(A383,Database!$A$2:$I$948,5,0)</f>
        <v>1</v>
      </c>
    </row>
    <row r="384" spans="1:14" hidden="1" x14ac:dyDescent="0.35">
      <c r="A384" s="3">
        <v>103409469</v>
      </c>
      <c r="B384" s="3" t="s">
        <v>438</v>
      </c>
      <c r="C384" s="3" t="str">
        <f t="shared" si="11"/>
        <v>2022-07-06</v>
      </c>
      <c r="D384" s="3" t="s">
        <v>9</v>
      </c>
      <c r="E384" s="3" t="s">
        <v>5</v>
      </c>
      <c r="F384" s="3" t="s">
        <v>10</v>
      </c>
      <c r="G384" s="3" t="s">
        <v>439</v>
      </c>
      <c r="H384" s="3" t="s">
        <v>440</v>
      </c>
      <c r="I384" s="3">
        <v>899</v>
      </c>
      <c r="J384" s="3" t="s">
        <v>11</v>
      </c>
      <c r="K384">
        <f>MATCH(A384,Database!$A$2:$A$948,0)</f>
        <v>573</v>
      </c>
      <c r="L384">
        <f>VLOOKUP(A384,Database!$A$2:$I$948,4,0)</f>
        <v>899</v>
      </c>
      <c r="M384" t="b">
        <f t="shared" si="12"/>
        <v>1</v>
      </c>
      <c r="N384">
        <f>VLOOKUP(A384,Database!$A$2:$I$948,5,0)</f>
        <v>1</v>
      </c>
    </row>
    <row r="385" spans="1:14" hidden="1" x14ac:dyDescent="0.35">
      <c r="A385" s="3">
        <v>103409465</v>
      </c>
      <c r="B385" s="3" t="s">
        <v>441</v>
      </c>
      <c r="C385" s="3" t="str">
        <f t="shared" si="11"/>
        <v>2022-07-06</v>
      </c>
      <c r="D385" s="3" t="s">
        <v>9</v>
      </c>
      <c r="E385" s="3" t="s">
        <v>5</v>
      </c>
      <c r="F385" s="3" t="s">
        <v>10</v>
      </c>
      <c r="G385" s="3" t="s">
        <v>442</v>
      </c>
      <c r="H385" s="3" t="s">
        <v>443</v>
      </c>
      <c r="I385" s="3">
        <v>799</v>
      </c>
      <c r="J385" s="3" t="s">
        <v>11</v>
      </c>
      <c r="K385">
        <f>MATCH(A385,Database!$A$2:$A$948,0)</f>
        <v>572</v>
      </c>
      <c r="L385">
        <f>VLOOKUP(A385,Database!$A$2:$I$948,4,0)</f>
        <v>799</v>
      </c>
      <c r="M385" t="b">
        <f t="shared" si="12"/>
        <v>1</v>
      </c>
      <c r="N385">
        <f>VLOOKUP(A385,Database!$A$2:$I$948,5,0)</f>
        <v>1</v>
      </c>
    </row>
    <row r="386" spans="1:14" hidden="1" x14ac:dyDescent="0.35">
      <c r="A386" s="3">
        <v>103409449</v>
      </c>
      <c r="B386" s="3" t="s">
        <v>444</v>
      </c>
      <c r="C386" s="3" t="str">
        <f t="shared" si="11"/>
        <v>2022-07-06</v>
      </c>
      <c r="D386" s="3" t="s">
        <v>9</v>
      </c>
      <c r="E386" s="3" t="s">
        <v>5</v>
      </c>
      <c r="F386" s="3" t="s">
        <v>10</v>
      </c>
      <c r="G386" s="3" t="s">
        <v>445</v>
      </c>
      <c r="H386" s="3" t="s">
        <v>446</v>
      </c>
      <c r="I386" s="4">
        <v>3656.55</v>
      </c>
      <c r="J386" s="3" t="s">
        <v>11</v>
      </c>
      <c r="K386">
        <f>MATCH(A386,Database!$A$2:$A$948,0)</f>
        <v>567</v>
      </c>
      <c r="L386">
        <f>VLOOKUP(A386,Database!$A$2:$I$948,4,0)</f>
        <v>3656.55</v>
      </c>
      <c r="M386" t="b">
        <f t="shared" si="12"/>
        <v>1</v>
      </c>
      <c r="N386">
        <f>VLOOKUP(A386,Database!$A$2:$I$948,5,0)</f>
        <v>1</v>
      </c>
    </row>
    <row r="387" spans="1:14" hidden="1" x14ac:dyDescent="0.35">
      <c r="A387" s="3">
        <v>103409443</v>
      </c>
      <c r="B387" s="3" t="s">
        <v>447</v>
      </c>
      <c r="C387" s="3" t="str">
        <f t="shared" ref="C387:C450" si="13">LEFT(B387,FIND("T",B387)-1)</f>
        <v>2022-07-06</v>
      </c>
      <c r="D387" s="3" t="s">
        <v>9</v>
      </c>
      <c r="E387" s="3" t="s">
        <v>5</v>
      </c>
      <c r="F387" s="3" t="s">
        <v>10</v>
      </c>
      <c r="G387" s="3" t="s">
        <v>448</v>
      </c>
      <c r="H387" s="3" t="s">
        <v>449</v>
      </c>
      <c r="I387" s="4">
        <v>2339.1</v>
      </c>
      <c r="J387" s="3" t="s">
        <v>11</v>
      </c>
      <c r="K387">
        <f>MATCH(A387,Database!$A$2:$A$948,0)</f>
        <v>566</v>
      </c>
      <c r="L387">
        <f>VLOOKUP(A387,Database!$A$2:$I$948,4,0)</f>
        <v>2339.1</v>
      </c>
      <c r="M387" t="b">
        <f t="shared" si="12"/>
        <v>1</v>
      </c>
      <c r="N387">
        <f>VLOOKUP(A387,Database!$A$2:$I$948,5,0)</f>
        <v>1</v>
      </c>
    </row>
    <row r="388" spans="1:14" hidden="1" x14ac:dyDescent="0.35">
      <c r="A388" s="3">
        <v>103409442</v>
      </c>
      <c r="B388" s="3" t="s">
        <v>450</v>
      </c>
      <c r="C388" s="3" t="str">
        <f t="shared" si="13"/>
        <v>2022-07-06</v>
      </c>
      <c r="D388" s="3" t="s">
        <v>9</v>
      </c>
      <c r="E388" s="3" t="s">
        <v>5</v>
      </c>
      <c r="F388" s="3" t="s">
        <v>10</v>
      </c>
      <c r="G388" s="3" t="s">
        <v>451</v>
      </c>
      <c r="H388" s="3" t="s">
        <v>452</v>
      </c>
      <c r="I388" s="4">
        <v>1517.15</v>
      </c>
      <c r="J388" s="3" t="s">
        <v>11</v>
      </c>
      <c r="K388">
        <f>MATCH(A388,Database!$A$2:$A$948,0)</f>
        <v>565</v>
      </c>
      <c r="L388">
        <f>VLOOKUP(A388,Database!$A$2:$I$948,4,0)</f>
        <v>1517.1499999999901</v>
      </c>
      <c r="M388" t="b">
        <f t="shared" si="12"/>
        <v>0</v>
      </c>
      <c r="N388">
        <f>VLOOKUP(A388,Database!$A$2:$I$948,5,0)</f>
        <v>3</v>
      </c>
    </row>
    <row r="389" spans="1:14" hidden="1" x14ac:dyDescent="0.35">
      <c r="A389" s="3">
        <v>103409439</v>
      </c>
      <c r="B389" s="3" t="s">
        <v>453</v>
      </c>
      <c r="C389" s="3" t="str">
        <f t="shared" si="13"/>
        <v>2022-07-06</v>
      </c>
      <c r="D389" s="3" t="s">
        <v>9</v>
      </c>
      <c r="E389" s="3" t="s">
        <v>5</v>
      </c>
      <c r="F389" s="3" t="s">
        <v>10</v>
      </c>
      <c r="G389" s="3" t="s">
        <v>454</v>
      </c>
      <c r="H389" s="3" t="s">
        <v>455</v>
      </c>
      <c r="I389" s="4">
        <v>2773.05</v>
      </c>
      <c r="J389" s="3" t="s">
        <v>11</v>
      </c>
      <c r="K389">
        <f>MATCH(A389,Database!$A$2:$A$948,0)</f>
        <v>564</v>
      </c>
      <c r="L389">
        <f>VLOOKUP(A389,Database!$A$2:$I$948,4,0)</f>
        <v>2773.05</v>
      </c>
      <c r="M389" t="b">
        <f t="shared" si="12"/>
        <v>1</v>
      </c>
      <c r="N389">
        <f>VLOOKUP(A389,Database!$A$2:$I$948,5,0)</f>
        <v>1</v>
      </c>
    </row>
    <row r="390" spans="1:14" hidden="1" x14ac:dyDescent="0.35">
      <c r="A390" s="3">
        <v>103409359</v>
      </c>
      <c r="B390" s="3" t="s">
        <v>456</v>
      </c>
      <c r="C390" s="3" t="str">
        <f t="shared" si="13"/>
        <v>2022-07-06</v>
      </c>
      <c r="D390" s="3" t="s">
        <v>9</v>
      </c>
      <c r="E390" s="3" t="s">
        <v>5</v>
      </c>
      <c r="F390" s="3" t="s">
        <v>10</v>
      </c>
      <c r="G390" s="3" t="s">
        <v>457</v>
      </c>
      <c r="H390" s="3" t="s">
        <v>458</v>
      </c>
      <c r="I390" s="4">
        <v>6839.05</v>
      </c>
      <c r="J390" s="3" t="s">
        <v>11</v>
      </c>
      <c r="K390">
        <f>MATCH(A390,Database!$A$2:$A$948,0)</f>
        <v>547</v>
      </c>
      <c r="L390">
        <f>VLOOKUP(A390,Database!$A$2:$I$948,4,0)</f>
        <v>6839.05</v>
      </c>
      <c r="M390" t="b">
        <f t="shared" si="12"/>
        <v>1</v>
      </c>
      <c r="N390">
        <f>VLOOKUP(A390,Database!$A$2:$I$948,5,0)</f>
        <v>1</v>
      </c>
    </row>
    <row r="391" spans="1:14" hidden="1" x14ac:dyDescent="0.35">
      <c r="A391" s="3">
        <v>103409358</v>
      </c>
      <c r="B391" s="3" t="s">
        <v>459</v>
      </c>
      <c r="C391" s="3" t="str">
        <f t="shared" si="13"/>
        <v>2022-07-06</v>
      </c>
      <c r="D391" s="3" t="s">
        <v>9</v>
      </c>
      <c r="E391" s="3" t="s">
        <v>5</v>
      </c>
      <c r="F391" s="3" t="s">
        <v>10</v>
      </c>
      <c r="G391" s="3" t="s">
        <v>460</v>
      </c>
      <c r="H391" s="3" t="s">
        <v>461</v>
      </c>
      <c r="I391" s="5">
        <v>1269</v>
      </c>
      <c r="J391" s="3" t="s">
        <v>11</v>
      </c>
      <c r="K391">
        <f>MATCH(A391,Database!$A$2:$A$948,0)</f>
        <v>546</v>
      </c>
      <c r="L391">
        <f>VLOOKUP(A391,Database!$A$2:$I$948,4,0)</f>
        <v>1269</v>
      </c>
      <c r="M391" t="b">
        <f t="shared" si="12"/>
        <v>1</v>
      </c>
      <c r="N391">
        <f>VLOOKUP(A391,Database!$A$2:$I$948,5,0)</f>
        <v>1</v>
      </c>
    </row>
    <row r="392" spans="1:14" hidden="1" x14ac:dyDescent="0.35">
      <c r="A392" s="3">
        <v>103409437</v>
      </c>
      <c r="B392" s="3" t="s">
        <v>462</v>
      </c>
      <c r="C392" s="3" t="str">
        <f t="shared" si="13"/>
        <v>2022-07-06</v>
      </c>
      <c r="D392" s="3" t="s">
        <v>9</v>
      </c>
      <c r="E392" s="3" t="s">
        <v>5</v>
      </c>
      <c r="F392" s="3" t="s">
        <v>10</v>
      </c>
      <c r="G392" s="3" t="s">
        <v>463</v>
      </c>
      <c r="H392" s="3" t="s">
        <v>464</v>
      </c>
      <c r="I392" s="4">
        <v>2773.05</v>
      </c>
      <c r="J392" s="3" t="s">
        <v>11</v>
      </c>
      <c r="K392">
        <f>MATCH(A392,Database!$A$2:$A$948,0)</f>
        <v>563</v>
      </c>
      <c r="L392">
        <f>VLOOKUP(A392,Database!$A$2:$I$948,4,0)</f>
        <v>2773.05</v>
      </c>
      <c r="M392" t="b">
        <f t="shared" si="12"/>
        <v>1</v>
      </c>
      <c r="N392">
        <f>VLOOKUP(A392,Database!$A$2:$I$948,5,0)</f>
        <v>1</v>
      </c>
    </row>
    <row r="393" spans="1:14" hidden="1" x14ac:dyDescent="0.35">
      <c r="A393" s="3">
        <v>103409354</v>
      </c>
      <c r="B393" s="3" t="s">
        <v>465</v>
      </c>
      <c r="C393" s="3" t="str">
        <f t="shared" si="13"/>
        <v>2022-07-06</v>
      </c>
      <c r="D393" s="3" t="s">
        <v>9</v>
      </c>
      <c r="E393" s="3" t="s">
        <v>5</v>
      </c>
      <c r="F393" s="3" t="s">
        <v>10</v>
      </c>
      <c r="G393" s="3" t="s">
        <v>466</v>
      </c>
      <c r="H393" s="3" t="s">
        <v>467</v>
      </c>
      <c r="I393" s="4">
        <v>1649.29</v>
      </c>
      <c r="J393" s="3" t="s">
        <v>11</v>
      </c>
      <c r="K393">
        <f>MATCH(A393,Database!$A$2:$A$948,0)</f>
        <v>545</v>
      </c>
      <c r="L393">
        <f>VLOOKUP(A393,Database!$A$2:$I$948,4,0)</f>
        <v>1649.29</v>
      </c>
      <c r="M393" t="b">
        <f t="shared" ref="M393:M395" si="14">I393=L393</f>
        <v>1</v>
      </c>
      <c r="N393">
        <f>VLOOKUP(A393,Database!$A$2:$I$948,5,0)</f>
        <v>1</v>
      </c>
    </row>
    <row r="394" spans="1:14" hidden="1" x14ac:dyDescent="0.35">
      <c r="A394" s="3">
        <v>103409353</v>
      </c>
      <c r="B394" s="3" t="s">
        <v>468</v>
      </c>
      <c r="C394" s="3" t="str">
        <f t="shared" si="13"/>
        <v>2022-07-06</v>
      </c>
      <c r="D394" s="3" t="s">
        <v>9</v>
      </c>
      <c r="E394" s="3" t="s">
        <v>5</v>
      </c>
      <c r="F394" s="3" t="s">
        <v>10</v>
      </c>
      <c r="G394" s="3" t="s">
        <v>460</v>
      </c>
      <c r="H394" s="3" t="s">
        <v>461</v>
      </c>
      <c r="I394" s="5">
        <v>1169</v>
      </c>
      <c r="J394" s="3" t="s">
        <v>11</v>
      </c>
      <c r="K394">
        <f>MATCH(A394,Database!$A$2:$A$948,0)</f>
        <v>544</v>
      </c>
      <c r="L394">
        <f>VLOOKUP(A394,Database!$A$2:$I$948,4,0)</f>
        <v>1169</v>
      </c>
      <c r="M394" t="b">
        <f t="shared" si="14"/>
        <v>1</v>
      </c>
      <c r="N394">
        <f>VLOOKUP(A394,Database!$A$2:$I$948,5,0)</f>
        <v>1</v>
      </c>
    </row>
    <row r="395" spans="1:14" hidden="1" x14ac:dyDescent="0.35">
      <c r="A395" s="3">
        <v>103409432</v>
      </c>
      <c r="B395" s="3" t="s">
        <v>469</v>
      </c>
      <c r="C395" s="3" t="str">
        <f t="shared" si="13"/>
        <v>2022-07-06</v>
      </c>
      <c r="D395" s="3" t="s">
        <v>9</v>
      </c>
      <c r="E395" s="3" t="s">
        <v>5</v>
      </c>
      <c r="F395" s="3" t="s">
        <v>10</v>
      </c>
      <c r="G395" s="3" t="s">
        <v>470</v>
      </c>
      <c r="H395" s="3" t="s">
        <v>471</v>
      </c>
      <c r="I395" s="4">
        <v>1025.1400000000001</v>
      </c>
      <c r="J395" s="3" t="s">
        <v>11</v>
      </c>
      <c r="K395">
        <f>MATCH(A395,Database!$A$2:$A$948,0)</f>
        <v>562</v>
      </c>
      <c r="L395">
        <f>VLOOKUP(A395,Database!$A$2:$I$948,4,0)</f>
        <v>1025.1400000000001</v>
      </c>
      <c r="M395" t="b">
        <f t="shared" si="14"/>
        <v>1</v>
      </c>
      <c r="N395">
        <f>VLOOKUP(A395,Database!$A$2:$I$948,5,0)</f>
        <v>1</v>
      </c>
    </row>
    <row r="396" spans="1:14" hidden="1" x14ac:dyDescent="0.35">
      <c r="A396" s="3">
        <v>103409341</v>
      </c>
      <c r="B396" s="3" t="s">
        <v>472</v>
      </c>
      <c r="C396" s="3" t="str">
        <f t="shared" si="13"/>
        <v>2022-07-06</v>
      </c>
      <c r="D396" s="3" t="s">
        <v>9</v>
      </c>
      <c r="E396" s="3" t="s">
        <v>5</v>
      </c>
      <c r="F396" s="3" t="s">
        <v>10</v>
      </c>
      <c r="G396" s="3" t="s">
        <v>473</v>
      </c>
      <c r="H396" s="3" t="s">
        <v>474</v>
      </c>
      <c r="I396" s="4">
        <v>3656.55</v>
      </c>
      <c r="J396" s="3" t="s">
        <v>11</v>
      </c>
      <c r="K396" t="e">
        <f>MATCH(A396,Database!$A$2:$A$948,0)</f>
        <v>#N/A</v>
      </c>
      <c r="L396" t="e">
        <f>VLOOKUP(A396,Database!$A$2:$I$948,4,0)</f>
        <v>#N/A</v>
      </c>
      <c r="M396" t="e">
        <f t="shared" ref="M396:M459" si="15">I396=L396</f>
        <v>#N/A</v>
      </c>
      <c r="N396" t="e">
        <f>VLOOKUP(A396,Database!$A$2:$I$948,5,0)</f>
        <v>#N/A</v>
      </c>
    </row>
    <row r="397" spans="1:14" hidden="1" x14ac:dyDescent="0.35">
      <c r="A397" s="3">
        <v>103409339</v>
      </c>
      <c r="B397" s="3" t="s">
        <v>475</v>
      </c>
      <c r="C397" s="3" t="str">
        <f t="shared" si="13"/>
        <v>2022-07-06</v>
      </c>
      <c r="D397" s="3" t="s">
        <v>9</v>
      </c>
      <c r="E397" s="3" t="s">
        <v>5</v>
      </c>
      <c r="F397" s="3" t="s">
        <v>10</v>
      </c>
      <c r="G397" s="3" t="s">
        <v>476</v>
      </c>
      <c r="H397" s="3" t="s">
        <v>477</v>
      </c>
      <c r="I397" s="5">
        <v>2799</v>
      </c>
      <c r="J397" s="3" t="s">
        <v>11</v>
      </c>
      <c r="K397">
        <f>MATCH(A397,Database!$A$2:$A$948,0)</f>
        <v>543</v>
      </c>
      <c r="L397">
        <f>VLOOKUP(A397,Database!$A$2:$I$948,4,0)</f>
        <v>2799</v>
      </c>
      <c r="M397" t="b">
        <f t="shared" si="15"/>
        <v>1</v>
      </c>
      <c r="N397">
        <f>VLOOKUP(A397,Database!$A$2:$I$948,5,0)</f>
        <v>1</v>
      </c>
    </row>
    <row r="398" spans="1:14" hidden="1" x14ac:dyDescent="0.35">
      <c r="A398" s="3">
        <v>103409337</v>
      </c>
      <c r="B398" s="3" t="s">
        <v>478</v>
      </c>
      <c r="C398" s="3" t="str">
        <f t="shared" si="13"/>
        <v>2022-07-06</v>
      </c>
      <c r="D398" s="3" t="s">
        <v>9</v>
      </c>
      <c r="E398" s="3" t="s">
        <v>5</v>
      </c>
      <c r="F398" s="3" t="s">
        <v>10</v>
      </c>
      <c r="G398" s="3" t="s">
        <v>479</v>
      </c>
      <c r="H398" s="3" t="s">
        <v>480</v>
      </c>
      <c r="I398" s="4">
        <v>3419.14</v>
      </c>
      <c r="J398" s="3" t="s">
        <v>11</v>
      </c>
      <c r="K398">
        <f>MATCH(A398,Database!$A$2:$A$948,0)</f>
        <v>542</v>
      </c>
      <c r="L398">
        <f>VLOOKUP(A398,Database!$A$2:$I$948,4,0)</f>
        <v>3419.14</v>
      </c>
      <c r="M398" t="b">
        <f t="shared" si="15"/>
        <v>1</v>
      </c>
      <c r="N398">
        <f>VLOOKUP(A398,Database!$A$2:$I$948,5,0)</f>
        <v>1</v>
      </c>
    </row>
    <row r="399" spans="1:14" hidden="1" x14ac:dyDescent="0.35">
      <c r="A399" s="3">
        <v>103409334</v>
      </c>
      <c r="B399" s="3" t="s">
        <v>481</v>
      </c>
      <c r="C399" s="3" t="str">
        <f t="shared" si="13"/>
        <v>2022-07-06</v>
      </c>
      <c r="D399" s="3" t="s">
        <v>9</v>
      </c>
      <c r="E399" s="3" t="s">
        <v>5</v>
      </c>
      <c r="F399" s="3" t="s">
        <v>12</v>
      </c>
      <c r="G399" s="3" t="s">
        <v>482</v>
      </c>
      <c r="H399" s="3" t="s">
        <v>483</v>
      </c>
      <c r="I399" s="5">
        <v>4474</v>
      </c>
      <c r="J399" s="3" t="s">
        <v>11</v>
      </c>
      <c r="K399">
        <f>MATCH(A399,Database!$A$2:$A$948,0)</f>
        <v>541</v>
      </c>
      <c r="L399">
        <f>VLOOKUP(A399,Database!$A$2:$I$948,4,0)</f>
        <v>4474</v>
      </c>
      <c r="M399" t="b">
        <f t="shared" si="15"/>
        <v>1</v>
      </c>
      <c r="N399">
        <f>VLOOKUP(A399,Database!$A$2:$I$948,5,0)</f>
        <v>6</v>
      </c>
    </row>
    <row r="400" spans="1:14" hidden="1" x14ac:dyDescent="0.35">
      <c r="A400" s="3">
        <v>103409422</v>
      </c>
      <c r="B400" s="3" t="s">
        <v>484</v>
      </c>
      <c r="C400" s="3" t="str">
        <f t="shared" si="13"/>
        <v>2022-07-06</v>
      </c>
      <c r="D400" s="3" t="s">
        <v>9</v>
      </c>
      <c r="E400" s="3" t="s">
        <v>5</v>
      </c>
      <c r="F400" s="3" t="s">
        <v>10</v>
      </c>
      <c r="G400" s="3" t="s">
        <v>485</v>
      </c>
      <c r="H400" s="3" t="s">
        <v>486</v>
      </c>
      <c r="I400" s="5">
        <v>6353</v>
      </c>
      <c r="J400" s="3" t="s">
        <v>11</v>
      </c>
      <c r="K400">
        <f>MATCH(A400,Database!$A$2:$A$948,0)</f>
        <v>561</v>
      </c>
      <c r="L400">
        <f>VLOOKUP(A400,Database!$A$2:$I$948,4,0)</f>
        <v>6353</v>
      </c>
      <c r="M400" t="b">
        <f t="shared" si="15"/>
        <v>1</v>
      </c>
      <c r="N400">
        <f>VLOOKUP(A400,Database!$A$2:$I$948,5,0)</f>
        <v>7</v>
      </c>
    </row>
    <row r="401" spans="1:14" hidden="1" x14ac:dyDescent="0.35">
      <c r="A401" s="3">
        <v>103409421</v>
      </c>
      <c r="B401" s="3" t="s">
        <v>487</v>
      </c>
      <c r="C401" s="3" t="str">
        <f t="shared" si="13"/>
        <v>2022-07-06</v>
      </c>
      <c r="D401" s="3" t="s">
        <v>9</v>
      </c>
      <c r="E401" s="3" t="s">
        <v>5</v>
      </c>
      <c r="F401" s="3" t="s">
        <v>10</v>
      </c>
      <c r="G401" s="3" t="s">
        <v>488</v>
      </c>
      <c r="H401" s="3" t="s">
        <v>489</v>
      </c>
      <c r="I401" s="4">
        <v>2977.35</v>
      </c>
      <c r="J401" s="3" t="s">
        <v>11</v>
      </c>
      <c r="K401">
        <f>MATCH(A401,Database!$A$2:$A$948,0)</f>
        <v>560</v>
      </c>
      <c r="L401">
        <f>VLOOKUP(A401,Database!$A$2:$I$948,4,0)</f>
        <v>2977.35</v>
      </c>
      <c r="M401" t="b">
        <f t="shared" si="15"/>
        <v>1</v>
      </c>
      <c r="N401">
        <f>VLOOKUP(A401,Database!$A$2:$I$948,5,0)</f>
        <v>1</v>
      </c>
    </row>
    <row r="402" spans="1:14" hidden="1" x14ac:dyDescent="0.35">
      <c r="A402" s="3">
        <v>103409331</v>
      </c>
      <c r="B402" s="3" t="s">
        <v>490</v>
      </c>
      <c r="C402" s="3" t="str">
        <f t="shared" si="13"/>
        <v>2022-07-06</v>
      </c>
      <c r="D402" s="3" t="s">
        <v>9</v>
      </c>
      <c r="E402" s="3" t="s">
        <v>5</v>
      </c>
      <c r="F402" s="3" t="s">
        <v>10</v>
      </c>
      <c r="G402" s="3" t="s">
        <v>479</v>
      </c>
      <c r="H402" s="3" t="s">
        <v>480</v>
      </c>
      <c r="I402" s="4">
        <v>4274.1400000000003</v>
      </c>
      <c r="J402" s="3" t="s">
        <v>11</v>
      </c>
      <c r="K402">
        <f>MATCH(A402,Database!$A$2:$A$948,0)</f>
        <v>540</v>
      </c>
      <c r="L402">
        <f>VLOOKUP(A402,Database!$A$2:$I$948,4,0)</f>
        <v>4274.1400000000003</v>
      </c>
      <c r="M402" t="b">
        <f t="shared" si="15"/>
        <v>1</v>
      </c>
      <c r="N402">
        <f>VLOOKUP(A402,Database!$A$2:$I$948,5,0)</f>
        <v>1</v>
      </c>
    </row>
    <row r="403" spans="1:14" hidden="1" x14ac:dyDescent="0.35">
      <c r="A403" s="3">
        <v>103409418</v>
      </c>
      <c r="B403" s="3" t="s">
        <v>491</v>
      </c>
      <c r="C403" s="3" t="str">
        <f t="shared" si="13"/>
        <v>2022-07-06</v>
      </c>
      <c r="D403" s="3" t="s">
        <v>9</v>
      </c>
      <c r="E403" s="3" t="s">
        <v>5</v>
      </c>
      <c r="F403" s="3" t="s">
        <v>10</v>
      </c>
      <c r="G403" s="3" t="s">
        <v>492</v>
      </c>
      <c r="H403" s="3" t="s">
        <v>493</v>
      </c>
      <c r="I403" s="5">
        <v>1169</v>
      </c>
      <c r="J403" s="3" t="s">
        <v>11</v>
      </c>
      <c r="K403">
        <f>MATCH(A403,Database!$A$2:$A$948,0)</f>
        <v>559</v>
      </c>
      <c r="L403">
        <f>VLOOKUP(A403,Database!$A$2:$I$948,4,0)</f>
        <v>1169</v>
      </c>
      <c r="M403" t="b">
        <f t="shared" si="15"/>
        <v>1</v>
      </c>
      <c r="N403">
        <f>VLOOKUP(A403,Database!$A$2:$I$948,5,0)</f>
        <v>1</v>
      </c>
    </row>
    <row r="404" spans="1:14" hidden="1" x14ac:dyDescent="0.35">
      <c r="A404" s="3">
        <v>103409416</v>
      </c>
      <c r="B404" s="3" t="s">
        <v>494</v>
      </c>
      <c r="C404" s="3" t="str">
        <f t="shared" si="13"/>
        <v>2022-07-06</v>
      </c>
      <c r="D404" s="3" t="s">
        <v>9</v>
      </c>
      <c r="E404" s="3" t="s">
        <v>5</v>
      </c>
      <c r="F404" s="3" t="s">
        <v>10</v>
      </c>
      <c r="G404" s="3" t="s">
        <v>495</v>
      </c>
      <c r="H404" s="3" t="s">
        <v>496</v>
      </c>
      <c r="I404" s="4">
        <v>3988.1</v>
      </c>
      <c r="J404" s="3" t="s">
        <v>11</v>
      </c>
      <c r="K404">
        <f>MATCH(A404,Database!$A$2:$A$948,0)</f>
        <v>558</v>
      </c>
      <c r="L404">
        <f>VLOOKUP(A404,Database!$A$2:$I$948,4,0)</f>
        <v>3988.1</v>
      </c>
      <c r="M404" t="b">
        <f t="shared" si="15"/>
        <v>1</v>
      </c>
      <c r="N404">
        <f>VLOOKUP(A404,Database!$A$2:$I$948,5,0)</f>
        <v>2</v>
      </c>
    </row>
    <row r="405" spans="1:14" hidden="1" x14ac:dyDescent="0.35">
      <c r="A405" s="3">
        <v>103409407</v>
      </c>
      <c r="B405" s="3" t="s">
        <v>497</v>
      </c>
      <c r="C405" s="3" t="str">
        <f t="shared" si="13"/>
        <v>2022-07-06</v>
      </c>
      <c r="D405" s="3" t="s">
        <v>9</v>
      </c>
      <c r="E405" s="3" t="s">
        <v>5</v>
      </c>
      <c r="F405" s="3" t="s">
        <v>10</v>
      </c>
      <c r="G405" s="3" t="s">
        <v>498</v>
      </c>
      <c r="H405" s="3" t="s">
        <v>499</v>
      </c>
      <c r="I405" s="3">
        <v>426.55</v>
      </c>
      <c r="J405" s="3" t="s">
        <v>11</v>
      </c>
      <c r="K405">
        <f>MATCH(A405,Database!$A$2:$A$948,0)</f>
        <v>557</v>
      </c>
      <c r="L405">
        <f>VLOOKUP(A405,Database!$A$2:$I$948,4,0)</f>
        <v>426.55</v>
      </c>
      <c r="M405" t="b">
        <f t="shared" si="15"/>
        <v>1</v>
      </c>
      <c r="N405">
        <f>VLOOKUP(A405,Database!$A$2:$I$948,5,0)</f>
        <v>1</v>
      </c>
    </row>
    <row r="406" spans="1:14" hidden="1" x14ac:dyDescent="0.35">
      <c r="A406" s="3">
        <v>103409325</v>
      </c>
      <c r="B406" s="3" t="s">
        <v>500</v>
      </c>
      <c r="C406" s="3" t="str">
        <f t="shared" si="13"/>
        <v>2022-07-06</v>
      </c>
      <c r="D406" s="3" t="s">
        <v>9</v>
      </c>
      <c r="E406" s="3" t="s">
        <v>5</v>
      </c>
      <c r="F406" s="3" t="s">
        <v>12</v>
      </c>
      <c r="G406" s="3" t="s">
        <v>501</v>
      </c>
      <c r="H406" s="3" t="s">
        <v>502</v>
      </c>
      <c r="I406" s="3">
        <v>819</v>
      </c>
      <c r="J406" s="3" t="s">
        <v>11</v>
      </c>
      <c r="K406">
        <f>MATCH(A406,Database!$A$2:$A$948,0)</f>
        <v>539</v>
      </c>
      <c r="L406">
        <f>VLOOKUP(A406,Database!$A$2:$I$948,4,0)</f>
        <v>819</v>
      </c>
      <c r="M406" t="b">
        <f t="shared" si="15"/>
        <v>1</v>
      </c>
      <c r="N406">
        <f>VLOOKUP(A406,Database!$A$2:$I$948,5,0)</f>
        <v>1</v>
      </c>
    </row>
    <row r="407" spans="1:14" hidden="1" x14ac:dyDescent="0.35">
      <c r="A407" s="3">
        <v>103409324</v>
      </c>
      <c r="B407" s="3" t="s">
        <v>503</v>
      </c>
      <c r="C407" s="3" t="str">
        <f t="shared" si="13"/>
        <v>2022-07-06</v>
      </c>
      <c r="D407" s="3" t="s">
        <v>9</v>
      </c>
      <c r="E407" s="3" t="s">
        <v>5</v>
      </c>
      <c r="F407" s="3" t="s">
        <v>10</v>
      </c>
      <c r="G407" s="3" t="s">
        <v>504</v>
      </c>
      <c r="H407" s="3" t="s">
        <v>505</v>
      </c>
      <c r="I407" s="4">
        <v>4048.5</v>
      </c>
      <c r="J407" s="3" t="s">
        <v>11</v>
      </c>
      <c r="K407">
        <f>MATCH(A407,Database!$A$2:$A$948,0)</f>
        <v>538</v>
      </c>
      <c r="L407">
        <f>VLOOKUP(A407,Database!$A$2:$I$948,4,0)</f>
        <v>4048.5</v>
      </c>
      <c r="M407" t="b">
        <f t="shared" si="15"/>
        <v>1</v>
      </c>
      <c r="N407">
        <f>VLOOKUP(A407,Database!$A$2:$I$948,5,0)</f>
        <v>2</v>
      </c>
    </row>
    <row r="408" spans="1:14" hidden="1" x14ac:dyDescent="0.35">
      <c r="A408" s="3">
        <v>103409403</v>
      </c>
      <c r="B408" s="3" t="s">
        <v>506</v>
      </c>
      <c r="C408" s="3" t="str">
        <f t="shared" si="13"/>
        <v>2022-07-06</v>
      </c>
      <c r="D408" s="3" t="s">
        <v>9</v>
      </c>
      <c r="E408" s="3" t="s">
        <v>5</v>
      </c>
      <c r="F408" s="3" t="s">
        <v>10</v>
      </c>
      <c r="G408" s="3" t="s">
        <v>507</v>
      </c>
      <c r="H408" s="3" t="s">
        <v>508</v>
      </c>
      <c r="I408" s="4">
        <v>3761.14</v>
      </c>
      <c r="J408" s="3" t="s">
        <v>11</v>
      </c>
      <c r="K408">
        <f>MATCH(A408,Database!$A$2:$A$948,0)</f>
        <v>556</v>
      </c>
      <c r="L408">
        <f>VLOOKUP(A408,Database!$A$2:$I$948,4,0)</f>
        <v>3761.14</v>
      </c>
      <c r="M408" t="b">
        <f t="shared" si="15"/>
        <v>1</v>
      </c>
      <c r="N408">
        <f>VLOOKUP(A408,Database!$A$2:$I$948,5,0)</f>
        <v>1</v>
      </c>
    </row>
    <row r="409" spans="1:14" hidden="1" x14ac:dyDescent="0.35">
      <c r="A409" s="3">
        <v>103409321</v>
      </c>
      <c r="B409" s="3" t="s">
        <v>509</v>
      </c>
      <c r="C409" s="3" t="str">
        <f t="shared" si="13"/>
        <v>2022-07-06</v>
      </c>
      <c r="D409" s="3" t="s">
        <v>9</v>
      </c>
      <c r="E409" s="3" t="s">
        <v>5</v>
      </c>
      <c r="F409" s="3" t="s">
        <v>10</v>
      </c>
      <c r="G409" s="3" t="s">
        <v>510</v>
      </c>
      <c r="H409" s="3" t="s">
        <v>511</v>
      </c>
      <c r="I409" s="5">
        <v>8808</v>
      </c>
      <c r="J409" s="3" t="s">
        <v>11</v>
      </c>
      <c r="K409">
        <f>MATCH(A409,Database!$A$2:$A$948,0)</f>
        <v>537</v>
      </c>
      <c r="L409">
        <f>VLOOKUP(A409,Database!$A$2:$I$948,4,0)</f>
        <v>8808</v>
      </c>
      <c r="M409" t="b">
        <f t="shared" si="15"/>
        <v>1</v>
      </c>
      <c r="N409">
        <f>VLOOKUP(A409,Database!$A$2:$I$948,5,0)</f>
        <v>2</v>
      </c>
    </row>
    <row r="410" spans="1:14" hidden="1" x14ac:dyDescent="0.35">
      <c r="A410" s="3">
        <v>103409320</v>
      </c>
      <c r="B410" s="3" t="s">
        <v>512</v>
      </c>
      <c r="C410" s="3" t="str">
        <f t="shared" si="13"/>
        <v>2022-07-06</v>
      </c>
      <c r="D410" s="3" t="s">
        <v>9</v>
      </c>
      <c r="E410" s="3" t="s">
        <v>5</v>
      </c>
      <c r="F410" s="3" t="s">
        <v>10</v>
      </c>
      <c r="G410" s="3" t="s">
        <v>513</v>
      </c>
      <c r="H410" s="3" t="s">
        <v>514</v>
      </c>
      <c r="I410" s="4">
        <v>3039.05</v>
      </c>
      <c r="J410" s="3" t="s">
        <v>11</v>
      </c>
      <c r="K410">
        <f>MATCH(A410,Database!$A$2:$A$948,0)</f>
        <v>536</v>
      </c>
      <c r="L410">
        <f>VLOOKUP(A410,Database!$A$2:$I$948,4,0)</f>
        <v>3039.05</v>
      </c>
      <c r="M410" t="b">
        <f t="shared" si="15"/>
        <v>1</v>
      </c>
      <c r="N410">
        <f>VLOOKUP(A410,Database!$A$2:$I$948,5,0)</f>
        <v>1</v>
      </c>
    </row>
    <row r="411" spans="1:14" hidden="1" x14ac:dyDescent="0.35">
      <c r="A411" s="3">
        <v>103409394</v>
      </c>
      <c r="B411" s="3" t="s">
        <v>515</v>
      </c>
      <c r="C411" s="3" t="str">
        <f t="shared" si="13"/>
        <v>2022-07-06</v>
      </c>
      <c r="D411" s="3" t="s">
        <v>9</v>
      </c>
      <c r="E411" s="3" t="s">
        <v>5</v>
      </c>
      <c r="F411" s="3" t="s">
        <v>12</v>
      </c>
      <c r="G411" s="3" t="s">
        <v>516</v>
      </c>
      <c r="H411" s="3" t="s">
        <v>517</v>
      </c>
      <c r="I411" s="4">
        <v>3324.05</v>
      </c>
      <c r="J411" s="3" t="s">
        <v>11</v>
      </c>
      <c r="K411">
        <f>MATCH(A411,Database!$A$2:$A$948,0)</f>
        <v>555</v>
      </c>
      <c r="L411">
        <f>VLOOKUP(A411,Database!$A$2:$I$948,4,0)</f>
        <v>3324.05</v>
      </c>
      <c r="M411" t="b">
        <f t="shared" si="15"/>
        <v>1</v>
      </c>
      <c r="N411">
        <f>VLOOKUP(A411,Database!$A$2:$I$948,5,0)</f>
        <v>1</v>
      </c>
    </row>
    <row r="412" spans="1:14" hidden="1" x14ac:dyDescent="0.35">
      <c r="A412" s="3">
        <v>103409390</v>
      </c>
      <c r="B412" s="3" t="s">
        <v>518</v>
      </c>
      <c r="C412" s="3" t="str">
        <f t="shared" si="13"/>
        <v>2022-07-06</v>
      </c>
      <c r="D412" s="3" t="s">
        <v>9</v>
      </c>
      <c r="E412" s="3" t="s">
        <v>5</v>
      </c>
      <c r="F412" s="3" t="s">
        <v>10</v>
      </c>
      <c r="G412" s="3" t="s">
        <v>519</v>
      </c>
      <c r="H412" s="3" t="s">
        <v>520</v>
      </c>
      <c r="I412" s="5">
        <v>1199</v>
      </c>
      <c r="J412" s="3" t="s">
        <v>11</v>
      </c>
      <c r="K412">
        <f>MATCH(A412,Database!$A$2:$A$948,0)</f>
        <v>554</v>
      </c>
      <c r="L412">
        <f>VLOOKUP(A412,Database!$A$2:$I$948,4,0)</f>
        <v>1199</v>
      </c>
      <c r="M412" t="b">
        <f t="shared" si="15"/>
        <v>1</v>
      </c>
      <c r="N412">
        <f>VLOOKUP(A412,Database!$A$2:$I$948,5,0)</f>
        <v>1</v>
      </c>
    </row>
    <row r="413" spans="1:14" hidden="1" x14ac:dyDescent="0.35">
      <c r="A413" s="3">
        <v>103409315</v>
      </c>
      <c r="B413" s="3" t="s">
        <v>521</v>
      </c>
      <c r="C413" s="3" t="str">
        <f t="shared" si="13"/>
        <v>2022-07-06</v>
      </c>
      <c r="D413" s="3" t="s">
        <v>9</v>
      </c>
      <c r="E413" s="3" t="s">
        <v>5</v>
      </c>
      <c r="F413" s="3" t="s">
        <v>10</v>
      </c>
      <c r="G413" s="3" t="s">
        <v>522</v>
      </c>
      <c r="H413" s="3" t="s">
        <v>523</v>
      </c>
      <c r="I413" s="5">
        <v>6198</v>
      </c>
      <c r="J413" s="3" t="s">
        <v>11</v>
      </c>
      <c r="K413">
        <f>MATCH(A413,Database!$A$2:$A$948,0)</f>
        <v>535</v>
      </c>
      <c r="L413">
        <f>VLOOKUP(A413,Database!$A$2:$I$948,4,0)</f>
        <v>6198</v>
      </c>
      <c r="M413" t="b">
        <f t="shared" si="15"/>
        <v>1</v>
      </c>
      <c r="N413">
        <f>VLOOKUP(A413,Database!$A$2:$I$948,5,0)</f>
        <v>2</v>
      </c>
    </row>
    <row r="414" spans="1:14" hidden="1" x14ac:dyDescent="0.35">
      <c r="A414" s="3">
        <v>103409387</v>
      </c>
      <c r="B414" s="3" t="s">
        <v>524</v>
      </c>
      <c r="C414" s="3" t="str">
        <f t="shared" si="13"/>
        <v>2022-07-06</v>
      </c>
      <c r="D414" s="3" t="s">
        <v>9</v>
      </c>
      <c r="E414" s="3" t="s">
        <v>5</v>
      </c>
      <c r="F414" s="3" t="s">
        <v>10</v>
      </c>
      <c r="G414" s="3" t="s">
        <v>525</v>
      </c>
      <c r="H414" s="3" t="s">
        <v>526</v>
      </c>
      <c r="I414" s="5">
        <v>4549</v>
      </c>
      <c r="J414" s="3" t="s">
        <v>11</v>
      </c>
      <c r="K414">
        <f>MATCH(A414,Database!$A$2:$A$948,0)</f>
        <v>553</v>
      </c>
      <c r="L414">
        <f>VLOOKUP(A414,Database!$A$2:$I$948,4,0)</f>
        <v>4549</v>
      </c>
      <c r="M414" t="b">
        <f t="shared" si="15"/>
        <v>1</v>
      </c>
      <c r="N414">
        <f>VLOOKUP(A414,Database!$A$2:$I$948,5,0)</f>
        <v>1</v>
      </c>
    </row>
    <row r="415" spans="1:14" hidden="1" x14ac:dyDescent="0.35">
      <c r="A415" s="3">
        <v>103409386</v>
      </c>
      <c r="B415" s="3" t="s">
        <v>527</v>
      </c>
      <c r="C415" s="3" t="str">
        <f t="shared" si="13"/>
        <v>2022-07-06</v>
      </c>
      <c r="D415" s="3" t="s">
        <v>9</v>
      </c>
      <c r="E415" s="3" t="s">
        <v>5</v>
      </c>
      <c r="F415" s="3" t="s">
        <v>10</v>
      </c>
      <c r="G415" s="3" t="s">
        <v>528</v>
      </c>
      <c r="H415" s="3" t="s">
        <v>529</v>
      </c>
      <c r="I415" s="4">
        <v>4504.1400000000003</v>
      </c>
      <c r="J415" s="3" t="s">
        <v>11</v>
      </c>
      <c r="K415">
        <f>MATCH(A415,Database!$A$2:$A$948,0)</f>
        <v>552</v>
      </c>
      <c r="L415">
        <f>VLOOKUP(A415,Database!$A$2:$I$948,4,0)</f>
        <v>4504.1399999999903</v>
      </c>
      <c r="M415" t="b">
        <f t="shared" si="15"/>
        <v>0</v>
      </c>
      <c r="N415">
        <f>VLOOKUP(A415,Database!$A$2:$I$948,5,0)</f>
        <v>2</v>
      </c>
    </row>
    <row r="416" spans="1:14" hidden="1" x14ac:dyDescent="0.35">
      <c r="A416" s="3">
        <v>103409310</v>
      </c>
      <c r="B416" s="3" t="s">
        <v>530</v>
      </c>
      <c r="C416" s="3" t="str">
        <f t="shared" si="13"/>
        <v>2022-07-06</v>
      </c>
      <c r="D416" s="3" t="s">
        <v>9</v>
      </c>
      <c r="E416" s="3" t="s">
        <v>5</v>
      </c>
      <c r="F416" s="3" t="s">
        <v>10</v>
      </c>
      <c r="G416" s="3" t="s">
        <v>531</v>
      </c>
      <c r="H416" s="3" t="s">
        <v>532</v>
      </c>
      <c r="I416" s="4">
        <v>2692.39</v>
      </c>
      <c r="J416" s="3" t="s">
        <v>11</v>
      </c>
      <c r="K416">
        <f>MATCH(A416,Database!$A$2:$A$948,0)</f>
        <v>534</v>
      </c>
      <c r="L416">
        <f>VLOOKUP(A416,Database!$A$2:$I$948,4,0)</f>
        <v>2692.39</v>
      </c>
      <c r="M416" t="b">
        <f t="shared" si="15"/>
        <v>1</v>
      </c>
      <c r="N416">
        <f>VLOOKUP(A416,Database!$A$2:$I$948,5,0)</f>
        <v>1</v>
      </c>
    </row>
    <row r="417" spans="1:14" hidden="1" x14ac:dyDescent="0.35">
      <c r="A417" s="3">
        <v>103409383</v>
      </c>
      <c r="B417" s="3" t="s">
        <v>533</v>
      </c>
      <c r="C417" s="3" t="str">
        <f t="shared" si="13"/>
        <v>2022-07-06</v>
      </c>
      <c r="D417" s="3" t="s">
        <v>9</v>
      </c>
      <c r="E417" s="3" t="s">
        <v>5</v>
      </c>
      <c r="F417" s="3" t="s">
        <v>10</v>
      </c>
      <c r="G417" s="3" t="s">
        <v>534</v>
      </c>
      <c r="H417" s="3" t="s">
        <v>535</v>
      </c>
      <c r="I417" s="5">
        <v>1379</v>
      </c>
      <c r="J417" s="3" t="s">
        <v>11</v>
      </c>
      <c r="K417">
        <f>MATCH(A417,Database!$A$2:$A$948,0)</f>
        <v>551</v>
      </c>
      <c r="L417">
        <f>VLOOKUP(A417,Database!$A$2:$I$948,4,0)</f>
        <v>1379</v>
      </c>
      <c r="M417" t="b">
        <f t="shared" si="15"/>
        <v>1</v>
      </c>
      <c r="N417">
        <f>VLOOKUP(A417,Database!$A$2:$I$948,5,0)</f>
        <v>1</v>
      </c>
    </row>
    <row r="418" spans="1:14" hidden="1" x14ac:dyDescent="0.35">
      <c r="A418" s="3">
        <v>103409307</v>
      </c>
      <c r="B418" s="3" t="s">
        <v>536</v>
      </c>
      <c r="C418" s="3" t="str">
        <f t="shared" si="13"/>
        <v>2022-07-06</v>
      </c>
      <c r="D418" s="3" t="s">
        <v>9</v>
      </c>
      <c r="E418" s="3" t="s">
        <v>5</v>
      </c>
      <c r="F418" s="3" t="s">
        <v>10</v>
      </c>
      <c r="G418" s="3" t="s">
        <v>537</v>
      </c>
      <c r="H418" s="3" t="s">
        <v>538</v>
      </c>
      <c r="I418" s="5">
        <v>1499</v>
      </c>
      <c r="J418" s="3" t="s">
        <v>11</v>
      </c>
      <c r="K418">
        <f>MATCH(A418,Database!$A$2:$A$948,0)</f>
        <v>533</v>
      </c>
      <c r="L418">
        <f>VLOOKUP(A418,Database!$A$2:$I$948,4,0)</f>
        <v>1499</v>
      </c>
      <c r="M418" t="b">
        <f t="shared" si="15"/>
        <v>1</v>
      </c>
      <c r="N418">
        <f>VLOOKUP(A418,Database!$A$2:$I$948,5,0)</f>
        <v>1</v>
      </c>
    </row>
    <row r="419" spans="1:14" hidden="1" x14ac:dyDescent="0.35">
      <c r="A419" s="3">
        <v>103409306</v>
      </c>
      <c r="B419" s="3" t="s">
        <v>539</v>
      </c>
      <c r="C419" s="3" t="str">
        <f t="shared" si="13"/>
        <v>2022-07-06</v>
      </c>
      <c r="D419" s="3" t="s">
        <v>9</v>
      </c>
      <c r="E419" s="3" t="s">
        <v>5</v>
      </c>
      <c r="F419" s="3" t="s">
        <v>12</v>
      </c>
      <c r="G419" s="3" t="s">
        <v>540</v>
      </c>
      <c r="H419" s="3" t="s">
        <v>541</v>
      </c>
      <c r="I419" s="5">
        <v>1498</v>
      </c>
      <c r="J419" s="3" t="s">
        <v>11</v>
      </c>
      <c r="K419">
        <f>MATCH(A419,Database!$A$2:$A$948,0)</f>
        <v>532</v>
      </c>
      <c r="L419">
        <f>VLOOKUP(A419,Database!$A$2:$I$948,4,0)</f>
        <v>1498</v>
      </c>
      <c r="M419" t="b">
        <f t="shared" si="15"/>
        <v>1</v>
      </c>
      <c r="N419">
        <f>VLOOKUP(A419,Database!$A$2:$I$948,5,0)</f>
        <v>2</v>
      </c>
    </row>
    <row r="420" spans="1:14" hidden="1" x14ac:dyDescent="0.35">
      <c r="A420" s="3">
        <v>103409298</v>
      </c>
      <c r="B420" s="3" t="s">
        <v>542</v>
      </c>
      <c r="C420" s="3" t="str">
        <f t="shared" si="13"/>
        <v>2022-07-06</v>
      </c>
      <c r="D420" s="3" t="s">
        <v>9</v>
      </c>
      <c r="E420" s="3" t="s">
        <v>5</v>
      </c>
      <c r="F420" s="3" t="s">
        <v>10</v>
      </c>
      <c r="G420" s="3" t="s">
        <v>543</v>
      </c>
      <c r="H420" s="3" t="s">
        <v>544</v>
      </c>
      <c r="I420" s="4">
        <v>2991.55</v>
      </c>
      <c r="J420" s="3" t="s">
        <v>11</v>
      </c>
      <c r="K420">
        <f>MATCH(A420,Database!$A$2:$A$948,0)</f>
        <v>531</v>
      </c>
      <c r="L420">
        <f>VLOOKUP(A420,Database!$A$2:$I$948,4,0)</f>
        <v>2991.55</v>
      </c>
      <c r="M420" t="b">
        <f t="shared" si="15"/>
        <v>1</v>
      </c>
      <c r="N420">
        <f>VLOOKUP(A420,Database!$A$2:$I$948,5,0)</f>
        <v>1</v>
      </c>
    </row>
    <row r="421" spans="1:14" hidden="1" x14ac:dyDescent="0.35">
      <c r="A421" s="3">
        <v>103409297</v>
      </c>
      <c r="B421" s="3" t="s">
        <v>545</v>
      </c>
      <c r="C421" s="3" t="str">
        <f t="shared" si="13"/>
        <v>2022-07-06</v>
      </c>
      <c r="D421" s="3" t="s">
        <v>9</v>
      </c>
      <c r="E421" s="3" t="s">
        <v>5</v>
      </c>
      <c r="F421" s="3" t="s">
        <v>10</v>
      </c>
      <c r="G421" s="3" t="s">
        <v>546</v>
      </c>
      <c r="H421" s="3" t="s">
        <v>547</v>
      </c>
      <c r="I421" s="4">
        <v>5556.55</v>
      </c>
      <c r="J421" s="3" t="s">
        <v>11</v>
      </c>
      <c r="K421">
        <f>MATCH(A421,Database!$A$2:$A$948,0)</f>
        <v>530</v>
      </c>
      <c r="L421">
        <f>VLOOKUP(A421,Database!$A$2:$I$948,4,0)</f>
        <v>5556.55</v>
      </c>
      <c r="M421" t="b">
        <f t="shared" si="15"/>
        <v>1</v>
      </c>
      <c r="N421">
        <f>VLOOKUP(A421,Database!$A$2:$I$948,5,0)</f>
        <v>1</v>
      </c>
    </row>
    <row r="422" spans="1:14" hidden="1" x14ac:dyDescent="0.35">
      <c r="A422" s="3">
        <v>103409294</v>
      </c>
      <c r="B422" s="3" t="s">
        <v>548</v>
      </c>
      <c r="C422" s="3" t="str">
        <f t="shared" si="13"/>
        <v>2022-07-06</v>
      </c>
      <c r="D422" s="3" t="s">
        <v>9</v>
      </c>
      <c r="E422" s="3" t="s">
        <v>5</v>
      </c>
      <c r="F422" s="3" t="s">
        <v>10</v>
      </c>
      <c r="G422" s="3" t="s">
        <v>549</v>
      </c>
      <c r="H422" s="3" t="s">
        <v>550</v>
      </c>
      <c r="I422" s="4">
        <v>2849.05</v>
      </c>
      <c r="J422" s="3" t="s">
        <v>11</v>
      </c>
      <c r="K422">
        <f>MATCH(A422,Database!$A$2:$A$948,0)</f>
        <v>529</v>
      </c>
      <c r="L422">
        <f>VLOOKUP(A422,Database!$A$2:$I$948,4,0)</f>
        <v>2849.05</v>
      </c>
      <c r="M422" t="b">
        <f t="shared" si="15"/>
        <v>1</v>
      </c>
      <c r="N422">
        <f>VLOOKUP(A422,Database!$A$2:$I$948,5,0)</f>
        <v>1</v>
      </c>
    </row>
    <row r="423" spans="1:14" hidden="1" x14ac:dyDescent="0.35">
      <c r="A423" s="3">
        <v>103409373</v>
      </c>
      <c r="B423" s="3" t="s">
        <v>551</v>
      </c>
      <c r="C423" s="3" t="str">
        <f t="shared" si="13"/>
        <v>2022-07-06</v>
      </c>
      <c r="D423" s="3" t="s">
        <v>9</v>
      </c>
      <c r="E423" s="3" t="s">
        <v>5</v>
      </c>
      <c r="F423" s="3" t="s">
        <v>10</v>
      </c>
      <c r="G423" s="3" t="s">
        <v>331</v>
      </c>
      <c r="H423" s="3" t="s">
        <v>332</v>
      </c>
      <c r="I423" s="5">
        <v>3067</v>
      </c>
      <c r="J423" s="3" t="s">
        <v>11</v>
      </c>
      <c r="K423">
        <f>MATCH(A423,Database!$A$2:$A$948,0)</f>
        <v>550</v>
      </c>
      <c r="L423">
        <f>VLOOKUP(A423,Database!$A$2:$I$948,4,0)</f>
        <v>3067</v>
      </c>
      <c r="M423" t="b">
        <f t="shared" si="15"/>
        <v>1</v>
      </c>
      <c r="N423">
        <f>VLOOKUP(A423,Database!$A$2:$I$948,5,0)</f>
        <v>3</v>
      </c>
    </row>
    <row r="424" spans="1:14" hidden="1" x14ac:dyDescent="0.35">
      <c r="A424" s="3">
        <v>103409291</v>
      </c>
      <c r="B424" s="3" t="s">
        <v>552</v>
      </c>
      <c r="C424" s="3" t="str">
        <f t="shared" si="13"/>
        <v>2022-07-06</v>
      </c>
      <c r="D424" s="3" t="s">
        <v>9</v>
      </c>
      <c r="E424" s="3" t="s">
        <v>5</v>
      </c>
      <c r="F424" s="3" t="s">
        <v>10</v>
      </c>
      <c r="G424" s="3" t="s">
        <v>553</v>
      </c>
      <c r="H424" s="3" t="s">
        <v>554</v>
      </c>
      <c r="I424" s="3">
        <v>464.55</v>
      </c>
      <c r="J424" s="3" t="s">
        <v>11</v>
      </c>
      <c r="K424">
        <f>MATCH(A424,Database!$A$2:$A$948,0)</f>
        <v>528</v>
      </c>
      <c r="L424">
        <f>VLOOKUP(A424,Database!$A$2:$I$948,4,0)</f>
        <v>464.55</v>
      </c>
      <c r="M424" t="b">
        <f t="shared" si="15"/>
        <v>1</v>
      </c>
      <c r="N424">
        <f>VLOOKUP(A424,Database!$A$2:$I$948,5,0)</f>
        <v>1</v>
      </c>
    </row>
    <row r="425" spans="1:14" hidden="1" x14ac:dyDescent="0.35">
      <c r="A425" s="3">
        <v>103409369</v>
      </c>
      <c r="B425" s="3" t="s">
        <v>555</v>
      </c>
      <c r="C425" s="3" t="str">
        <f t="shared" si="13"/>
        <v>2022-07-06</v>
      </c>
      <c r="D425" s="3" t="s">
        <v>9</v>
      </c>
      <c r="E425" s="3" t="s">
        <v>5</v>
      </c>
      <c r="F425" s="3" t="s">
        <v>10</v>
      </c>
      <c r="G425" s="3" t="s">
        <v>556</v>
      </c>
      <c r="H425" s="3" t="s">
        <v>557</v>
      </c>
      <c r="I425" s="3">
        <v>969</v>
      </c>
      <c r="J425" s="3" t="s">
        <v>11</v>
      </c>
      <c r="K425">
        <f>MATCH(A425,Database!$A$2:$A$948,0)</f>
        <v>549</v>
      </c>
      <c r="L425">
        <f>VLOOKUP(A425,Database!$A$2:$I$948,4,0)</f>
        <v>969</v>
      </c>
      <c r="M425" t="b">
        <f t="shared" si="15"/>
        <v>1</v>
      </c>
      <c r="N425">
        <f>VLOOKUP(A425,Database!$A$2:$I$948,5,0)</f>
        <v>1</v>
      </c>
    </row>
    <row r="426" spans="1:14" hidden="1" x14ac:dyDescent="0.35">
      <c r="A426" s="3">
        <v>103409366</v>
      </c>
      <c r="B426" s="3" t="s">
        <v>558</v>
      </c>
      <c r="C426" s="3" t="str">
        <f t="shared" si="13"/>
        <v>2022-07-06</v>
      </c>
      <c r="D426" s="3" t="s">
        <v>9</v>
      </c>
      <c r="E426" s="3" t="s">
        <v>5</v>
      </c>
      <c r="F426" s="3" t="s">
        <v>10</v>
      </c>
      <c r="G426" s="3" t="s">
        <v>559</v>
      </c>
      <c r="H426" s="3" t="s">
        <v>560</v>
      </c>
      <c r="I426" s="5">
        <v>1199</v>
      </c>
      <c r="J426" s="3" t="s">
        <v>11</v>
      </c>
      <c r="K426">
        <f>MATCH(A426,Database!$A$2:$A$948,0)</f>
        <v>548</v>
      </c>
      <c r="L426">
        <f>VLOOKUP(A426,Database!$A$2:$I$948,4,0)</f>
        <v>1199</v>
      </c>
      <c r="M426" t="b">
        <f t="shared" si="15"/>
        <v>1</v>
      </c>
      <c r="N426">
        <f>VLOOKUP(A426,Database!$A$2:$I$948,5,0)</f>
        <v>1</v>
      </c>
    </row>
    <row r="427" spans="1:14" hidden="1" x14ac:dyDescent="0.35">
      <c r="A427" s="3">
        <v>103409289</v>
      </c>
      <c r="B427" s="3" t="s">
        <v>561</v>
      </c>
      <c r="C427" s="3" t="str">
        <f t="shared" si="13"/>
        <v>2022-07-06</v>
      </c>
      <c r="D427" s="3" t="s">
        <v>9</v>
      </c>
      <c r="E427" s="3" t="s">
        <v>5</v>
      </c>
      <c r="F427" s="3" t="s">
        <v>10</v>
      </c>
      <c r="G427" s="3" t="s">
        <v>562</v>
      </c>
      <c r="H427" s="3" t="s">
        <v>563</v>
      </c>
      <c r="I427" s="3">
        <v>811.35</v>
      </c>
      <c r="J427" s="3" t="s">
        <v>11</v>
      </c>
      <c r="K427">
        <f>MATCH(A427,Database!$A$2:$A$948,0)</f>
        <v>527</v>
      </c>
      <c r="L427">
        <f>VLOOKUP(A427,Database!$A$2:$I$948,4,0)</f>
        <v>811.35</v>
      </c>
      <c r="M427" t="b">
        <f t="shared" si="15"/>
        <v>1</v>
      </c>
      <c r="N427">
        <f>VLOOKUP(A427,Database!$A$2:$I$948,5,0)</f>
        <v>1</v>
      </c>
    </row>
    <row r="428" spans="1:14" hidden="1" x14ac:dyDescent="0.35">
      <c r="A428" s="3">
        <v>103409262</v>
      </c>
      <c r="B428" s="3" t="s">
        <v>564</v>
      </c>
      <c r="C428" s="3" t="str">
        <f t="shared" si="13"/>
        <v>2022-07-06</v>
      </c>
      <c r="D428" s="3" t="s">
        <v>9</v>
      </c>
      <c r="E428" s="3" t="s">
        <v>5</v>
      </c>
      <c r="F428" s="3" t="s">
        <v>12</v>
      </c>
      <c r="G428" s="3" t="s">
        <v>565</v>
      </c>
      <c r="H428" s="3" t="s">
        <v>566</v>
      </c>
      <c r="I428" s="3">
        <v>599</v>
      </c>
      <c r="J428" s="3" t="s">
        <v>11</v>
      </c>
      <c r="K428">
        <f>MATCH(A428,Database!$A$2:$A$948,0)</f>
        <v>518</v>
      </c>
      <c r="L428">
        <f>VLOOKUP(A428,Database!$A$2:$I$948,4,0)</f>
        <v>599</v>
      </c>
      <c r="M428" t="b">
        <f t="shared" si="15"/>
        <v>1</v>
      </c>
      <c r="N428">
        <f>VLOOKUP(A428,Database!$A$2:$I$948,5,0)</f>
        <v>1</v>
      </c>
    </row>
    <row r="429" spans="1:14" hidden="1" x14ac:dyDescent="0.35">
      <c r="A429" s="3">
        <v>103409287</v>
      </c>
      <c r="B429" s="3" t="s">
        <v>567</v>
      </c>
      <c r="C429" s="3" t="str">
        <f t="shared" si="13"/>
        <v>2022-07-06</v>
      </c>
      <c r="D429" s="3" t="s">
        <v>9</v>
      </c>
      <c r="E429" s="3" t="s">
        <v>5</v>
      </c>
      <c r="F429" s="3" t="s">
        <v>10</v>
      </c>
      <c r="G429" s="3" t="s">
        <v>568</v>
      </c>
      <c r="H429" s="3" t="s">
        <v>569</v>
      </c>
      <c r="I429" s="4">
        <v>1804.1</v>
      </c>
      <c r="J429" s="3" t="s">
        <v>11</v>
      </c>
      <c r="K429">
        <f>MATCH(A429,Database!$A$2:$A$948,0)</f>
        <v>526</v>
      </c>
      <c r="L429">
        <f>VLOOKUP(A429,Database!$A$2:$I$948,4,0)</f>
        <v>1804.1</v>
      </c>
      <c r="M429" t="b">
        <f t="shared" si="15"/>
        <v>1</v>
      </c>
      <c r="N429">
        <f>VLOOKUP(A429,Database!$A$2:$I$948,5,0)</f>
        <v>1</v>
      </c>
    </row>
    <row r="430" spans="1:14" hidden="1" x14ac:dyDescent="0.35">
      <c r="A430" s="3">
        <v>103409285</v>
      </c>
      <c r="B430" s="3" t="s">
        <v>570</v>
      </c>
      <c r="C430" s="3" t="str">
        <f t="shared" si="13"/>
        <v>2022-07-06</v>
      </c>
      <c r="D430" s="3" t="s">
        <v>9</v>
      </c>
      <c r="E430" s="3" t="s">
        <v>5</v>
      </c>
      <c r="F430" s="3" t="s">
        <v>10</v>
      </c>
      <c r="G430" s="3" t="s">
        <v>571</v>
      </c>
      <c r="H430" s="3" t="s">
        <v>572</v>
      </c>
      <c r="I430" s="3">
        <v>999</v>
      </c>
      <c r="J430" s="3" t="s">
        <v>11</v>
      </c>
      <c r="K430">
        <f>MATCH(A430,Database!$A$2:$A$948,0)</f>
        <v>525</v>
      </c>
      <c r="L430">
        <f>VLOOKUP(A430,Database!$A$2:$I$948,4,0)</f>
        <v>999</v>
      </c>
      <c r="M430" t="b">
        <f t="shared" si="15"/>
        <v>1</v>
      </c>
      <c r="N430">
        <f>VLOOKUP(A430,Database!$A$2:$I$948,5,0)</f>
        <v>1</v>
      </c>
    </row>
    <row r="431" spans="1:14" hidden="1" x14ac:dyDescent="0.35">
      <c r="A431" s="3">
        <v>103409260</v>
      </c>
      <c r="B431" s="3" t="s">
        <v>573</v>
      </c>
      <c r="C431" s="3" t="str">
        <f t="shared" si="13"/>
        <v>2022-07-06</v>
      </c>
      <c r="D431" s="3" t="s">
        <v>9</v>
      </c>
      <c r="E431" s="3" t="s">
        <v>5</v>
      </c>
      <c r="F431" s="3" t="s">
        <v>10</v>
      </c>
      <c r="G431" s="3" t="s">
        <v>574</v>
      </c>
      <c r="H431" s="3" t="s">
        <v>575</v>
      </c>
      <c r="I431" s="5">
        <v>5599</v>
      </c>
      <c r="J431" s="3" t="s">
        <v>11</v>
      </c>
      <c r="K431">
        <f>MATCH(A431,Database!$A$2:$A$948,0)</f>
        <v>517</v>
      </c>
      <c r="L431">
        <f>VLOOKUP(A431,Database!$A$2:$I$948,4,0)</f>
        <v>5599</v>
      </c>
      <c r="M431" t="b">
        <f t="shared" si="15"/>
        <v>1</v>
      </c>
      <c r="N431">
        <f>VLOOKUP(A431,Database!$A$2:$I$948,5,0)</f>
        <v>1</v>
      </c>
    </row>
    <row r="432" spans="1:14" hidden="1" x14ac:dyDescent="0.35">
      <c r="A432" s="3">
        <v>103409259</v>
      </c>
      <c r="B432" s="3" t="s">
        <v>576</v>
      </c>
      <c r="C432" s="3" t="str">
        <f t="shared" si="13"/>
        <v>2022-07-06</v>
      </c>
      <c r="D432" s="3" t="s">
        <v>9</v>
      </c>
      <c r="E432" s="3" t="s">
        <v>5</v>
      </c>
      <c r="F432" s="3" t="s">
        <v>10</v>
      </c>
      <c r="G432" s="3" t="s">
        <v>577</v>
      </c>
      <c r="H432" s="3" t="s">
        <v>578</v>
      </c>
      <c r="I432" s="4">
        <v>1424.05</v>
      </c>
      <c r="J432" s="3" t="s">
        <v>11</v>
      </c>
      <c r="K432">
        <f>MATCH(A432,Database!$A$2:$A$948,0)</f>
        <v>516</v>
      </c>
      <c r="L432">
        <f>VLOOKUP(A432,Database!$A$2:$I$948,4,0)</f>
        <v>1424.05</v>
      </c>
      <c r="M432" t="b">
        <f t="shared" si="15"/>
        <v>1</v>
      </c>
      <c r="N432">
        <f>VLOOKUP(A432,Database!$A$2:$I$948,5,0)</f>
        <v>1</v>
      </c>
    </row>
    <row r="433" spans="1:14" hidden="1" x14ac:dyDescent="0.35">
      <c r="A433" s="3">
        <v>103409284</v>
      </c>
      <c r="B433" s="3" t="s">
        <v>579</v>
      </c>
      <c r="C433" s="3" t="str">
        <f t="shared" si="13"/>
        <v>2022-07-06</v>
      </c>
      <c r="D433" s="3" t="s">
        <v>9</v>
      </c>
      <c r="E433" s="3" t="s">
        <v>5</v>
      </c>
      <c r="F433" s="3" t="s">
        <v>10</v>
      </c>
      <c r="G433" s="3" t="s">
        <v>580</v>
      </c>
      <c r="H433" s="3" t="s">
        <v>581</v>
      </c>
      <c r="I433" s="4">
        <v>8983.2000000000007</v>
      </c>
      <c r="J433" s="3" t="s">
        <v>11</v>
      </c>
      <c r="K433">
        <f>MATCH(A433,Database!$A$2:$A$948,0)</f>
        <v>524</v>
      </c>
      <c r="L433">
        <f>VLOOKUP(A433,Database!$A$2:$I$948,4,0)</f>
        <v>8983.2000000000007</v>
      </c>
      <c r="M433" t="b">
        <f t="shared" si="15"/>
        <v>1</v>
      </c>
      <c r="N433">
        <f>VLOOKUP(A433,Database!$A$2:$I$948,5,0)</f>
        <v>4</v>
      </c>
    </row>
    <row r="434" spans="1:14" hidden="1" x14ac:dyDescent="0.35">
      <c r="A434" s="3">
        <v>103409283</v>
      </c>
      <c r="B434" s="3" t="s">
        <v>582</v>
      </c>
      <c r="C434" s="3" t="str">
        <f t="shared" si="13"/>
        <v>2022-07-06</v>
      </c>
      <c r="D434" s="3" t="s">
        <v>9</v>
      </c>
      <c r="E434" s="3" t="s">
        <v>5</v>
      </c>
      <c r="F434" s="3" t="s">
        <v>10</v>
      </c>
      <c r="G434" s="3" t="s">
        <v>583</v>
      </c>
      <c r="H434" s="3" t="s">
        <v>584</v>
      </c>
      <c r="I434" s="5">
        <v>2469</v>
      </c>
      <c r="J434" s="3" t="s">
        <v>11</v>
      </c>
      <c r="K434">
        <f>MATCH(A434,Database!$A$2:$A$948,0)</f>
        <v>523</v>
      </c>
      <c r="L434">
        <f>VLOOKUP(A434,Database!$A$2:$I$948,4,0)</f>
        <v>2469</v>
      </c>
      <c r="M434" t="b">
        <f t="shared" si="15"/>
        <v>1</v>
      </c>
      <c r="N434">
        <f>VLOOKUP(A434,Database!$A$2:$I$948,5,0)</f>
        <v>1</v>
      </c>
    </row>
    <row r="435" spans="1:14" hidden="1" x14ac:dyDescent="0.35">
      <c r="A435" s="3">
        <v>103409277</v>
      </c>
      <c r="B435" s="3" t="s">
        <v>585</v>
      </c>
      <c r="C435" s="3" t="str">
        <f t="shared" si="13"/>
        <v>2022-07-06</v>
      </c>
      <c r="D435" s="3" t="s">
        <v>9</v>
      </c>
      <c r="E435" s="3" t="s">
        <v>5</v>
      </c>
      <c r="F435" s="3" t="s">
        <v>12</v>
      </c>
      <c r="G435" s="3" t="s">
        <v>586</v>
      </c>
      <c r="H435" s="3" t="s">
        <v>587</v>
      </c>
      <c r="I435" s="3">
        <v>825.55</v>
      </c>
      <c r="J435" s="3" t="s">
        <v>11</v>
      </c>
      <c r="K435">
        <f>MATCH(A435,Database!$A$2:$A$948,0)</f>
        <v>522</v>
      </c>
      <c r="L435">
        <f>VLOOKUP(A435,Database!$A$2:$I$948,4,0)</f>
        <v>825.55</v>
      </c>
      <c r="M435" t="b">
        <f t="shared" si="15"/>
        <v>1</v>
      </c>
      <c r="N435">
        <f>VLOOKUP(A435,Database!$A$2:$I$948,5,0)</f>
        <v>1</v>
      </c>
    </row>
    <row r="436" spans="1:14" hidden="1" x14ac:dyDescent="0.35">
      <c r="A436" s="3">
        <v>103409244</v>
      </c>
      <c r="B436" s="3" t="s">
        <v>588</v>
      </c>
      <c r="C436" s="3" t="str">
        <f t="shared" si="13"/>
        <v>2022-07-06</v>
      </c>
      <c r="D436" s="3" t="s">
        <v>9</v>
      </c>
      <c r="E436" s="3" t="s">
        <v>5</v>
      </c>
      <c r="F436" s="3" t="s">
        <v>10</v>
      </c>
      <c r="G436" s="3" t="s">
        <v>589</v>
      </c>
      <c r="H436" s="3" t="s">
        <v>590</v>
      </c>
      <c r="I436" s="4">
        <v>1329.05</v>
      </c>
      <c r="J436" s="3" t="s">
        <v>11</v>
      </c>
      <c r="K436">
        <f>MATCH(A436,Database!$A$2:$A$948,0)</f>
        <v>515</v>
      </c>
      <c r="L436">
        <f>VLOOKUP(A436,Database!$A$2:$I$948,4,0)</f>
        <v>1329.05</v>
      </c>
      <c r="M436" t="b">
        <f t="shared" si="15"/>
        <v>1</v>
      </c>
      <c r="N436">
        <f>VLOOKUP(A436,Database!$A$2:$I$948,5,0)</f>
        <v>1</v>
      </c>
    </row>
    <row r="437" spans="1:14" hidden="1" x14ac:dyDescent="0.35">
      <c r="A437" s="3">
        <v>103409273</v>
      </c>
      <c r="B437" s="3" t="s">
        <v>591</v>
      </c>
      <c r="C437" s="3" t="str">
        <f t="shared" si="13"/>
        <v>2022-07-06</v>
      </c>
      <c r="D437" s="3" t="s">
        <v>9</v>
      </c>
      <c r="E437" s="3" t="s">
        <v>5</v>
      </c>
      <c r="F437" s="3" t="s">
        <v>10</v>
      </c>
      <c r="G437" s="3" t="s">
        <v>592</v>
      </c>
      <c r="H437" s="3" t="s">
        <v>593</v>
      </c>
      <c r="I437" s="4">
        <v>1709.05</v>
      </c>
      <c r="J437" s="3" t="s">
        <v>11</v>
      </c>
      <c r="K437">
        <f>MATCH(A437,Database!$A$2:$A$948,0)</f>
        <v>521</v>
      </c>
      <c r="L437">
        <f>VLOOKUP(A437,Database!$A$2:$I$948,4,0)</f>
        <v>1709.05</v>
      </c>
      <c r="M437" t="b">
        <f t="shared" si="15"/>
        <v>1</v>
      </c>
      <c r="N437">
        <f>VLOOKUP(A437,Database!$A$2:$I$948,5,0)</f>
        <v>1</v>
      </c>
    </row>
    <row r="438" spans="1:14" hidden="1" x14ac:dyDescent="0.35">
      <c r="A438" s="3">
        <v>103409239</v>
      </c>
      <c r="B438" s="3" t="s">
        <v>594</v>
      </c>
      <c r="C438" s="3" t="str">
        <f t="shared" si="13"/>
        <v>2022-07-06</v>
      </c>
      <c r="D438" s="3" t="s">
        <v>9</v>
      </c>
      <c r="E438" s="3" t="s">
        <v>5</v>
      </c>
      <c r="F438" s="3" t="s">
        <v>10</v>
      </c>
      <c r="G438" s="3" t="s">
        <v>595</v>
      </c>
      <c r="H438" s="3" t="s">
        <v>596</v>
      </c>
      <c r="I438" s="4">
        <v>1899.05</v>
      </c>
      <c r="J438" s="3" t="s">
        <v>11</v>
      </c>
      <c r="K438">
        <f>MATCH(A438,Database!$A$2:$A$948,0)</f>
        <v>514</v>
      </c>
      <c r="L438">
        <f>VLOOKUP(A438,Database!$A$2:$I$948,4,0)</f>
        <v>1899.05</v>
      </c>
      <c r="M438" t="b">
        <f t="shared" si="15"/>
        <v>1</v>
      </c>
      <c r="N438">
        <f>VLOOKUP(A438,Database!$A$2:$I$948,5,0)</f>
        <v>1</v>
      </c>
    </row>
    <row r="439" spans="1:14" hidden="1" x14ac:dyDescent="0.35">
      <c r="A439" s="3">
        <v>103409237</v>
      </c>
      <c r="B439" s="3" t="s">
        <v>597</v>
      </c>
      <c r="C439" s="3" t="str">
        <f t="shared" si="13"/>
        <v>2022-07-06</v>
      </c>
      <c r="D439" s="3" t="s">
        <v>9</v>
      </c>
      <c r="E439" s="3" t="s">
        <v>5</v>
      </c>
      <c r="F439" s="3" t="s">
        <v>10</v>
      </c>
      <c r="G439" s="3" t="s">
        <v>598</v>
      </c>
      <c r="H439" s="3" t="s">
        <v>599</v>
      </c>
      <c r="I439" s="5">
        <v>2398</v>
      </c>
      <c r="J439" s="3" t="s">
        <v>11</v>
      </c>
      <c r="K439">
        <f>MATCH(A439,Database!$A$2:$A$948,0)</f>
        <v>513</v>
      </c>
      <c r="L439">
        <f>VLOOKUP(A439,Database!$A$2:$I$948,4,0)</f>
        <v>2398</v>
      </c>
      <c r="M439" t="b">
        <f t="shared" si="15"/>
        <v>1</v>
      </c>
      <c r="N439">
        <f>VLOOKUP(A439,Database!$A$2:$I$948,5,0)</f>
        <v>2</v>
      </c>
    </row>
    <row r="440" spans="1:14" hidden="1" x14ac:dyDescent="0.35">
      <c r="A440" s="3">
        <v>103409271</v>
      </c>
      <c r="B440" s="3" t="s">
        <v>600</v>
      </c>
      <c r="C440" s="3" t="str">
        <f t="shared" si="13"/>
        <v>2022-07-06</v>
      </c>
      <c r="D440" s="3" t="s">
        <v>9</v>
      </c>
      <c r="E440" s="3" t="s">
        <v>5</v>
      </c>
      <c r="F440" s="3" t="s">
        <v>12</v>
      </c>
      <c r="G440" s="3" t="s">
        <v>601</v>
      </c>
      <c r="H440" s="3" t="s">
        <v>602</v>
      </c>
      <c r="I440" s="5">
        <v>1949</v>
      </c>
      <c r="J440" s="3" t="s">
        <v>11</v>
      </c>
      <c r="K440">
        <f>MATCH(A440,Database!$A$2:$A$948,0)</f>
        <v>520</v>
      </c>
      <c r="L440">
        <f>VLOOKUP(A440,Database!$A$2:$I$948,4,0)</f>
        <v>1949</v>
      </c>
      <c r="M440" t="b">
        <f t="shared" si="15"/>
        <v>1</v>
      </c>
      <c r="N440">
        <f>VLOOKUP(A440,Database!$A$2:$I$948,5,0)</f>
        <v>1</v>
      </c>
    </row>
    <row r="441" spans="1:14" hidden="1" x14ac:dyDescent="0.35">
      <c r="A441" s="3">
        <v>103409223</v>
      </c>
      <c r="B441" s="3" t="s">
        <v>603</v>
      </c>
      <c r="C441" s="3" t="str">
        <f t="shared" si="13"/>
        <v>2022-07-06</v>
      </c>
      <c r="D441" s="3" t="s">
        <v>9</v>
      </c>
      <c r="E441" s="3" t="s">
        <v>5</v>
      </c>
      <c r="F441" s="3" t="s">
        <v>12</v>
      </c>
      <c r="G441" s="3" t="s">
        <v>604</v>
      </c>
      <c r="H441" s="3" t="s">
        <v>605</v>
      </c>
      <c r="I441" s="5">
        <v>4119</v>
      </c>
      <c r="J441" s="3" t="s">
        <v>11</v>
      </c>
      <c r="K441">
        <f>MATCH(A441,Database!$A$2:$A$948,0)</f>
        <v>512</v>
      </c>
      <c r="L441">
        <f>VLOOKUP(A441,Database!$A$2:$I$948,4,0)</f>
        <v>4119</v>
      </c>
      <c r="M441" t="b">
        <f t="shared" si="15"/>
        <v>1</v>
      </c>
      <c r="N441">
        <f>VLOOKUP(A441,Database!$A$2:$I$948,5,0)</f>
        <v>1</v>
      </c>
    </row>
    <row r="442" spans="1:14" hidden="1" x14ac:dyDescent="0.35">
      <c r="A442" s="3">
        <v>103409267</v>
      </c>
      <c r="B442" s="3" t="s">
        <v>606</v>
      </c>
      <c r="C442" s="3" t="str">
        <f t="shared" si="13"/>
        <v>2022-07-06</v>
      </c>
      <c r="D442" s="3" t="s">
        <v>9</v>
      </c>
      <c r="E442" s="3" t="s">
        <v>5</v>
      </c>
      <c r="F442" s="3" t="s">
        <v>12</v>
      </c>
      <c r="G442" s="3" t="s">
        <v>607</v>
      </c>
      <c r="H442" s="3" t="s">
        <v>608</v>
      </c>
      <c r="I442" s="5">
        <v>3599</v>
      </c>
      <c r="J442" s="3" t="s">
        <v>11</v>
      </c>
      <c r="K442">
        <f>MATCH(A442,Database!$A$2:$A$948,0)</f>
        <v>519</v>
      </c>
      <c r="L442">
        <f>VLOOKUP(A442,Database!$A$2:$I$948,4,0)</f>
        <v>3599</v>
      </c>
      <c r="M442" t="b">
        <f t="shared" si="15"/>
        <v>1</v>
      </c>
      <c r="N442">
        <f>VLOOKUP(A442,Database!$A$2:$I$948,5,0)</f>
        <v>1</v>
      </c>
    </row>
    <row r="443" spans="1:14" hidden="1" x14ac:dyDescent="0.35">
      <c r="A443" s="3">
        <v>103409215</v>
      </c>
      <c r="B443" s="3" t="s">
        <v>609</v>
      </c>
      <c r="C443" s="3" t="str">
        <f t="shared" si="13"/>
        <v>2022-07-06</v>
      </c>
      <c r="D443" s="3" t="s">
        <v>9</v>
      </c>
      <c r="E443" s="3" t="s">
        <v>5</v>
      </c>
      <c r="F443" s="3" t="s">
        <v>10</v>
      </c>
      <c r="G443" s="3" t="s">
        <v>610</v>
      </c>
      <c r="H443" s="3" t="s">
        <v>611</v>
      </c>
      <c r="I443" s="4">
        <v>2564.14</v>
      </c>
      <c r="J443" s="3" t="s">
        <v>11</v>
      </c>
      <c r="K443">
        <f>MATCH(A443,Database!$A$2:$A$948,0)</f>
        <v>511</v>
      </c>
      <c r="L443">
        <f>VLOOKUP(A443,Database!$A$2:$I$948,4,0)</f>
        <v>2564.14</v>
      </c>
      <c r="M443" t="b">
        <f t="shared" si="15"/>
        <v>1</v>
      </c>
      <c r="N443">
        <f>VLOOKUP(A443,Database!$A$2:$I$948,5,0)</f>
        <v>1</v>
      </c>
    </row>
    <row r="444" spans="1:14" hidden="1" x14ac:dyDescent="0.35">
      <c r="A444" s="3">
        <v>103409211</v>
      </c>
      <c r="B444" s="3" t="s">
        <v>612</v>
      </c>
      <c r="C444" s="3" t="str">
        <f t="shared" si="13"/>
        <v>2022-07-06</v>
      </c>
      <c r="D444" s="3" t="s">
        <v>9</v>
      </c>
      <c r="E444" s="3" t="s">
        <v>5</v>
      </c>
      <c r="F444" s="3" t="s">
        <v>10</v>
      </c>
      <c r="G444" s="3" t="s">
        <v>613</v>
      </c>
      <c r="H444" s="3" t="s">
        <v>614</v>
      </c>
      <c r="I444" s="4">
        <v>3324.05</v>
      </c>
      <c r="J444" s="3" t="s">
        <v>11</v>
      </c>
      <c r="K444">
        <f>MATCH(A444,Database!$A$2:$A$948,0)</f>
        <v>510</v>
      </c>
      <c r="L444">
        <f>VLOOKUP(A444,Database!$A$2:$I$948,4,0)</f>
        <v>3324.05</v>
      </c>
      <c r="M444" t="b">
        <f t="shared" si="15"/>
        <v>1</v>
      </c>
      <c r="N444">
        <f>VLOOKUP(A444,Database!$A$2:$I$948,5,0)</f>
        <v>1</v>
      </c>
    </row>
    <row r="445" spans="1:14" hidden="1" x14ac:dyDescent="0.35">
      <c r="A445" s="3">
        <v>103409206</v>
      </c>
      <c r="B445" s="3" t="s">
        <v>615</v>
      </c>
      <c r="C445" s="3" t="str">
        <f t="shared" si="13"/>
        <v>2022-07-06</v>
      </c>
      <c r="D445" s="3" t="s">
        <v>9</v>
      </c>
      <c r="E445" s="3" t="s">
        <v>5</v>
      </c>
      <c r="F445" s="3" t="s">
        <v>10</v>
      </c>
      <c r="G445" s="3" t="s">
        <v>616</v>
      </c>
      <c r="H445" s="3" t="s">
        <v>617</v>
      </c>
      <c r="I445" s="4">
        <v>3324.05</v>
      </c>
      <c r="J445" s="3" t="s">
        <v>11</v>
      </c>
      <c r="K445">
        <f>MATCH(A445,Database!$A$2:$A$948,0)</f>
        <v>509</v>
      </c>
      <c r="L445">
        <f>VLOOKUP(A445,Database!$A$2:$I$948,4,0)</f>
        <v>3324.05</v>
      </c>
      <c r="M445" t="b">
        <f t="shared" si="15"/>
        <v>1</v>
      </c>
      <c r="N445">
        <f>VLOOKUP(A445,Database!$A$2:$I$948,5,0)</f>
        <v>1</v>
      </c>
    </row>
    <row r="446" spans="1:14" hidden="1" x14ac:dyDescent="0.35">
      <c r="A446" s="3">
        <v>103409203</v>
      </c>
      <c r="B446" s="3" t="s">
        <v>618</v>
      </c>
      <c r="C446" s="3" t="str">
        <f t="shared" si="13"/>
        <v>2022-07-06</v>
      </c>
      <c r="D446" s="3" t="s">
        <v>9</v>
      </c>
      <c r="E446" s="3" t="s">
        <v>5</v>
      </c>
      <c r="F446" s="3" t="s">
        <v>10</v>
      </c>
      <c r="G446" s="3" t="s">
        <v>619</v>
      </c>
      <c r="H446" s="3" t="s">
        <v>620</v>
      </c>
      <c r="I446" s="4">
        <v>5399.1</v>
      </c>
      <c r="J446" s="3" t="s">
        <v>11</v>
      </c>
      <c r="K446">
        <f>MATCH(A446,Database!$A$2:$A$948,0)</f>
        <v>508</v>
      </c>
      <c r="L446">
        <f>VLOOKUP(A446,Database!$A$2:$I$948,4,0)</f>
        <v>5399.1</v>
      </c>
      <c r="M446" t="b">
        <f t="shared" si="15"/>
        <v>1</v>
      </c>
      <c r="N446">
        <f>VLOOKUP(A446,Database!$A$2:$I$948,5,0)</f>
        <v>1</v>
      </c>
    </row>
    <row r="447" spans="1:14" hidden="1" x14ac:dyDescent="0.35">
      <c r="A447" s="3">
        <v>103409156</v>
      </c>
      <c r="B447" s="3" t="s">
        <v>621</v>
      </c>
      <c r="C447" s="3" t="str">
        <f t="shared" si="13"/>
        <v>2022-07-06</v>
      </c>
      <c r="D447" s="3" t="s">
        <v>9</v>
      </c>
      <c r="E447" s="3" t="s">
        <v>5</v>
      </c>
      <c r="F447" s="3" t="s">
        <v>10</v>
      </c>
      <c r="G447" s="3" t="s">
        <v>622</v>
      </c>
      <c r="H447" s="3" t="s">
        <v>623</v>
      </c>
      <c r="I447" s="4">
        <v>1063.05</v>
      </c>
      <c r="J447" s="3" t="s">
        <v>11</v>
      </c>
      <c r="K447">
        <f>MATCH(A447,Database!$A$2:$A$948,0)</f>
        <v>502</v>
      </c>
      <c r="L447">
        <f>VLOOKUP(A447,Database!$A$2:$I$948,4,0)</f>
        <v>1063.05</v>
      </c>
      <c r="M447" t="b">
        <f t="shared" si="15"/>
        <v>1</v>
      </c>
      <c r="N447">
        <f>VLOOKUP(A447,Database!$A$2:$I$948,5,0)</f>
        <v>1</v>
      </c>
    </row>
    <row r="448" spans="1:14" hidden="1" x14ac:dyDescent="0.35">
      <c r="A448" s="3">
        <v>103409200</v>
      </c>
      <c r="B448" s="3" t="s">
        <v>624</v>
      </c>
      <c r="C448" s="3" t="str">
        <f t="shared" si="13"/>
        <v>2022-07-06</v>
      </c>
      <c r="D448" s="3" t="s">
        <v>9</v>
      </c>
      <c r="E448" s="3" t="s">
        <v>5</v>
      </c>
      <c r="F448" s="3" t="s">
        <v>10</v>
      </c>
      <c r="G448" s="3" t="s">
        <v>625</v>
      </c>
      <c r="H448" s="3" t="s">
        <v>626</v>
      </c>
      <c r="I448" s="5">
        <v>2799</v>
      </c>
      <c r="J448" s="3" t="s">
        <v>11</v>
      </c>
      <c r="K448">
        <f>MATCH(A448,Database!$A$2:$A$948,0)</f>
        <v>507</v>
      </c>
      <c r="L448">
        <f>VLOOKUP(A448,Database!$A$2:$I$948,4,0)</f>
        <v>2799</v>
      </c>
      <c r="M448" t="b">
        <f t="shared" si="15"/>
        <v>1</v>
      </c>
      <c r="N448">
        <f>VLOOKUP(A448,Database!$A$2:$I$948,5,0)</f>
        <v>1</v>
      </c>
    </row>
    <row r="449" spans="1:14" hidden="1" x14ac:dyDescent="0.35">
      <c r="A449" s="3">
        <v>103409175</v>
      </c>
      <c r="B449" s="3" t="s">
        <v>627</v>
      </c>
      <c r="C449" s="3" t="str">
        <f t="shared" si="13"/>
        <v>2022-07-06</v>
      </c>
      <c r="D449" s="3" t="s">
        <v>9</v>
      </c>
      <c r="E449" s="3" t="s">
        <v>5</v>
      </c>
      <c r="F449" s="3" t="s">
        <v>10</v>
      </c>
      <c r="G449" s="3" t="s">
        <v>628</v>
      </c>
      <c r="H449" s="3" t="s">
        <v>629</v>
      </c>
      <c r="I449" s="5">
        <v>1259</v>
      </c>
      <c r="J449" s="3" t="s">
        <v>11</v>
      </c>
      <c r="K449">
        <f>MATCH(A449,Database!$A$2:$A$948,0)</f>
        <v>506</v>
      </c>
      <c r="L449">
        <f>VLOOKUP(A449,Database!$A$2:$I$948,4,0)</f>
        <v>1259</v>
      </c>
      <c r="M449" t="b">
        <f t="shared" si="15"/>
        <v>1</v>
      </c>
      <c r="N449">
        <f>VLOOKUP(A449,Database!$A$2:$I$948,5,0)</f>
        <v>1</v>
      </c>
    </row>
    <row r="450" spans="1:14" hidden="1" x14ac:dyDescent="0.35">
      <c r="A450" s="3">
        <v>103409135</v>
      </c>
      <c r="B450" s="3" t="s">
        <v>630</v>
      </c>
      <c r="C450" s="3" t="str">
        <f t="shared" si="13"/>
        <v>2022-07-06</v>
      </c>
      <c r="D450" s="3" t="s">
        <v>9</v>
      </c>
      <c r="E450" s="3" t="s">
        <v>5</v>
      </c>
      <c r="F450" s="3" t="s">
        <v>10</v>
      </c>
      <c r="G450" s="3" t="s">
        <v>631</v>
      </c>
      <c r="H450" s="3" t="s">
        <v>632</v>
      </c>
      <c r="I450" s="3">
        <v>825.55</v>
      </c>
      <c r="J450" s="3" t="s">
        <v>11</v>
      </c>
      <c r="K450">
        <f>MATCH(A450,Database!$A$2:$A$948,0)</f>
        <v>501</v>
      </c>
      <c r="L450">
        <f>VLOOKUP(A450,Database!$A$2:$I$948,4,0)</f>
        <v>825.55</v>
      </c>
      <c r="M450" t="b">
        <f t="shared" si="15"/>
        <v>1</v>
      </c>
      <c r="N450">
        <f>VLOOKUP(A450,Database!$A$2:$I$948,5,0)</f>
        <v>1</v>
      </c>
    </row>
    <row r="451" spans="1:14" hidden="1" x14ac:dyDescent="0.35">
      <c r="A451" s="3">
        <v>103409171</v>
      </c>
      <c r="B451" s="3" t="s">
        <v>633</v>
      </c>
      <c r="C451" s="3" t="str">
        <f t="shared" ref="C451:C514" si="16">LEFT(B451,FIND("T",B451)-1)</f>
        <v>2022-07-06</v>
      </c>
      <c r="D451" s="3" t="s">
        <v>9</v>
      </c>
      <c r="E451" s="3" t="s">
        <v>5</v>
      </c>
      <c r="F451" s="3" t="s">
        <v>10</v>
      </c>
      <c r="G451" s="3" t="s">
        <v>634</v>
      </c>
      <c r="H451" s="3" t="s">
        <v>635</v>
      </c>
      <c r="I451" s="5">
        <v>4999</v>
      </c>
      <c r="J451" s="3" t="s">
        <v>11</v>
      </c>
      <c r="K451">
        <f>MATCH(A451,Database!$A$2:$A$948,0)</f>
        <v>505</v>
      </c>
      <c r="L451">
        <f>VLOOKUP(A451,Database!$A$2:$I$948,4,0)</f>
        <v>4999</v>
      </c>
      <c r="M451" t="b">
        <f t="shared" si="15"/>
        <v>1</v>
      </c>
      <c r="N451">
        <f>VLOOKUP(A451,Database!$A$2:$I$948,5,0)</f>
        <v>1</v>
      </c>
    </row>
    <row r="452" spans="1:14" hidden="1" x14ac:dyDescent="0.35">
      <c r="A452" s="3">
        <v>103409170</v>
      </c>
      <c r="B452" s="3" t="s">
        <v>636</v>
      </c>
      <c r="C452" s="3" t="str">
        <f t="shared" si="16"/>
        <v>2022-07-06</v>
      </c>
      <c r="D452" s="3" t="s">
        <v>9</v>
      </c>
      <c r="E452" s="3" t="s">
        <v>5</v>
      </c>
      <c r="F452" s="3" t="s">
        <v>10</v>
      </c>
      <c r="G452" s="3" t="s">
        <v>637</v>
      </c>
      <c r="H452" s="3" t="s">
        <v>638</v>
      </c>
      <c r="I452" s="4">
        <v>1281.55</v>
      </c>
      <c r="J452" s="3" t="s">
        <v>11</v>
      </c>
      <c r="K452">
        <f>MATCH(A452,Database!$A$2:$A$948,0)</f>
        <v>504</v>
      </c>
      <c r="L452">
        <f>VLOOKUP(A452,Database!$A$2:$I$948,4,0)</f>
        <v>1281.55</v>
      </c>
      <c r="M452" t="b">
        <f t="shared" si="15"/>
        <v>1</v>
      </c>
      <c r="N452">
        <f>VLOOKUP(A452,Database!$A$2:$I$948,5,0)</f>
        <v>1</v>
      </c>
    </row>
    <row r="453" spans="1:14" hidden="1" x14ac:dyDescent="0.35">
      <c r="A453" s="3">
        <v>103409167</v>
      </c>
      <c r="B453" s="3" t="s">
        <v>639</v>
      </c>
      <c r="C453" s="3" t="str">
        <f t="shared" si="16"/>
        <v>2022-07-06</v>
      </c>
      <c r="D453" s="3" t="s">
        <v>9</v>
      </c>
      <c r="E453" s="3" t="s">
        <v>5</v>
      </c>
      <c r="F453" s="3" t="s">
        <v>10</v>
      </c>
      <c r="G453" s="3" t="s">
        <v>640</v>
      </c>
      <c r="H453" s="3" t="s">
        <v>641</v>
      </c>
      <c r="I453" s="4">
        <v>2749.45</v>
      </c>
      <c r="J453" s="3" t="s">
        <v>11</v>
      </c>
      <c r="K453">
        <f>MATCH(A453,Database!$A$2:$A$948,0)</f>
        <v>503</v>
      </c>
      <c r="L453">
        <f>VLOOKUP(A453,Database!$A$2:$I$948,4,0)</f>
        <v>2749.45</v>
      </c>
      <c r="M453" t="b">
        <f t="shared" si="15"/>
        <v>1</v>
      </c>
      <c r="N453">
        <f>VLOOKUP(A453,Database!$A$2:$I$948,5,0)</f>
        <v>1</v>
      </c>
    </row>
    <row r="454" spans="1:14" hidden="1" x14ac:dyDescent="0.35">
      <c r="A454" s="3">
        <v>103409064</v>
      </c>
      <c r="B454" s="3" t="s">
        <v>642</v>
      </c>
      <c r="C454" s="3" t="str">
        <f t="shared" si="16"/>
        <v>2022-07-06</v>
      </c>
      <c r="D454" s="3" t="s">
        <v>9</v>
      </c>
      <c r="E454" s="3" t="s">
        <v>5</v>
      </c>
      <c r="F454" s="3" t="s">
        <v>10</v>
      </c>
      <c r="G454" s="3" t="s">
        <v>643</v>
      </c>
      <c r="H454" s="3" t="s">
        <v>644</v>
      </c>
      <c r="I454" s="5">
        <v>2099</v>
      </c>
      <c r="J454" s="3" t="s">
        <v>11</v>
      </c>
      <c r="K454">
        <f>MATCH(A454,Database!$A$2:$A$948,0)</f>
        <v>481</v>
      </c>
      <c r="L454">
        <f>VLOOKUP(A454,Database!$A$2:$I$948,4,0)</f>
        <v>2099</v>
      </c>
      <c r="M454" t="b">
        <f t="shared" si="15"/>
        <v>1</v>
      </c>
      <c r="N454">
        <f>VLOOKUP(A454,Database!$A$2:$I$948,5,0)</f>
        <v>1</v>
      </c>
    </row>
    <row r="455" spans="1:14" hidden="1" x14ac:dyDescent="0.35">
      <c r="A455" s="3">
        <v>103409063</v>
      </c>
      <c r="B455" s="3" t="s">
        <v>645</v>
      </c>
      <c r="C455" s="3" t="str">
        <f t="shared" si="16"/>
        <v>2022-07-06</v>
      </c>
      <c r="D455" s="3" t="s">
        <v>9</v>
      </c>
      <c r="E455" s="3" t="s">
        <v>5</v>
      </c>
      <c r="F455" s="3" t="s">
        <v>10</v>
      </c>
      <c r="G455" s="3" t="s">
        <v>646</v>
      </c>
      <c r="H455" s="3" t="s">
        <v>647</v>
      </c>
      <c r="I455" s="3">
        <v>669</v>
      </c>
      <c r="J455" s="3" t="s">
        <v>11</v>
      </c>
      <c r="K455" t="e">
        <f>MATCH(A455,Database!$A$2:$A$948,0)</f>
        <v>#N/A</v>
      </c>
      <c r="L455" t="e">
        <f>VLOOKUP(A455,Database!$A$2:$I$948,4,0)</f>
        <v>#N/A</v>
      </c>
      <c r="M455" t="e">
        <f t="shared" si="15"/>
        <v>#N/A</v>
      </c>
      <c r="N455" t="e">
        <f>VLOOKUP(A455,Database!$A$2:$I$948,5,0)</f>
        <v>#N/A</v>
      </c>
    </row>
    <row r="456" spans="1:14" hidden="1" x14ac:dyDescent="0.35">
      <c r="A456" s="3">
        <v>103409131</v>
      </c>
      <c r="B456" s="3" t="s">
        <v>648</v>
      </c>
      <c r="C456" s="3" t="str">
        <f t="shared" si="16"/>
        <v>2022-07-06</v>
      </c>
      <c r="D456" s="3" t="s">
        <v>9</v>
      </c>
      <c r="E456" s="3" t="s">
        <v>5</v>
      </c>
      <c r="F456" s="3" t="s">
        <v>12</v>
      </c>
      <c r="G456" s="3" t="s">
        <v>649</v>
      </c>
      <c r="H456" s="3" t="s">
        <v>650</v>
      </c>
      <c r="I456" s="5">
        <v>1499</v>
      </c>
      <c r="J456" s="3" t="s">
        <v>11</v>
      </c>
      <c r="K456">
        <f>MATCH(A456,Database!$A$2:$A$948,0)</f>
        <v>500</v>
      </c>
      <c r="L456">
        <f>VLOOKUP(A456,Database!$A$2:$I$948,4,0)</f>
        <v>1499</v>
      </c>
      <c r="M456" t="b">
        <f t="shared" si="15"/>
        <v>1</v>
      </c>
      <c r="N456">
        <f>VLOOKUP(A456,Database!$A$2:$I$948,5,0)</f>
        <v>1</v>
      </c>
    </row>
    <row r="457" spans="1:14" hidden="1" x14ac:dyDescent="0.35">
      <c r="A457" s="3">
        <v>103409059</v>
      </c>
      <c r="B457" s="3" t="s">
        <v>651</v>
      </c>
      <c r="C457" s="3" t="str">
        <f t="shared" si="16"/>
        <v>2022-07-06</v>
      </c>
      <c r="D457" s="3" t="s">
        <v>9</v>
      </c>
      <c r="E457" s="3" t="s">
        <v>5</v>
      </c>
      <c r="F457" s="3" t="s">
        <v>10</v>
      </c>
      <c r="G457" s="3" t="s">
        <v>652</v>
      </c>
      <c r="H457" s="3" t="s">
        <v>653</v>
      </c>
      <c r="I457" s="5">
        <v>1799</v>
      </c>
      <c r="J457" s="3" t="s">
        <v>11</v>
      </c>
      <c r="K457">
        <f>MATCH(A457,Database!$A$2:$A$948,0)</f>
        <v>480</v>
      </c>
      <c r="L457">
        <f>VLOOKUP(A457,Database!$A$2:$I$948,4,0)</f>
        <v>1799</v>
      </c>
      <c r="M457" t="b">
        <f t="shared" si="15"/>
        <v>1</v>
      </c>
      <c r="N457">
        <f>VLOOKUP(A457,Database!$A$2:$I$948,5,0)</f>
        <v>1</v>
      </c>
    </row>
    <row r="458" spans="1:14" hidden="1" x14ac:dyDescent="0.35">
      <c r="A458" s="3">
        <v>103409129</v>
      </c>
      <c r="B458" s="3" t="s">
        <v>654</v>
      </c>
      <c r="C458" s="3" t="str">
        <f t="shared" si="16"/>
        <v>2022-07-06</v>
      </c>
      <c r="D458" s="3" t="s">
        <v>9</v>
      </c>
      <c r="E458" s="3" t="s">
        <v>5</v>
      </c>
      <c r="F458" s="3" t="s">
        <v>10</v>
      </c>
      <c r="G458" s="3" t="s">
        <v>655</v>
      </c>
      <c r="H458" s="3" t="s">
        <v>656</v>
      </c>
      <c r="I458" s="3">
        <v>819</v>
      </c>
      <c r="J458" s="3" t="s">
        <v>11</v>
      </c>
      <c r="K458">
        <f>MATCH(A458,Database!$A$2:$A$948,0)</f>
        <v>499</v>
      </c>
      <c r="L458">
        <f>VLOOKUP(A458,Database!$A$2:$I$948,4,0)</f>
        <v>819</v>
      </c>
      <c r="M458" t="b">
        <f t="shared" si="15"/>
        <v>1</v>
      </c>
      <c r="N458">
        <f>VLOOKUP(A458,Database!$A$2:$I$948,5,0)</f>
        <v>1</v>
      </c>
    </row>
    <row r="459" spans="1:14" hidden="1" x14ac:dyDescent="0.35">
      <c r="A459" s="3">
        <v>103409056</v>
      </c>
      <c r="B459" s="3" t="s">
        <v>657</v>
      </c>
      <c r="C459" s="3" t="str">
        <f t="shared" si="16"/>
        <v>2022-07-06</v>
      </c>
      <c r="D459" s="3" t="s">
        <v>9</v>
      </c>
      <c r="E459" s="3" t="s">
        <v>5</v>
      </c>
      <c r="F459" s="3" t="s">
        <v>10</v>
      </c>
      <c r="G459" s="3" t="s">
        <v>658</v>
      </c>
      <c r="H459" s="3" t="s">
        <v>659</v>
      </c>
      <c r="I459" s="3">
        <v>519</v>
      </c>
      <c r="J459" s="3" t="s">
        <v>11</v>
      </c>
      <c r="K459">
        <f>MATCH(A459,Database!$A$2:$A$948,0)</f>
        <v>479</v>
      </c>
      <c r="L459">
        <f>VLOOKUP(A459,Database!$A$2:$I$948,4,0)</f>
        <v>519</v>
      </c>
      <c r="M459" t="b">
        <f t="shared" si="15"/>
        <v>1</v>
      </c>
      <c r="N459">
        <f>VLOOKUP(A459,Database!$A$2:$I$948,5,0)</f>
        <v>1</v>
      </c>
    </row>
    <row r="460" spans="1:14" hidden="1" x14ac:dyDescent="0.35">
      <c r="A460" s="3">
        <v>103409055</v>
      </c>
      <c r="B460" s="3" t="s">
        <v>660</v>
      </c>
      <c r="C460" s="3" t="str">
        <f t="shared" si="16"/>
        <v>2022-07-06</v>
      </c>
      <c r="D460" s="3" t="s">
        <v>9</v>
      </c>
      <c r="E460" s="3" t="s">
        <v>5</v>
      </c>
      <c r="F460" s="3" t="s">
        <v>10</v>
      </c>
      <c r="G460" s="3" t="s">
        <v>661</v>
      </c>
      <c r="H460" s="3" t="s">
        <v>662</v>
      </c>
      <c r="I460" s="5">
        <v>3849</v>
      </c>
      <c r="J460" s="3" t="s">
        <v>11</v>
      </c>
      <c r="K460">
        <f>MATCH(A460,Database!$A$2:$A$948,0)</f>
        <v>478</v>
      </c>
      <c r="L460">
        <f>VLOOKUP(A460,Database!$A$2:$I$948,4,0)</f>
        <v>3849</v>
      </c>
      <c r="M460" t="b">
        <f t="shared" ref="M460:M523" si="17">I460=L460</f>
        <v>1</v>
      </c>
      <c r="N460">
        <f>VLOOKUP(A460,Database!$A$2:$I$948,5,0)</f>
        <v>1</v>
      </c>
    </row>
    <row r="461" spans="1:14" hidden="1" x14ac:dyDescent="0.35">
      <c r="A461" s="3">
        <v>103409053</v>
      </c>
      <c r="B461" s="3" t="s">
        <v>663</v>
      </c>
      <c r="C461" s="3" t="str">
        <f t="shared" si="16"/>
        <v>2022-07-06</v>
      </c>
      <c r="D461" s="3" t="s">
        <v>9</v>
      </c>
      <c r="E461" s="3" t="s">
        <v>5</v>
      </c>
      <c r="F461" s="3" t="s">
        <v>10</v>
      </c>
      <c r="G461" s="3" t="s">
        <v>664</v>
      </c>
      <c r="H461" s="3" t="s">
        <v>665</v>
      </c>
      <c r="I461" s="4">
        <v>3149.1</v>
      </c>
      <c r="J461" s="3" t="s">
        <v>11</v>
      </c>
      <c r="K461">
        <f>MATCH(A461,Database!$A$2:$A$948,0)</f>
        <v>477</v>
      </c>
      <c r="L461">
        <f>VLOOKUP(A461,Database!$A$2:$I$948,4,0)</f>
        <v>3149.1</v>
      </c>
      <c r="M461" t="b">
        <f t="shared" si="17"/>
        <v>1</v>
      </c>
      <c r="N461">
        <f>VLOOKUP(A461,Database!$A$2:$I$948,5,0)</f>
        <v>1</v>
      </c>
    </row>
    <row r="462" spans="1:14" hidden="1" x14ac:dyDescent="0.35">
      <c r="A462" s="3">
        <v>103409127</v>
      </c>
      <c r="B462" s="3" t="s">
        <v>666</v>
      </c>
      <c r="C462" s="3" t="str">
        <f t="shared" si="16"/>
        <v>2022-07-06</v>
      </c>
      <c r="D462" s="3" t="s">
        <v>9</v>
      </c>
      <c r="E462" s="3" t="s">
        <v>5</v>
      </c>
      <c r="F462" s="3" t="s">
        <v>10</v>
      </c>
      <c r="G462" s="3" t="s">
        <v>667</v>
      </c>
      <c r="H462" s="3" t="s">
        <v>668</v>
      </c>
      <c r="I462" s="4">
        <v>1343.82</v>
      </c>
      <c r="J462" s="3" t="s">
        <v>11</v>
      </c>
      <c r="K462">
        <f>MATCH(A462,Database!$A$2:$A$948,0)</f>
        <v>498</v>
      </c>
      <c r="L462">
        <f>VLOOKUP(A462,Database!$A$2:$I$948,4,0)</f>
        <v>1343.82</v>
      </c>
      <c r="M462" t="b">
        <f t="shared" si="17"/>
        <v>1</v>
      </c>
      <c r="N462">
        <f>VLOOKUP(A462,Database!$A$2:$I$948,5,0)</f>
        <v>1</v>
      </c>
    </row>
    <row r="463" spans="1:14" hidden="1" x14ac:dyDescent="0.35">
      <c r="A463" s="3">
        <v>103409049</v>
      </c>
      <c r="B463" s="3" t="s">
        <v>669</v>
      </c>
      <c r="C463" s="3" t="str">
        <f t="shared" si="16"/>
        <v>2022-07-06</v>
      </c>
      <c r="D463" s="3" t="s">
        <v>9</v>
      </c>
      <c r="E463" s="3" t="s">
        <v>5</v>
      </c>
      <c r="F463" s="3" t="s">
        <v>10</v>
      </c>
      <c r="G463" s="3" t="s">
        <v>670</v>
      </c>
      <c r="H463" s="3" t="s">
        <v>671</v>
      </c>
      <c r="I463" s="4">
        <v>3324.05</v>
      </c>
      <c r="J463" s="3" t="s">
        <v>11</v>
      </c>
      <c r="K463">
        <f>MATCH(A463,Database!$A$2:$A$948,0)</f>
        <v>476</v>
      </c>
      <c r="L463">
        <f>VLOOKUP(A463,Database!$A$2:$I$948,4,0)</f>
        <v>3324.05</v>
      </c>
      <c r="M463" t="b">
        <f t="shared" si="17"/>
        <v>1</v>
      </c>
      <c r="N463">
        <f>VLOOKUP(A463,Database!$A$2:$I$948,5,0)</f>
        <v>1</v>
      </c>
    </row>
    <row r="464" spans="1:14" hidden="1" x14ac:dyDescent="0.35">
      <c r="A464" s="3">
        <v>103409047</v>
      </c>
      <c r="B464" s="3" t="s">
        <v>672</v>
      </c>
      <c r="C464" s="3" t="str">
        <f t="shared" si="16"/>
        <v>2022-07-06</v>
      </c>
      <c r="D464" s="3" t="s">
        <v>9</v>
      </c>
      <c r="E464" s="3" t="s">
        <v>5</v>
      </c>
      <c r="F464" s="3" t="s">
        <v>10</v>
      </c>
      <c r="G464" s="3" t="s">
        <v>673</v>
      </c>
      <c r="H464" s="3" t="s">
        <v>674</v>
      </c>
      <c r="I464" s="4">
        <v>1682.1</v>
      </c>
      <c r="J464" s="3" t="s">
        <v>11</v>
      </c>
      <c r="K464">
        <f>MATCH(A464,Database!$A$2:$A$948,0)</f>
        <v>475</v>
      </c>
      <c r="L464">
        <f>VLOOKUP(A464,Database!$A$2:$I$948,4,0)</f>
        <v>1682.1</v>
      </c>
      <c r="M464" t="b">
        <f t="shared" si="17"/>
        <v>1</v>
      </c>
      <c r="N464">
        <f>VLOOKUP(A464,Database!$A$2:$I$948,5,0)</f>
        <v>1</v>
      </c>
    </row>
    <row r="465" spans="1:14" hidden="1" x14ac:dyDescent="0.35">
      <c r="A465" s="3">
        <v>103409045</v>
      </c>
      <c r="B465" s="3" t="s">
        <v>675</v>
      </c>
      <c r="C465" s="3" t="str">
        <f t="shared" si="16"/>
        <v>2022-07-06</v>
      </c>
      <c r="D465" s="3" t="s">
        <v>9</v>
      </c>
      <c r="E465" s="3" t="s">
        <v>5</v>
      </c>
      <c r="F465" s="3" t="s">
        <v>12</v>
      </c>
      <c r="G465" s="3" t="s">
        <v>676</v>
      </c>
      <c r="H465" s="3" t="s">
        <v>677</v>
      </c>
      <c r="I465" s="5">
        <v>3899</v>
      </c>
      <c r="J465" s="3" t="s">
        <v>11</v>
      </c>
      <c r="K465">
        <f>MATCH(A465,Database!$A$2:$A$948,0)</f>
        <v>474</v>
      </c>
      <c r="L465">
        <f>VLOOKUP(A465,Database!$A$2:$I$948,4,0)</f>
        <v>3899</v>
      </c>
      <c r="M465" t="b">
        <f t="shared" si="17"/>
        <v>1</v>
      </c>
      <c r="N465">
        <f>VLOOKUP(A465,Database!$A$2:$I$948,5,0)</f>
        <v>1</v>
      </c>
    </row>
    <row r="466" spans="1:14" hidden="1" x14ac:dyDescent="0.35">
      <c r="A466" s="3">
        <v>103409122</v>
      </c>
      <c r="B466" s="3" t="s">
        <v>678</v>
      </c>
      <c r="C466" s="3" t="str">
        <f t="shared" si="16"/>
        <v>2022-07-06</v>
      </c>
      <c r="D466" s="3" t="s">
        <v>9</v>
      </c>
      <c r="E466" s="3" t="s">
        <v>5</v>
      </c>
      <c r="F466" s="3" t="s">
        <v>10</v>
      </c>
      <c r="G466" s="3" t="s">
        <v>679</v>
      </c>
      <c r="H466" s="3" t="s">
        <v>680</v>
      </c>
      <c r="I466" s="4">
        <v>4859.1000000000004</v>
      </c>
      <c r="J466" s="3" t="s">
        <v>11</v>
      </c>
      <c r="K466">
        <f>MATCH(A466,Database!$A$2:$A$948,0)</f>
        <v>497</v>
      </c>
      <c r="L466">
        <f>VLOOKUP(A466,Database!$A$2:$I$948,4,0)</f>
        <v>4859.1000000000004</v>
      </c>
      <c r="M466" t="b">
        <f t="shared" si="17"/>
        <v>1</v>
      </c>
      <c r="N466">
        <f>VLOOKUP(A466,Database!$A$2:$I$948,5,0)</f>
        <v>1</v>
      </c>
    </row>
    <row r="467" spans="1:14" hidden="1" x14ac:dyDescent="0.35">
      <c r="A467" s="3">
        <v>103409121</v>
      </c>
      <c r="B467" s="3" t="s">
        <v>681</v>
      </c>
      <c r="C467" s="3" t="str">
        <f t="shared" si="16"/>
        <v>2022-07-06</v>
      </c>
      <c r="D467" s="3" t="s">
        <v>9</v>
      </c>
      <c r="E467" s="3" t="s">
        <v>5</v>
      </c>
      <c r="F467" s="3" t="s">
        <v>10</v>
      </c>
      <c r="G467" s="3" t="s">
        <v>682</v>
      </c>
      <c r="H467" s="3" t="s">
        <v>683</v>
      </c>
      <c r="I467" s="4">
        <v>1281.55</v>
      </c>
      <c r="J467" s="3" t="s">
        <v>11</v>
      </c>
      <c r="K467">
        <f>MATCH(A467,Database!$A$2:$A$948,0)</f>
        <v>496</v>
      </c>
      <c r="L467">
        <f>VLOOKUP(A467,Database!$A$2:$I$948,4,0)</f>
        <v>1281.55</v>
      </c>
      <c r="M467" t="b">
        <f t="shared" si="17"/>
        <v>1</v>
      </c>
      <c r="N467">
        <f>VLOOKUP(A467,Database!$A$2:$I$948,5,0)</f>
        <v>1</v>
      </c>
    </row>
    <row r="468" spans="1:14" hidden="1" x14ac:dyDescent="0.35">
      <c r="A468" s="3">
        <v>103409119</v>
      </c>
      <c r="B468" s="3" t="s">
        <v>684</v>
      </c>
      <c r="C468" s="3" t="str">
        <f t="shared" si="16"/>
        <v>2022-07-06</v>
      </c>
      <c r="D468" s="3" t="s">
        <v>9</v>
      </c>
      <c r="E468" s="3" t="s">
        <v>5</v>
      </c>
      <c r="F468" s="3" t="s">
        <v>10</v>
      </c>
      <c r="G468" s="3" t="s">
        <v>685</v>
      </c>
      <c r="H468" s="3" t="s">
        <v>686</v>
      </c>
      <c r="I468" s="5">
        <v>5849</v>
      </c>
      <c r="J468" s="3" t="s">
        <v>11</v>
      </c>
      <c r="K468">
        <f>MATCH(A468,Database!$A$2:$A$948,0)</f>
        <v>495</v>
      </c>
      <c r="L468">
        <f>VLOOKUP(A468,Database!$A$2:$I$948,4,0)</f>
        <v>5849</v>
      </c>
      <c r="M468" t="b">
        <f t="shared" si="17"/>
        <v>1</v>
      </c>
      <c r="N468">
        <f>VLOOKUP(A468,Database!$A$2:$I$948,5,0)</f>
        <v>1</v>
      </c>
    </row>
    <row r="469" spans="1:14" hidden="1" x14ac:dyDescent="0.35">
      <c r="A469" s="3">
        <v>103409114</v>
      </c>
      <c r="B469" s="3" t="s">
        <v>687</v>
      </c>
      <c r="C469" s="3" t="str">
        <f t="shared" si="16"/>
        <v>2022-07-06</v>
      </c>
      <c r="D469" s="3" t="s">
        <v>9</v>
      </c>
      <c r="E469" s="3" t="s">
        <v>5</v>
      </c>
      <c r="F469" s="3" t="s">
        <v>10</v>
      </c>
      <c r="G469" s="3" t="s">
        <v>688</v>
      </c>
      <c r="H469" s="3" t="s">
        <v>689</v>
      </c>
      <c r="I469" s="4">
        <v>7061.35</v>
      </c>
      <c r="J469" s="3" t="s">
        <v>11</v>
      </c>
      <c r="K469">
        <f>MATCH(A469,Database!$A$2:$A$948,0)</f>
        <v>494</v>
      </c>
      <c r="L469">
        <f>VLOOKUP(A469,Database!$A$2:$I$948,4,0)</f>
        <v>616.54999999999995</v>
      </c>
      <c r="M469" t="b">
        <f t="shared" si="17"/>
        <v>0</v>
      </c>
      <c r="N469">
        <f>VLOOKUP(A469,Database!$A$2:$I$948,5,0)</f>
        <v>1</v>
      </c>
    </row>
    <row r="470" spans="1:14" hidden="1" x14ac:dyDescent="0.35">
      <c r="A470" s="3">
        <v>103409037</v>
      </c>
      <c r="B470" s="3" t="s">
        <v>690</v>
      </c>
      <c r="C470" s="3" t="str">
        <f t="shared" si="16"/>
        <v>2022-07-06</v>
      </c>
      <c r="D470" s="3" t="s">
        <v>9</v>
      </c>
      <c r="E470" s="3" t="s">
        <v>5</v>
      </c>
      <c r="F470" s="3" t="s">
        <v>12</v>
      </c>
      <c r="G470" s="3" t="s">
        <v>691</v>
      </c>
      <c r="H470" s="3" t="s">
        <v>692</v>
      </c>
      <c r="I470" s="5">
        <v>2749</v>
      </c>
      <c r="J470" s="3" t="s">
        <v>11</v>
      </c>
      <c r="K470">
        <f>MATCH(A470,Database!$A$2:$A$948,0)</f>
        <v>473</v>
      </c>
      <c r="L470">
        <f>VLOOKUP(A470,Database!$A$2:$I$948,4,0)</f>
        <v>2749</v>
      </c>
      <c r="M470" t="b">
        <f t="shared" si="17"/>
        <v>1</v>
      </c>
      <c r="N470">
        <f>VLOOKUP(A470,Database!$A$2:$I$948,5,0)</f>
        <v>1</v>
      </c>
    </row>
    <row r="471" spans="1:14" hidden="1" x14ac:dyDescent="0.35">
      <c r="A471" s="3">
        <v>103409036</v>
      </c>
      <c r="B471" s="3" t="s">
        <v>693</v>
      </c>
      <c r="C471" s="3" t="str">
        <f t="shared" si="16"/>
        <v>2022-07-06</v>
      </c>
      <c r="D471" s="3" t="s">
        <v>9</v>
      </c>
      <c r="E471" s="3" t="s">
        <v>5</v>
      </c>
      <c r="F471" s="3" t="s">
        <v>10</v>
      </c>
      <c r="G471" s="3" t="s">
        <v>694</v>
      </c>
      <c r="H471" s="3" t="s">
        <v>695</v>
      </c>
      <c r="I471" s="4">
        <v>2849.05</v>
      </c>
      <c r="J471" s="3" t="s">
        <v>11</v>
      </c>
      <c r="K471">
        <f>MATCH(A471,Database!$A$2:$A$948,0)</f>
        <v>472</v>
      </c>
      <c r="L471">
        <f>VLOOKUP(A471,Database!$A$2:$I$948,4,0)</f>
        <v>2849.05</v>
      </c>
      <c r="M471" t="b">
        <f t="shared" si="17"/>
        <v>1</v>
      </c>
      <c r="N471">
        <f>VLOOKUP(A471,Database!$A$2:$I$948,5,0)</f>
        <v>1</v>
      </c>
    </row>
    <row r="472" spans="1:14" hidden="1" x14ac:dyDescent="0.35">
      <c r="A472" s="3">
        <v>103409113</v>
      </c>
      <c r="B472" s="3" t="s">
        <v>696</v>
      </c>
      <c r="C472" s="3" t="str">
        <f t="shared" si="16"/>
        <v>2022-07-06</v>
      </c>
      <c r="D472" s="3" t="s">
        <v>9</v>
      </c>
      <c r="E472" s="3" t="s">
        <v>5</v>
      </c>
      <c r="F472" s="3" t="s">
        <v>10</v>
      </c>
      <c r="G472" s="3" t="s">
        <v>697</v>
      </c>
      <c r="H472" s="3" t="s">
        <v>698</v>
      </c>
      <c r="I472" s="4">
        <v>2990.6</v>
      </c>
      <c r="J472" s="3" t="s">
        <v>11</v>
      </c>
      <c r="K472">
        <f>MATCH(A472,Database!$A$2:$A$948,0)</f>
        <v>493</v>
      </c>
      <c r="L472">
        <f>VLOOKUP(A472,Database!$A$2:$I$948,4,0)</f>
        <v>2990.6</v>
      </c>
      <c r="M472" t="b">
        <f t="shared" si="17"/>
        <v>1</v>
      </c>
      <c r="N472">
        <f>VLOOKUP(A472,Database!$A$2:$I$948,5,0)</f>
        <v>2</v>
      </c>
    </row>
    <row r="473" spans="1:14" hidden="1" x14ac:dyDescent="0.35">
      <c r="A473" s="3">
        <v>103409034</v>
      </c>
      <c r="B473" s="3" t="s">
        <v>699</v>
      </c>
      <c r="C473" s="3" t="str">
        <f t="shared" si="16"/>
        <v>2022-07-06</v>
      </c>
      <c r="D473" s="3" t="s">
        <v>9</v>
      </c>
      <c r="E473" s="3" t="s">
        <v>5</v>
      </c>
      <c r="F473" s="3" t="s">
        <v>12</v>
      </c>
      <c r="G473" s="3" t="s">
        <v>700</v>
      </c>
      <c r="H473" s="3" t="s">
        <v>701</v>
      </c>
      <c r="I473" s="3">
        <v>759.05</v>
      </c>
      <c r="J473" s="3" t="s">
        <v>11</v>
      </c>
      <c r="K473">
        <f>MATCH(A473,Database!$A$2:$A$948,0)</f>
        <v>471</v>
      </c>
      <c r="L473">
        <f>VLOOKUP(A473,Database!$A$2:$I$948,4,0)</f>
        <v>759.05</v>
      </c>
      <c r="M473" t="b">
        <f t="shared" si="17"/>
        <v>1</v>
      </c>
      <c r="N473">
        <f>VLOOKUP(A473,Database!$A$2:$I$948,5,0)</f>
        <v>1</v>
      </c>
    </row>
    <row r="474" spans="1:14" hidden="1" x14ac:dyDescent="0.35">
      <c r="A474" s="3">
        <v>103409105</v>
      </c>
      <c r="B474" s="3" t="s">
        <v>702</v>
      </c>
      <c r="C474" s="3" t="str">
        <f t="shared" si="16"/>
        <v>2022-07-06</v>
      </c>
      <c r="D474" s="3" t="s">
        <v>9</v>
      </c>
      <c r="E474" s="3" t="s">
        <v>5</v>
      </c>
      <c r="F474" s="3" t="s">
        <v>10</v>
      </c>
      <c r="G474" s="3" t="s">
        <v>703</v>
      </c>
      <c r="H474" s="3" t="s">
        <v>704</v>
      </c>
      <c r="I474" s="4">
        <v>1851.55</v>
      </c>
      <c r="J474" s="3" t="s">
        <v>11</v>
      </c>
      <c r="K474">
        <f>MATCH(A474,Database!$A$2:$A$948,0)</f>
        <v>492</v>
      </c>
      <c r="L474">
        <f>VLOOKUP(A474,Database!$A$2:$I$948,4,0)</f>
        <v>1851.55</v>
      </c>
      <c r="M474" t="b">
        <f t="shared" si="17"/>
        <v>1</v>
      </c>
      <c r="N474">
        <f>VLOOKUP(A474,Database!$A$2:$I$948,5,0)</f>
        <v>1</v>
      </c>
    </row>
    <row r="475" spans="1:14" hidden="1" x14ac:dyDescent="0.35">
      <c r="A475" s="3">
        <v>103409104</v>
      </c>
      <c r="B475" s="3" t="s">
        <v>705</v>
      </c>
      <c r="C475" s="3" t="str">
        <f t="shared" si="16"/>
        <v>2022-07-06</v>
      </c>
      <c r="D475" s="3" t="s">
        <v>9</v>
      </c>
      <c r="E475" s="3" t="s">
        <v>5</v>
      </c>
      <c r="F475" s="3" t="s">
        <v>10</v>
      </c>
      <c r="G475" s="3" t="s">
        <v>706</v>
      </c>
      <c r="H475" s="3" t="s">
        <v>707</v>
      </c>
      <c r="I475" s="4">
        <v>1310.05</v>
      </c>
      <c r="J475" s="3" t="s">
        <v>11</v>
      </c>
      <c r="K475">
        <f>MATCH(A475,Database!$A$2:$A$948,0)</f>
        <v>491</v>
      </c>
      <c r="L475">
        <f>VLOOKUP(A475,Database!$A$2:$I$948,4,0)</f>
        <v>1310.05</v>
      </c>
      <c r="M475" t="b">
        <f t="shared" si="17"/>
        <v>1</v>
      </c>
      <c r="N475">
        <f>VLOOKUP(A475,Database!$A$2:$I$948,5,0)</f>
        <v>1</v>
      </c>
    </row>
    <row r="476" spans="1:14" hidden="1" x14ac:dyDescent="0.35">
      <c r="A476" s="3">
        <v>103409022</v>
      </c>
      <c r="B476" s="3" t="s">
        <v>708</v>
      </c>
      <c r="C476" s="3" t="str">
        <f t="shared" si="16"/>
        <v>2022-07-06</v>
      </c>
      <c r="D476" s="3" t="s">
        <v>9</v>
      </c>
      <c r="E476" s="3" t="s">
        <v>5</v>
      </c>
      <c r="F476" s="3" t="s">
        <v>10</v>
      </c>
      <c r="G476" s="3" t="s">
        <v>709</v>
      </c>
      <c r="H476" s="3" t="s">
        <v>710</v>
      </c>
      <c r="I476" s="5">
        <v>3566</v>
      </c>
      <c r="J476" s="3" t="s">
        <v>11</v>
      </c>
      <c r="K476">
        <f>MATCH(A476,Database!$A$2:$A$948,0)</f>
        <v>470</v>
      </c>
      <c r="L476">
        <f>VLOOKUP(A476,Database!$A$2:$I$948,4,0)</f>
        <v>3566</v>
      </c>
      <c r="M476" t="b">
        <f t="shared" si="17"/>
        <v>1</v>
      </c>
      <c r="N476">
        <f>VLOOKUP(A476,Database!$A$2:$I$948,5,0)</f>
        <v>4</v>
      </c>
    </row>
    <row r="477" spans="1:14" hidden="1" x14ac:dyDescent="0.35">
      <c r="A477" s="3">
        <v>103409021</v>
      </c>
      <c r="B477" s="3" t="s">
        <v>711</v>
      </c>
      <c r="C477" s="3" t="str">
        <f t="shared" si="16"/>
        <v>2022-07-06</v>
      </c>
      <c r="D477" s="3" t="s">
        <v>9</v>
      </c>
      <c r="E477" s="3" t="s">
        <v>5</v>
      </c>
      <c r="F477" s="3" t="s">
        <v>12</v>
      </c>
      <c r="G477" s="3" t="s">
        <v>712</v>
      </c>
      <c r="H477" s="3" t="s">
        <v>713</v>
      </c>
      <c r="I477" s="3">
        <v>329</v>
      </c>
      <c r="J477" s="3" t="s">
        <v>11</v>
      </c>
      <c r="K477">
        <f>MATCH(A477,Database!$A$2:$A$948,0)</f>
        <v>469</v>
      </c>
      <c r="L477">
        <f>VLOOKUP(A477,Database!$A$2:$I$948,4,0)</f>
        <v>329</v>
      </c>
      <c r="M477" t="b">
        <f t="shared" si="17"/>
        <v>1</v>
      </c>
      <c r="N477">
        <f>VLOOKUP(A477,Database!$A$2:$I$948,5,0)</f>
        <v>1</v>
      </c>
    </row>
    <row r="478" spans="1:14" hidden="1" x14ac:dyDescent="0.35">
      <c r="A478" s="3">
        <v>103409100</v>
      </c>
      <c r="B478" s="3" t="s">
        <v>714</v>
      </c>
      <c r="C478" s="3" t="str">
        <f t="shared" si="16"/>
        <v>2022-07-06</v>
      </c>
      <c r="D478" s="3" t="s">
        <v>9</v>
      </c>
      <c r="E478" s="3" t="s">
        <v>5</v>
      </c>
      <c r="F478" s="3" t="s">
        <v>10</v>
      </c>
      <c r="G478" s="3" t="s">
        <v>715</v>
      </c>
      <c r="H478" s="3" t="s">
        <v>716</v>
      </c>
      <c r="I478" s="5">
        <v>1499</v>
      </c>
      <c r="J478" s="3" t="s">
        <v>11</v>
      </c>
      <c r="K478">
        <f>MATCH(A478,Database!$A$2:$A$948,0)</f>
        <v>490</v>
      </c>
      <c r="L478">
        <f>VLOOKUP(A478,Database!$A$2:$I$948,4,0)</f>
        <v>1499</v>
      </c>
      <c r="M478" t="b">
        <f t="shared" si="17"/>
        <v>1</v>
      </c>
      <c r="N478">
        <f>VLOOKUP(A478,Database!$A$2:$I$948,5,0)</f>
        <v>1</v>
      </c>
    </row>
    <row r="479" spans="1:14" hidden="1" x14ac:dyDescent="0.35">
      <c r="A479" s="3">
        <v>103409020</v>
      </c>
      <c r="B479" s="3" t="s">
        <v>717</v>
      </c>
      <c r="C479" s="3" t="str">
        <f t="shared" si="16"/>
        <v>2022-07-06</v>
      </c>
      <c r="D479" s="3" t="s">
        <v>9</v>
      </c>
      <c r="E479" s="3" t="s">
        <v>5</v>
      </c>
      <c r="F479" s="3" t="s">
        <v>10</v>
      </c>
      <c r="G479" s="3" t="s">
        <v>718</v>
      </c>
      <c r="H479" s="3" t="s">
        <v>719</v>
      </c>
      <c r="I479" s="4">
        <v>2239.2399999999998</v>
      </c>
      <c r="J479" s="3" t="s">
        <v>11</v>
      </c>
      <c r="K479">
        <f>MATCH(A479,Database!$A$2:$A$948,0)</f>
        <v>468</v>
      </c>
      <c r="L479">
        <f>VLOOKUP(A479,Database!$A$2:$I$948,4,0)</f>
        <v>2239.2399999999998</v>
      </c>
      <c r="M479" t="b">
        <f t="shared" si="17"/>
        <v>1</v>
      </c>
      <c r="N479">
        <f>VLOOKUP(A479,Database!$A$2:$I$948,5,0)</f>
        <v>1</v>
      </c>
    </row>
    <row r="480" spans="1:14" hidden="1" x14ac:dyDescent="0.35">
      <c r="A480" s="3">
        <v>103409018</v>
      </c>
      <c r="B480" s="3" t="s">
        <v>720</v>
      </c>
      <c r="C480" s="3" t="str">
        <f t="shared" si="16"/>
        <v>2022-07-06</v>
      </c>
      <c r="D480" s="3" t="s">
        <v>9</v>
      </c>
      <c r="E480" s="3" t="s">
        <v>5</v>
      </c>
      <c r="F480" s="3" t="s">
        <v>10</v>
      </c>
      <c r="G480" s="3" t="s">
        <v>721</v>
      </c>
      <c r="H480" s="3" t="s">
        <v>722</v>
      </c>
      <c r="I480" s="4">
        <v>2469.0500000000002</v>
      </c>
      <c r="J480" s="3" t="s">
        <v>11</v>
      </c>
      <c r="K480">
        <f>MATCH(A480,Database!$A$2:$A$948,0)</f>
        <v>467</v>
      </c>
      <c r="L480">
        <f>VLOOKUP(A480,Database!$A$2:$I$948,4,0)</f>
        <v>2469.0500000000002</v>
      </c>
      <c r="M480" t="b">
        <f t="shared" si="17"/>
        <v>1</v>
      </c>
      <c r="N480">
        <f>VLOOKUP(A480,Database!$A$2:$I$948,5,0)</f>
        <v>1</v>
      </c>
    </row>
    <row r="481" spans="1:14" hidden="1" x14ac:dyDescent="0.35">
      <c r="A481" s="3">
        <v>103409094</v>
      </c>
      <c r="B481" s="3" t="s">
        <v>723</v>
      </c>
      <c r="C481" s="3" t="str">
        <f t="shared" si="16"/>
        <v>2022-07-06</v>
      </c>
      <c r="D481" s="3" t="s">
        <v>9</v>
      </c>
      <c r="E481" s="3" t="s">
        <v>5</v>
      </c>
      <c r="F481" s="3" t="s">
        <v>10</v>
      </c>
      <c r="G481" s="3" t="s">
        <v>724</v>
      </c>
      <c r="H481" s="3" t="s">
        <v>725</v>
      </c>
      <c r="I481" s="3">
        <v>768.55</v>
      </c>
      <c r="J481" s="3" t="s">
        <v>11</v>
      </c>
      <c r="K481">
        <f>MATCH(A481,Database!$A$2:$A$948,0)</f>
        <v>489</v>
      </c>
      <c r="L481">
        <f>VLOOKUP(A481,Database!$A$2:$I$948,4,0)</f>
        <v>768.55</v>
      </c>
      <c r="M481" t="b">
        <f t="shared" si="17"/>
        <v>1</v>
      </c>
      <c r="N481">
        <f>VLOOKUP(A481,Database!$A$2:$I$948,5,0)</f>
        <v>1</v>
      </c>
    </row>
    <row r="482" spans="1:14" hidden="1" x14ac:dyDescent="0.35">
      <c r="A482" s="3">
        <v>103409093</v>
      </c>
      <c r="B482" s="3" t="s">
        <v>726</v>
      </c>
      <c r="C482" s="3" t="str">
        <f t="shared" si="16"/>
        <v>2022-07-06</v>
      </c>
      <c r="D482" s="3" t="s">
        <v>9</v>
      </c>
      <c r="E482" s="3" t="s">
        <v>5</v>
      </c>
      <c r="F482" s="3" t="s">
        <v>10</v>
      </c>
      <c r="G482" s="3" t="s">
        <v>727</v>
      </c>
      <c r="H482" s="3" t="s">
        <v>728</v>
      </c>
      <c r="I482" s="4">
        <v>1329.05</v>
      </c>
      <c r="J482" s="3" t="s">
        <v>11</v>
      </c>
      <c r="K482">
        <f>MATCH(A482,Database!$A$2:$A$948,0)</f>
        <v>488</v>
      </c>
      <c r="L482">
        <f>VLOOKUP(A482,Database!$A$2:$I$948,4,0)</f>
        <v>1329.05</v>
      </c>
      <c r="M482" t="b">
        <f t="shared" si="17"/>
        <v>1</v>
      </c>
      <c r="N482">
        <f>VLOOKUP(A482,Database!$A$2:$I$948,5,0)</f>
        <v>1</v>
      </c>
    </row>
    <row r="483" spans="1:14" hidden="1" x14ac:dyDescent="0.35">
      <c r="A483" s="3">
        <v>103409017</v>
      </c>
      <c r="B483" s="3" t="s">
        <v>729</v>
      </c>
      <c r="C483" s="3" t="str">
        <f t="shared" si="16"/>
        <v>2022-07-06</v>
      </c>
      <c r="D483" s="3" t="s">
        <v>9</v>
      </c>
      <c r="E483" s="3" t="s">
        <v>5</v>
      </c>
      <c r="F483" s="3" t="s">
        <v>12</v>
      </c>
      <c r="G483" s="3" t="s">
        <v>730</v>
      </c>
      <c r="H483" s="3" t="s">
        <v>731</v>
      </c>
      <c r="I483" s="4">
        <v>2278.1</v>
      </c>
      <c r="J483" s="3" t="s">
        <v>11</v>
      </c>
      <c r="K483">
        <f>MATCH(A483,Database!$A$2:$A$948,0)</f>
        <v>466</v>
      </c>
      <c r="L483">
        <f>VLOOKUP(A483,Database!$A$2:$I$948,4,0)</f>
        <v>2278.1</v>
      </c>
      <c r="M483" t="b">
        <f t="shared" si="17"/>
        <v>1</v>
      </c>
      <c r="N483">
        <f>VLOOKUP(A483,Database!$A$2:$I$948,5,0)</f>
        <v>2</v>
      </c>
    </row>
    <row r="484" spans="1:14" hidden="1" x14ac:dyDescent="0.35">
      <c r="A484" s="3">
        <v>103409089</v>
      </c>
      <c r="B484" s="3" t="s">
        <v>732</v>
      </c>
      <c r="C484" s="3" t="str">
        <f t="shared" si="16"/>
        <v>2022-07-06</v>
      </c>
      <c r="D484" s="3" t="s">
        <v>9</v>
      </c>
      <c r="E484" s="3" t="s">
        <v>5</v>
      </c>
      <c r="F484" s="3" t="s">
        <v>10</v>
      </c>
      <c r="G484" s="3" t="s">
        <v>733</v>
      </c>
      <c r="H484" s="3" t="s">
        <v>734</v>
      </c>
      <c r="I484" s="3">
        <v>635.54999999999995</v>
      </c>
      <c r="J484" s="3" t="s">
        <v>11</v>
      </c>
      <c r="K484">
        <f>MATCH(A484,Database!$A$2:$A$948,0)</f>
        <v>487</v>
      </c>
      <c r="L484">
        <f>VLOOKUP(A484,Database!$A$2:$I$948,4,0)</f>
        <v>635.54999999999995</v>
      </c>
      <c r="M484" t="b">
        <f t="shared" si="17"/>
        <v>1</v>
      </c>
      <c r="N484">
        <f>VLOOKUP(A484,Database!$A$2:$I$948,5,0)</f>
        <v>1</v>
      </c>
    </row>
    <row r="485" spans="1:14" hidden="1" x14ac:dyDescent="0.35">
      <c r="A485" s="3">
        <v>103409083</v>
      </c>
      <c r="B485" s="3" t="s">
        <v>735</v>
      </c>
      <c r="C485" s="3" t="str">
        <f t="shared" si="16"/>
        <v>2022-07-06</v>
      </c>
      <c r="D485" s="3" t="s">
        <v>9</v>
      </c>
      <c r="E485" s="3" t="s">
        <v>5</v>
      </c>
      <c r="F485" s="3" t="s">
        <v>10</v>
      </c>
      <c r="G485" s="3" t="s">
        <v>736</v>
      </c>
      <c r="H485" s="3" t="s">
        <v>737</v>
      </c>
      <c r="I485" s="3">
        <v>779</v>
      </c>
      <c r="J485" s="3" t="s">
        <v>11</v>
      </c>
      <c r="K485">
        <f>MATCH(A485,Database!$A$2:$A$948,0)</f>
        <v>486</v>
      </c>
      <c r="L485">
        <f>VLOOKUP(A485,Database!$A$2:$I$948,4,0)</f>
        <v>779</v>
      </c>
      <c r="M485" t="b">
        <f t="shared" si="17"/>
        <v>1</v>
      </c>
      <c r="N485">
        <f>VLOOKUP(A485,Database!$A$2:$I$948,5,0)</f>
        <v>1</v>
      </c>
    </row>
    <row r="486" spans="1:14" hidden="1" x14ac:dyDescent="0.35">
      <c r="A486" s="3">
        <v>103409012</v>
      </c>
      <c r="B486" s="3" t="s">
        <v>738</v>
      </c>
      <c r="C486" s="3" t="str">
        <f t="shared" si="16"/>
        <v>2022-07-06</v>
      </c>
      <c r="D486" s="3" t="s">
        <v>9</v>
      </c>
      <c r="E486" s="3" t="s">
        <v>5</v>
      </c>
      <c r="F486" s="3" t="s">
        <v>10</v>
      </c>
      <c r="G486" s="3" t="s">
        <v>739</v>
      </c>
      <c r="H486" s="3" t="s">
        <v>740</v>
      </c>
      <c r="I486" s="4">
        <v>1079.0999999999999</v>
      </c>
      <c r="J486" s="3" t="s">
        <v>11</v>
      </c>
      <c r="K486" t="e">
        <f>MATCH(A486,Database!$A$2:$A$948,0)</f>
        <v>#N/A</v>
      </c>
      <c r="L486" t="e">
        <f>VLOOKUP(A486,Database!$A$2:$I$948,4,0)</f>
        <v>#N/A</v>
      </c>
      <c r="M486" t="e">
        <f t="shared" si="17"/>
        <v>#N/A</v>
      </c>
      <c r="N486" t="e">
        <f>VLOOKUP(A486,Database!$A$2:$I$948,5,0)</f>
        <v>#N/A</v>
      </c>
    </row>
    <row r="487" spans="1:14" hidden="1" x14ac:dyDescent="0.35">
      <c r="A487" s="3">
        <v>103409009</v>
      </c>
      <c r="B487" s="3" t="s">
        <v>741</v>
      </c>
      <c r="C487" s="3" t="str">
        <f t="shared" si="16"/>
        <v>2022-07-06</v>
      </c>
      <c r="D487" s="3" t="s">
        <v>9</v>
      </c>
      <c r="E487" s="3" t="s">
        <v>5</v>
      </c>
      <c r="F487" s="3" t="s">
        <v>10</v>
      </c>
      <c r="G487" s="3" t="s">
        <v>742</v>
      </c>
      <c r="H487" s="3" t="s">
        <v>743</v>
      </c>
      <c r="I487" s="4">
        <v>2868.05</v>
      </c>
      <c r="J487" s="3" t="s">
        <v>11</v>
      </c>
      <c r="K487">
        <f>MATCH(A487,Database!$A$2:$A$948,0)</f>
        <v>465</v>
      </c>
      <c r="L487">
        <f>VLOOKUP(A487,Database!$A$2:$I$948,4,0)</f>
        <v>2868.05</v>
      </c>
      <c r="M487" t="b">
        <f t="shared" si="17"/>
        <v>1</v>
      </c>
      <c r="N487">
        <f>VLOOKUP(A487,Database!$A$2:$I$948,5,0)</f>
        <v>1</v>
      </c>
    </row>
    <row r="488" spans="1:14" hidden="1" x14ac:dyDescent="0.35">
      <c r="A488" s="3">
        <v>103409074</v>
      </c>
      <c r="B488" s="3" t="s">
        <v>744</v>
      </c>
      <c r="C488" s="3" t="str">
        <f t="shared" si="16"/>
        <v>2022-07-06</v>
      </c>
      <c r="D488" s="3" t="s">
        <v>9</v>
      </c>
      <c r="E488" s="3" t="s">
        <v>5</v>
      </c>
      <c r="F488" s="3" t="s">
        <v>10</v>
      </c>
      <c r="G488" s="3" t="s">
        <v>745</v>
      </c>
      <c r="H488" s="3" t="s">
        <v>746</v>
      </c>
      <c r="I488" s="3">
        <v>699</v>
      </c>
      <c r="J488" s="3" t="s">
        <v>11</v>
      </c>
      <c r="K488">
        <f>MATCH(A488,Database!$A$2:$A$948,0)</f>
        <v>485</v>
      </c>
      <c r="L488">
        <f>VLOOKUP(A488,Database!$A$2:$I$948,4,0)</f>
        <v>699</v>
      </c>
      <c r="M488" t="b">
        <f t="shared" si="17"/>
        <v>1</v>
      </c>
      <c r="N488">
        <f>VLOOKUP(A488,Database!$A$2:$I$948,5,0)</f>
        <v>1</v>
      </c>
    </row>
    <row r="489" spans="1:14" hidden="1" x14ac:dyDescent="0.35">
      <c r="A489" s="3">
        <v>103409003</v>
      </c>
      <c r="B489" s="3" t="s">
        <v>747</v>
      </c>
      <c r="C489" s="3" t="str">
        <f t="shared" si="16"/>
        <v>2022-07-06</v>
      </c>
      <c r="D489" s="3" t="s">
        <v>9</v>
      </c>
      <c r="E489" s="3" t="s">
        <v>5</v>
      </c>
      <c r="F489" s="3" t="s">
        <v>10</v>
      </c>
      <c r="G489" s="3" t="s">
        <v>748</v>
      </c>
      <c r="H489" s="3" t="s">
        <v>749</v>
      </c>
      <c r="I489" s="4">
        <v>1310.05</v>
      </c>
      <c r="J489" s="3" t="s">
        <v>11</v>
      </c>
      <c r="K489">
        <f>MATCH(A489,Database!$A$2:$A$948,0)</f>
        <v>464</v>
      </c>
      <c r="L489">
        <f>VLOOKUP(A489,Database!$A$2:$I$948,4,0)</f>
        <v>1310.05</v>
      </c>
      <c r="M489" t="b">
        <f t="shared" si="17"/>
        <v>1</v>
      </c>
      <c r="N489">
        <f>VLOOKUP(A489,Database!$A$2:$I$948,5,0)</f>
        <v>1</v>
      </c>
    </row>
    <row r="490" spans="1:14" hidden="1" x14ac:dyDescent="0.35">
      <c r="A490" s="3">
        <v>103408996</v>
      </c>
      <c r="B490" s="3" t="s">
        <v>750</v>
      </c>
      <c r="C490" s="3" t="str">
        <f t="shared" si="16"/>
        <v>2022-07-06</v>
      </c>
      <c r="D490" s="3" t="s">
        <v>9</v>
      </c>
      <c r="E490" s="3" t="s">
        <v>5</v>
      </c>
      <c r="F490" s="3" t="s">
        <v>10</v>
      </c>
      <c r="G490" s="3" t="s">
        <v>751</v>
      </c>
      <c r="H490" s="3" t="s">
        <v>752</v>
      </c>
      <c r="I490" s="4">
        <v>2279.0500000000002</v>
      </c>
      <c r="J490" s="3" t="s">
        <v>11</v>
      </c>
      <c r="K490">
        <f>MATCH(A490,Database!$A$2:$A$948,0)</f>
        <v>463</v>
      </c>
      <c r="L490">
        <f>VLOOKUP(A490,Database!$A$2:$I$948,4,0)</f>
        <v>2279.0500000000002</v>
      </c>
      <c r="M490" t="b">
        <f t="shared" si="17"/>
        <v>1</v>
      </c>
      <c r="N490">
        <f>VLOOKUP(A490,Database!$A$2:$I$948,5,0)</f>
        <v>1</v>
      </c>
    </row>
    <row r="491" spans="1:14" hidden="1" x14ac:dyDescent="0.35">
      <c r="A491" s="3">
        <v>103408992</v>
      </c>
      <c r="B491" s="3" t="s">
        <v>753</v>
      </c>
      <c r="C491" s="3" t="str">
        <f t="shared" si="16"/>
        <v>2022-07-06</v>
      </c>
      <c r="D491" s="3" t="s">
        <v>9</v>
      </c>
      <c r="E491" s="3" t="s">
        <v>5</v>
      </c>
      <c r="F491" s="3" t="s">
        <v>10</v>
      </c>
      <c r="G491" s="3" t="s">
        <v>754</v>
      </c>
      <c r="H491" s="3" t="s">
        <v>755</v>
      </c>
      <c r="I491" s="4">
        <v>1698.6</v>
      </c>
      <c r="J491" s="3" t="s">
        <v>11</v>
      </c>
      <c r="K491">
        <f>MATCH(A491,Database!$A$2:$A$948,0)</f>
        <v>462</v>
      </c>
      <c r="L491">
        <f>VLOOKUP(A491,Database!$A$2:$I$948,4,0)</f>
        <v>1698.6</v>
      </c>
      <c r="M491" t="b">
        <f t="shared" si="17"/>
        <v>1</v>
      </c>
      <c r="N491">
        <f>VLOOKUP(A491,Database!$A$2:$I$948,5,0)</f>
        <v>2</v>
      </c>
    </row>
    <row r="492" spans="1:14" hidden="1" x14ac:dyDescent="0.35">
      <c r="A492" s="3">
        <v>103409067</v>
      </c>
      <c r="B492" s="3" t="s">
        <v>756</v>
      </c>
      <c r="C492" s="3" t="str">
        <f t="shared" si="16"/>
        <v>2022-07-06</v>
      </c>
      <c r="D492" s="3" t="s">
        <v>9</v>
      </c>
      <c r="E492" s="3" t="s">
        <v>5</v>
      </c>
      <c r="F492" s="3" t="s">
        <v>10</v>
      </c>
      <c r="G492" s="3" t="s">
        <v>757</v>
      </c>
      <c r="H492" s="3" t="s">
        <v>758</v>
      </c>
      <c r="I492" s="4">
        <v>2041.55</v>
      </c>
      <c r="J492" s="3" t="s">
        <v>11</v>
      </c>
      <c r="K492">
        <f>MATCH(A492,Database!$A$2:$A$948,0)</f>
        <v>484</v>
      </c>
      <c r="L492">
        <f>VLOOKUP(A492,Database!$A$2:$I$948,4,0)</f>
        <v>2041.55</v>
      </c>
      <c r="M492" t="b">
        <f t="shared" si="17"/>
        <v>1</v>
      </c>
      <c r="N492">
        <f>VLOOKUP(A492,Database!$A$2:$I$948,5,0)</f>
        <v>1</v>
      </c>
    </row>
    <row r="493" spans="1:14" hidden="1" x14ac:dyDescent="0.35">
      <c r="A493" s="3">
        <v>103408989</v>
      </c>
      <c r="B493" s="3" t="s">
        <v>759</v>
      </c>
      <c r="C493" s="3" t="str">
        <f t="shared" si="16"/>
        <v>2022-07-06</v>
      </c>
      <c r="D493" s="3" t="s">
        <v>9</v>
      </c>
      <c r="E493" s="3" t="s">
        <v>5</v>
      </c>
      <c r="F493" s="3" t="s">
        <v>12</v>
      </c>
      <c r="G493" s="3" t="s">
        <v>760</v>
      </c>
      <c r="H493" s="3" t="s">
        <v>761</v>
      </c>
      <c r="I493" s="3">
        <v>869</v>
      </c>
      <c r="J493" s="3" t="s">
        <v>11</v>
      </c>
      <c r="K493">
        <f>MATCH(A493,Database!$A$2:$A$948,0)</f>
        <v>461</v>
      </c>
      <c r="L493">
        <f>VLOOKUP(A493,Database!$A$2:$I$948,4,0)</f>
        <v>869</v>
      </c>
      <c r="M493" t="b">
        <f t="shared" si="17"/>
        <v>1</v>
      </c>
      <c r="N493">
        <f>VLOOKUP(A493,Database!$A$2:$I$948,5,0)</f>
        <v>1</v>
      </c>
    </row>
    <row r="494" spans="1:14" hidden="1" x14ac:dyDescent="0.35">
      <c r="A494" s="3">
        <v>103408988</v>
      </c>
      <c r="B494" s="3" t="s">
        <v>762</v>
      </c>
      <c r="C494" s="3" t="str">
        <f t="shared" si="16"/>
        <v>2022-07-06</v>
      </c>
      <c r="D494" s="3" t="s">
        <v>9</v>
      </c>
      <c r="E494" s="3" t="s">
        <v>5</v>
      </c>
      <c r="F494" s="3" t="s">
        <v>10</v>
      </c>
      <c r="G494" s="3" t="s">
        <v>763</v>
      </c>
      <c r="H494" s="3" t="s">
        <v>764</v>
      </c>
      <c r="I494" s="4">
        <v>3590.14</v>
      </c>
      <c r="J494" s="3" t="s">
        <v>11</v>
      </c>
      <c r="K494" t="e">
        <f>MATCH(A494,Database!$A$2:$A$948,0)</f>
        <v>#N/A</v>
      </c>
      <c r="L494" t="e">
        <f>VLOOKUP(A494,Database!$A$2:$I$948,4,0)</f>
        <v>#N/A</v>
      </c>
      <c r="M494" t="e">
        <f t="shared" si="17"/>
        <v>#N/A</v>
      </c>
      <c r="N494" t="e">
        <f>VLOOKUP(A494,Database!$A$2:$I$948,5,0)</f>
        <v>#N/A</v>
      </c>
    </row>
    <row r="495" spans="1:14" hidden="1" x14ac:dyDescent="0.35">
      <c r="A495" s="3">
        <v>103408986</v>
      </c>
      <c r="B495" s="3" t="s">
        <v>765</v>
      </c>
      <c r="C495" s="3" t="str">
        <f t="shared" si="16"/>
        <v>2022-07-06</v>
      </c>
      <c r="D495" s="3" t="s">
        <v>9</v>
      </c>
      <c r="E495" s="3" t="s">
        <v>5</v>
      </c>
      <c r="F495" s="3" t="s">
        <v>10</v>
      </c>
      <c r="G495" s="3" t="s">
        <v>766</v>
      </c>
      <c r="H495" s="3" t="s">
        <v>767</v>
      </c>
      <c r="I495" s="3">
        <v>920.55</v>
      </c>
      <c r="J495" s="3" t="s">
        <v>11</v>
      </c>
      <c r="K495">
        <f>MATCH(A495,Database!$A$2:$A$948,0)</f>
        <v>460</v>
      </c>
      <c r="L495">
        <f>VLOOKUP(A495,Database!$A$2:$I$948,4,0)</f>
        <v>920.55</v>
      </c>
      <c r="M495" t="b">
        <f t="shared" si="17"/>
        <v>1</v>
      </c>
      <c r="N495">
        <f>VLOOKUP(A495,Database!$A$2:$I$948,5,0)</f>
        <v>1</v>
      </c>
    </row>
    <row r="496" spans="1:14" hidden="1" x14ac:dyDescent="0.35">
      <c r="A496" s="3">
        <v>103408985</v>
      </c>
      <c r="B496" s="3" t="s">
        <v>768</v>
      </c>
      <c r="C496" s="3" t="str">
        <f t="shared" si="16"/>
        <v>2022-07-06</v>
      </c>
      <c r="D496" s="3" t="s">
        <v>9</v>
      </c>
      <c r="E496" s="3" t="s">
        <v>5</v>
      </c>
      <c r="F496" s="3" t="s">
        <v>10</v>
      </c>
      <c r="G496" s="3" t="s">
        <v>769</v>
      </c>
      <c r="H496" s="3" t="s">
        <v>770</v>
      </c>
      <c r="I496" s="5">
        <v>1169</v>
      </c>
      <c r="J496" s="3" t="s">
        <v>11</v>
      </c>
      <c r="K496">
        <f>MATCH(A496,Database!$A$2:$A$948,0)</f>
        <v>459</v>
      </c>
      <c r="L496">
        <f>VLOOKUP(A496,Database!$A$2:$I$948,4,0)</f>
        <v>1169</v>
      </c>
      <c r="M496" t="b">
        <f t="shared" si="17"/>
        <v>1</v>
      </c>
      <c r="N496">
        <f>VLOOKUP(A496,Database!$A$2:$I$948,5,0)</f>
        <v>1</v>
      </c>
    </row>
    <row r="497" spans="1:14" hidden="1" x14ac:dyDescent="0.35">
      <c r="A497" s="3">
        <v>103408984</v>
      </c>
      <c r="B497" s="3" t="s">
        <v>771</v>
      </c>
      <c r="C497" s="3" t="str">
        <f t="shared" si="16"/>
        <v>2022-07-06</v>
      </c>
      <c r="D497" s="3" t="s">
        <v>9</v>
      </c>
      <c r="E497" s="3" t="s">
        <v>5</v>
      </c>
      <c r="F497" s="3" t="s">
        <v>10</v>
      </c>
      <c r="G497" s="3" t="s">
        <v>772</v>
      </c>
      <c r="H497" s="3" t="s">
        <v>773</v>
      </c>
      <c r="I497" s="5">
        <v>5599</v>
      </c>
      <c r="J497" s="3" t="s">
        <v>11</v>
      </c>
      <c r="K497">
        <f>MATCH(A497,Database!$A$2:$A$948,0)</f>
        <v>458</v>
      </c>
      <c r="L497">
        <f>VLOOKUP(A497,Database!$A$2:$I$948,4,0)</f>
        <v>5599</v>
      </c>
      <c r="M497" t="b">
        <f t="shared" si="17"/>
        <v>1</v>
      </c>
      <c r="N497">
        <f>VLOOKUP(A497,Database!$A$2:$I$948,5,0)</f>
        <v>1</v>
      </c>
    </row>
    <row r="498" spans="1:14" hidden="1" x14ac:dyDescent="0.35">
      <c r="A498" s="3">
        <v>103409066</v>
      </c>
      <c r="B498" s="3" t="s">
        <v>774</v>
      </c>
      <c r="C498" s="3" t="str">
        <f t="shared" si="16"/>
        <v>2022-07-06</v>
      </c>
      <c r="D498" s="3" t="s">
        <v>9</v>
      </c>
      <c r="E498" s="3" t="s">
        <v>5</v>
      </c>
      <c r="F498" s="3" t="s">
        <v>10</v>
      </c>
      <c r="G498" s="3" t="s">
        <v>775</v>
      </c>
      <c r="H498" s="3" t="s">
        <v>776</v>
      </c>
      <c r="I498" s="3">
        <v>559</v>
      </c>
      <c r="J498" s="3" t="s">
        <v>11</v>
      </c>
      <c r="K498">
        <f>MATCH(A498,Database!$A$2:$A$948,0)</f>
        <v>483</v>
      </c>
      <c r="L498">
        <f>VLOOKUP(A498,Database!$A$2:$I$948,4,0)</f>
        <v>559</v>
      </c>
      <c r="M498" t="b">
        <f t="shared" si="17"/>
        <v>1</v>
      </c>
      <c r="N498">
        <f>VLOOKUP(A498,Database!$A$2:$I$948,5,0)</f>
        <v>1</v>
      </c>
    </row>
    <row r="499" spans="1:14" hidden="1" x14ac:dyDescent="0.35">
      <c r="A499" s="3">
        <v>103408983</v>
      </c>
      <c r="B499" s="3" t="s">
        <v>777</v>
      </c>
      <c r="C499" s="3" t="str">
        <f t="shared" si="16"/>
        <v>2022-07-06</v>
      </c>
      <c r="D499" s="3" t="s">
        <v>9</v>
      </c>
      <c r="E499" s="3" t="s">
        <v>5</v>
      </c>
      <c r="F499" s="3" t="s">
        <v>10</v>
      </c>
      <c r="G499" s="3" t="s">
        <v>778</v>
      </c>
      <c r="H499" s="3" t="s">
        <v>779</v>
      </c>
      <c r="I499" s="5">
        <v>2078</v>
      </c>
      <c r="J499" s="3" t="s">
        <v>11</v>
      </c>
      <c r="K499">
        <f>MATCH(A499,Database!$A$2:$A$948,0)</f>
        <v>457</v>
      </c>
      <c r="L499">
        <f>VLOOKUP(A499,Database!$A$2:$I$948,4,0)</f>
        <v>2078</v>
      </c>
      <c r="M499" t="b">
        <f t="shared" si="17"/>
        <v>1</v>
      </c>
      <c r="N499">
        <f>VLOOKUP(A499,Database!$A$2:$I$948,5,0)</f>
        <v>2</v>
      </c>
    </row>
    <row r="500" spans="1:14" hidden="1" x14ac:dyDescent="0.35">
      <c r="A500" s="3">
        <v>103409065</v>
      </c>
      <c r="B500" s="3" t="s">
        <v>780</v>
      </c>
      <c r="C500" s="3" t="str">
        <f t="shared" si="16"/>
        <v>2022-07-06</v>
      </c>
      <c r="D500" s="3" t="s">
        <v>9</v>
      </c>
      <c r="E500" s="3" t="s">
        <v>5</v>
      </c>
      <c r="F500" s="3" t="s">
        <v>10</v>
      </c>
      <c r="G500" s="3" t="s">
        <v>781</v>
      </c>
      <c r="H500" s="3" t="s">
        <v>782</v>
      </c>
      <c r="I500" s="3">
        <v>969</v>
      </c>
      <c r="J500" s="3" t="s">
        <v>11</v>
      </c>
      <c r="K500">
        <f>MATCH(A500,Database!$A$2:$A$948,0)</f>
        <v>482</v>
      </c>
      <c r="L500">
        <f>VLOOKUP(A500,Database!$A$2:$I$948,4,0)</f>
        <v>969</v>
      </c>
      <c r="M500" t="b">
        <f t="shared" si="17"/>
        <v>1</v>
      </c>
      <c r="N500">
        <f>VLOOKUP(A500,Database!$A$2:$I$948,5,0)</f>
        <v>1</v>
      </c>
    </row>
    <row r="501" spans="1:14" hidden="1" x14ac:dyDescent="0.35">
      <c r="A501" s="3">
        <v>103408981</v>
      </c>
      <c r="B501" s="3" t="s">
        <v>783</v>
      </c>
      <c r="C501" s="3" t="str">
        <f t="shared" si="16"/>
        <v>2022-07-06</v>
      </c>
      <c r="D501" s="3" t="s">
        <v>9</v>
      </c>
      <c r="E501" s="3" t="s">
        <v>5</v>
      </c>
      <c r="F501" s="3" t="s">
        <v>10</v>
      </c>
      <c r="G501" s="3" t="s">
        <v>784</v>
      </c>
      <c r="H501" s="3" t="s">
        <v>785</v>
      </c>
      <c r="I501" s="4">
        <v>3390.55</v>
      </c>
      <c r="J501" s="3" t="s">
        <v>11</v>
      </c>
      <c r="K501">
        <f>MATCH(A501,Database!$A$2:$A$948,0)</f>
        <v>456</v>
      </c>
      <c r="L501">
        <f>VLOOKUP(A501,Database!$A$2:$I$948,4,0)</f>
        <v>3390.55</v>
      </c>
      <c r="M501" t="b">
        <f t="shared" si="17"/>
        <v>1</v>
      </c>
      <c r="N501">
        <f>VLOOKUP(A501,Database!$A$2:$I$948,5,0)</f>
        <v>1</v>
      </c>
    </row>
    <row r="502" spans="1:14" hidden="1" x14ac:dyDescent="0.35">
      <c r="A502" s="3">
        <v>103408963</v>
      </c>
      <c r="B502" s="3" t="s">
        <v>786</v>
      </c>
      <c r="C502" s="3" t="str">
        <f t="shared" si="16"/>
        <v>2022-07-06</v>
      </c>
      <c r="D502" s="3" t="s">
        <v>9</v>
      </c>
      <c r="E502" s="3" t="s">
        <v>5</v>
      </c>
      <c r="F502" s="3" t="s">
        <v>10</v>
      </c>
      <c r="G502" s="3" t="s">
        <v>787</v>
      </c>
      <c r="H502" s="3" t="s">
        <v>788</v>
      </c>
      <c r="I502" s="5">
        <v>1599</v>
      </c>
      <c r="J502" s="3" t="s">
        <v>11</v>
      </c>
      <c r="K502">
        <f>MATCH(A502,Database!$A$2:$A$948,0)</f>
        <v>453</v>
      </c>
      <c r="L502">
        <f>VLOOKUP(A502,Database!$A$2:$I$948,4,0)</f>
        <v>1599</v>
      </c>
      <c r="M502" t="b">
        <f t="shared" si="17"/>
        <v>1</v>
      </c>
      <c r="N502">
        <f>VLOOKUP(A502,Database!$A$2:$I$948,5,0)</f>
        <v>1</v>
      </c>
    </row>
    <row r="503" spans="1:14" hidden="1" x14ac:dyDescent="0.35">
      <c r="A503" s="3">
        <v>103408980</v>
      </c>
      <c r="B503" s="3" t="s">
        <v>789</v>
      </c>
      <c r="C503" s="3" t="str">
        <f t="shared" si="16"/>
        <v>2022-07-06</v>
      </c>
      <c r="D503" s="3" t="s">
        <v>9</v>
      </c>
      <c r="E503" s="3" t="s">
        <v>5</v>
      </c>
      <c r="F503" s="3" t="s">
        <v>10</v>
      </c>
      <c r="G503" s="3" t="s">
        <v>790</v>
      </c>
      <c r="H503" s="3" t="s">
        <v>791</v>
      </c>
      <c r="I503" s="5">
        <v>1869</v>
      </c>
      <c r="J503" s="3" t="s">
        <v>11</v>
      </c>
      <c r="K503">
        <f>MATCH(A503,Database!$A$2:$A$948,0)</f>
        <v>455</v>
      </c>
      <c r="L503">
        <f>VLOOKUP(A503,Database!$A$2:$I$948,4,0)</f>
        <v>1869</v>
      </c>
      <c r="M503" t="b">
        <f t="shared" si="17"/>
        <v>1</v>
      </c>
      <c r="N503">
        <f>VLOOKUP(A503,Database!$A$2:$I$948,5,0)</f>
        <v>1</v>
      </c>
    </row>
    <row r="504" spans="1:14" hidden="1" x14ac:dyDescent="0.35">
      <c r="A504" s="3">
        <v>103408958</v>
      </c>
      <c r="B504" s="3" t="s">
        <v>792</v>
      </c>
      <c r="C504" s="3" t="str">
        <f t="shared" si="16"/>
        <v>2022-07-06</v>
      </c>
      <c r="D504" s="3" t="s">
        <v>9</v>
      </c>
      <c r="E504" s="3" t="s">
        <v>5</v>
      </c>
      <c r="F504" s="3" t="s">
        <v>10</v>
      </c>
      <c r="G504" s="3" t="s">
        <v>793</v>
      </c>
      <c r="H504" s="3" t="s">
        <v>794</v>
      </c>
      <c r="I504" s="4">
        <v>3743.57</v>
      </c>
      <c r="J504" s="3" t="s">
        <v>11</v>
      </c>
      <c r="K504">
        <f>MATCH(A504,Database!$A$2:$A$948,0)</f>
        <v>452</v>
      </c>
      <c r="L504">
        <f>VLOOKUP(A504,Database!$A$2:$I$948,4,0)</f>
        <v>3743.5699999999902</v>
      </c>
      <c r="M504" t="b">
        <f t="shared" si="17"/>
        <v>0</v>
      </c>
      <c r="N504">
        <f>VLOOKUP(A504,Database!$A$2:$I$948,5,0)</f>
        <v>2</v>
      </c>
    </row>
    <row r="505" spans="1:14" hidden="1" x14ac:dyDescent="0.35">
      <c r="A505" s="3">
        <v>103408955</v>
      </c>
      <c r="B505" s="3" t="s">
        <v>795</v>
      </c>
      <c r="C505" s="3" t="str">
        <f t="shared" si="16"/>
        <v>2022-07-06</v>
      </c>
      <c r="D505" s="3" t="s">
        <v>9</v>
      </c>
      <c r="E505" s="3" t="s">
        <v>5</v>
      </c>
      <c r="F505" s="3" t="s">
        <v>10</v>
      </c>
      <c r="G505" s="3" t="s">
        <v>796</v>
      </c>
      <c r="H505" s="3" t="s">
        <v>797</v>
      </c>
      <c r="I505" s="4">
        <v>1186.55</v>
      </c>
      <c r="J505" s="3" t="s">
        <v>11</v>
      </c>
      <c r="K505">
        <f>MATCH(A505,Database!$A$2:$A$948,0)</f>
        <v>451</v>
      </c>
      <c r="L505">
        <f>VLOOKUP(A505,Database!$A$2:$I$948,4,0)</f>
        <v>1186.55</v>
      </c>
      <c r="M505" t="b">
        <f t="shared" si="17"/>
        <v>1</v>
      </c>
      <c r="N505">
        <f>VLOOKUP(A505,Database!$A$2:$I$948,5,0)</f>
        <v>1</v>
      </c>
    </row>
    <row r="506" spans="1:14" hidden="1" x14ac:dyDescent="0.35">
      <c r="A506" s="3">
        <v>103408976</v>
      </c>
      <c r="B506" s="3" t="s">
        <v>798</v>
      </c>
      <c r="C506" s="3" t="str">
        <f t="shared" si="16"/>
        <v>2022-07-06</v>
      </c>
      <c r="D506" s="3" t="s">
        <v>9</v>
      </c>
      <c r="E506" s="3" t="s">
        <v>5</v>
      </c>
      <c r="F506" s="3" t="s">
        <v>12</v>
      </c>
      <c r="G506" s="3" t="s">
        <v>799</v>
      </c>
      <c r="H506" s="3" t="s">
        <v>800</v>
      </c>
      <c r="I506" s="5">
        <v>2919</v>
      </c>
      <c r="J506" s="3" t="s">
        <v>11</v>
      </c>
      <c r="K506">
        <f>MATCH(A506,Database!$A$2:$A$948,0)</f>
        <v>454</v>
      </c>
      <c r="L506">
        <f>VLOOKUP(A506,Database!$A$2:$I$948,4,0)</f>
        <v>2919</v>
      </c>
      <c r="M506" t="b">
        <f t="shared" si="17"/>
        <v>1</v>
      </c>
      <c r="N506">
        <f>VLOOKUP(A506,Database!$A$2:$I$948,5,0)</f>
        <v>1</v>
      </c>
    </row>
    <row r="507" spans="1:14" hidden="1" x14ac:dyDescent="0.35">
      <c r="A507" s="3">
        <v>103408971</v>
      </c>
      <c r="B507" s="3" t="s">
        <v>801</v>
      </c>
      <c r="C507" s="3" t="str">
        <f t="shared" si="16"/>
        <v>2022-07-06</v>
      </c>
      <c r="D507" s="3" t="s">
        <v>9</v>
      </c>
      <c r="E507" s="3" t="s">
        <v>5</v>
      </c>
      <c r="F507" s="3" t="s">
        <v>12</v>
      </c>
      <c r="G507" s="3" t="s">
        <v>802</v>
      </c>
      <c r="H507" s="3" t="s">
        <v>803</v>
      </c>
      <c r="I507" s="4">
        <v>2350.39</v>
      </c>
      <c r="J507" s="3" t="s">
        <v>11</v>
      </c>
      <c r="K507" t="e">
        <f>MATCH(A507,Database!$A$2:$A$948,0)</f>
        <v>#N/A</v>
      </c>
      <c r="L507" t="e">
        <f>VLOOKUP(A507,Database!$A$2:$I$948,4,0)</f>
        <v>#N/A</v>
      </c>
      <c r="M507" t="e">
        <f t="shared" si="17"/>
        <v>#N/A</v>
      </c>
      <c r="N507" t="e">
        <f>VLOOKUP(A507,Database!$A$2:$I$948,5,0)</f>
        <v>#N/A</v>
      </c>
    </row>
    <row r="508" spans="1:14" hidden="1" x14ac:dyDescent="0.35">
      <c r="A508" s="3">
        <v>103408953</v>
      </c>
      <c r="B508" s="3" t="s">
        <v>804</v>
      </c>
      <c r="C508" s="3" t="str">
        <f t="shared" si="16"/>
        <v>2022-07-06</v>
      </c>
      <c r="D508" s="3" t="s">
        <v>9</v>
      </c>
      <c r="E508" s="3" t="s">
        <v>5</v>
      </c>
      <c r="F508" s="3" t="s">
        <v>10</v>
      </c>
      <c r="G508" s="3" t="s">
        <v>718</v>
      </c>
      <c r="H508" s="3" t="s">
        <v>719</v>
      </c>
      <c r="I508" s="4">
        <v>3134.05</v>
      </c>
      <c r="J508" s="3" t="s">
        <v>11</v>
      </c>
      <c r="K508">
        <f>MATCH(A508,Database!$A$2:$A$948,0)</f>
        <v>450</v>
      </c>
      <c r="L508">
        <f>VLOOKUP(A508,Database!$A$2:$I$948,4,0)</f>
        <v>3134.05</v>
      </c>
      <c r="M508" t="b">
        <f t="shared" si="17"/>
        <v>1</v>
      </c>
      <c r="N508">
        <f>VLOOKUP(A508,Database!$A$2:$I$948,5,0)</f>
        <v>1</v>
      </c>
    </row>
    <row r="509" spans="1:14" hidden="1" x14ac:dyDescent="0.35">
      <c r="A509" s="3">
        <v>103408951</v>
      </c>
      <c r="B509" s="3" t="s">
        <v>805</v>
      </c>
      <c r="C509" s="3" t="str">
        <f t="shared" si="16"/>
        <v>2022-07-06</v>
      </c>
      <c r="D509" s="3" t="s">
        <v>9</v>
      </c>
      <c r="E509" s="3" t="s">
        <v>5</v>
      </c>
      <c r="F509" s="3" t="s">
        <v>10</v>
      </c>
      <c r="G509" s="3" t="s">
        <v>806</v>
      </c>
      <c r="H509" s="3" t="s">
        <v>807</v>
      </c>
      <c r="I509" s="5">
        <v>1349</v>
      </c>
      <c r="J509" s="3" t="s">
        <v>11</v>
      </c>
      <c r="K509">
        <f>MATCH(A509,Database!$A$2:$A$948,0)</f>
        <v>449</v>
      </c>
      <c r="L509">
        <f>VLOOKUP(A509,Database!$A$2:$I$948,4,0)</f>
        <v>1349</v>
      </c>
      <c r="M509" t="b">
        <f t="shared" si="17"/>
        <v>1</v>
      </c>
      <c r="N509">
        <f>VLOOKUP(A509,Database!$A$2:$I$948,5,0)</f>
        <v>1</v>
      </c>
    </row>
    <row r="510" spans="1:14" hidden="1" x14ac:dyDescent="0.35">
      <c r="A510" s="3">
        <v>103408944</v>
      </c>
      <c r="B510" s="3" t="s">
        <v>808</v>
      </c>
      <c r="C510" s="3" t="str">
        <f t="shared" si="16"/>
        <v>2022-07-06</v>
      </c>
      <c r="D510" s="3" t="s">
        <v>9</v>
      </c>
      <c r="E510" s="3" t="s">
        <v>5</v>
      </c>
      <c r="F510" s="3" t="s">
        <v>10</v>
      </c>
      <c r="G510" s="3" t="s">
        <v>809</v>
      </c>
      <c r="H510" s="3" t="s">
        <v>810</v>
      </c>
      <c r="I510" s="4">
        <v>1367.05</v>
      </c>
      <c r="J510" s="3" t="s">
        <v>11</v>
      </c>
      <c r="K510">
        <f>MATCH(A510,Database!$A$2:$A$948,0)</f>
        <v>448</v>
      </c>
      <c r="L510">
        <f>VLOOKUP(A510,Database!$A$2:$I$948,4,0)</f>
        <v>1367.05</v>
      </c>
      <c r="M510" t="b">
        <f t="shared" si="17"/>
        <v>1</v>
      </c>
      <c r="N510">
        <f>VLOOKUP(A510,Database!$A$2:$I$948,5,0)</f>
        <v>1</v>
      </c>
    </row>
    <row r="511" spans="1:14" hidden="1" x14ac:dyDescent="0.35">
      <c r="A511" s="3">
        <v>103408862</v>
      </c>
      <c r="B511" s="3" t="s">
        <v>811</v>
      </c>
      <c r="C511" s="3" t="str">
        <f t="shared" si="16"/>
        <v>2022-07-06</v>
      </c>
      <c r="D511" s="3" t="s">
        <v>9</v>
      </c>
      <c r="E511" s="3" t="s">
        <v>5</v>
      </c>
      <c r="F511" s="3" t="s">
        <v>10</v>
      </c>
      <c r="G511" s="3" t="s">
        <v>812</v>
      </c>
      <c r="H511" s="3" t="s">
        <v>813</v>
      </c>
      <c r="I511" s="4">
        <v>2773.05</v>
      </c>
      <c r="J511" s="3" t="s">
        <v>11</v>
      </c>
      <c r="K511">
        <f>MATCH(A511,Database!$A$2:$A$948,0)</f>
        <v>431</v>
      </c>
      <c r="L511">
        <f>VLOOKUP(A511,Database!$A$2:$I$948,4,0)</f>
        <v>2773.05</v>
      </c>
      <c r="M511" t="b">
        <f t="shared" si="17"/>
        <v>1</v>
      </c>
      <c r="N511">
        <f>VLOOKUP(A511,Database!$A$2:$I$948,5,0)</f>
        <v>1</v>
      </c>
    </row>
    <row r="512" spans="1:14" hidden="1" x14ac:dyDescent="0.35">
      <c r="A512" s="3">
        <v>103408942</v>
      </c>
      <c r="B512" s="3" t="s">
        <v>814</v>
      </c>
      <c r="C512" s="3" t="str">
        <f t="shared" si="16"/>
        <v>2022-07-06</v>
      </c>
      <c r="D512" s="3" t="s">
        <v>9</v>
      </c>
      <c r="E512" s="3" t="s">
        <v>5</v>
      </c>
      <c r="F512" s="3" t="s">
        <v>10</v>
      </c>
      <c r="G512" s="3" t="s">
        <v>815</v>
      </c>
      <c r="H512" s="3" t="s">
        <v>816</v>
      </c>
      <c r="I512" s="4">
        <v>1076.44</v>
      </c>
      <c r="J512" s="3" t="s">
        <v>11</v>
      </c>
      <c r="K512">
        <f>MATCH(A512,Database!$A$2:$A$948,0)</f>
        <v>447</v>
      </c>
      <c r="L512">
        <f>VLOOKUP(A512,Database!$A$2:$I$948,4,0)</f>
        <v>1076.44</v>
      </c>
      <c r="M512" t="b">
        <f t="shared" si="17"/>
        <v>1</v>
      </c>
      <c r="N512">
        <f>VLOOKUP(A512,Database!$A$2:$I$948,5,0)</f>
        <v>1</v>
      </c>
    </row>
    <row r="513" spans="1:14" hidden="1" x14ac:dyDescent="0.35">
      <c r="A513" s="3">
        <v>103408857</v>
      </c>
      <c r="B513" s="3" t="s">
        <v>817</v>
      </c>
      <c r="C513" s="3" t="str">
        <f t="shared" si="16"/>
        <v>2022-07-06</v>
      </c>
      <c r="D513" s="3" t="s">
        <v>9</v>
      </c>
      <c r="E513" s="3" t="s">
        <v>5</v>
      </c>
      <c r="F513" s="3" t="s">
        <v>10</v>
      </c>
      <c r="G513" s="3" t="s">
        <v>818</v>
      </c>
      <c r="H513" s="3" t="s">
        <v>819</v>
      </c>
      <c r="I513" s="4">
        <v>1880.14</v>
      </c>
      <c r="J513" s="3" t="s">
        <v>11</v>
      </c>
      <c r="K513">
        <f>MATCH(A513,Database!$A$2:$A$948,0)</f>
        <v>430</v>
      </c>
      <c r="L513">
        <f>VLOOKUP(A513,Database!$A$2:$I$948,4,0)</f>
        <v>1880.14</v>
      </c>
      <c r="M513" t="b">
        <f t="shared" si="17"/>
        <v>1</v>
      </c>
      <c r="N513">
        <f>VLOOKUP(A513,Database!$A$2:$I$948,5,0)</f>
        <v>1</v>
      </c>
    </row>
    <row r="514" spans="1:14" hidden="1" x14ac:dyDescent="0.35">
      <c r="A514" s="3">
        <v>103408855</v>
      </c>
      <c r="B514" s="3" t="s">
        <v>820</v>
      </c>
      <c r="C514" s="3" t="str">
        <f t="shared" si="16"/>
        <v>2022-07-06</v>
      </c>
      <c r="D514" s="3" t="s">
        <v>9</v>
      </c>
      <c r="E514" s="3" t="s">
        <v>5</v>
      </c>
      <c r="F514" s="3" t="s">
        <v>10</v>
      </c>
      <c r="G514" s="3" t="s">
        <v>821</v>
      </c>
      <c r="H514" s="3" t="s">
        <v>822</v>
      </c>
      <c r="I514" s="4">
        <v>1007.19</v>
      </c>
      <c r="J514" s="3" t="s">
        <v>11</v>
      </c>
      <c r="K514">
        <f>MATCH(A514,Database!$A$2:$A$948,0)</f>
        <v>429</v>
      </c>
      <c r="L514">
        <f>VLOOKUP(A514,Database!$A$2:$I$948,4,0)</f>
        <v>1007.19</v>
      </c>
      <c r="M514" t="b">
        <f t="shared" si="17"/>
        <v>1</v>
      </c>
      <c r="N514">
        <f>VLOOKUP(A514,Database!$A$2:$I$948,5,0)</f>
        <v>2</v>
      </c>
    </row>
    <row r="515" spans="1:14" hidden="1" x14ac:dyDescent="0.35">
      <c r="A515" s="3">
        <v>103408851</v>
      </c>
      <c r="B515" s="3" t="s">
        <v>823</v>
      </c>
      <c r="C515" s="3" t="str">
        <f t="shared" ref="C515:C578" si="18">LEFT(B515,FIND("T",B515)-1)</f>
        <v>2022-07-06</v>
      </c>
      <c r="D515" s="3" t="s">
        <v>9</v>
      </c>
      <c r="E515" s="3" t="s">
        <v>5</v>
      </c>
      <c r="F515" s="3" t="s">
        <v>10</v>
      </c>
      <c r="G515" s="3" t="s">
        <v>824</v>
      </c>
      <c r="H515" s="3" t="s">
        <v>825</v>
      </c>
      <c r="I515" s="5">
        <v>1379</v>
      </c>
      <c r="J515" s="3" t="s">
        <v>11</v>
      </c>
      <c r="K515" t="e">
        <f>MATCH(A515,Database!$A$2:$A$948,0)</f>
        <v>#N/A</v>
      </c>
      <c r="L515" t="e">
        <f>VLOOKUP(A515,Database!$A$2:$I$948,4,0)</f>
        <v>#N/A</v>
      </c>
      <c r="M515" t="e">
        <f t="shared" si="17"/>
        <v>#N/A</v>
      </c>
      <c r="N515" t="e">
        <f>VLOOKUP(A515,Database!$A$2:$I$948,5,0)</f>
        <v>#N/A</v>
      </c>
    </row>
    <row r="516" spans="1:14" hidden="1" x14ac:dyDescent="0.35">
      <c r="A516" s="3">
        <v>103408850</v>
      </c>
      <c r="B516" s="3" t="s">
        <v>826</v>
      </c>
      <c r="C516" s="3" t="str">
        <f t="shared" si="18"/>
        <v>2022-07-06</v>
      </c>
      <c r="D516" s="3" t="s">
        <v>9</v>
      </c>
      <c r="E516" s="3" t="s">
        <v>5</v>
      </c>
      <c r="F516" s="3" t="s">
        <v>10</v>
      </c>
      <c r="G516" s="3" t="s">
        <v>827</v>
      </c>
      <c r="H516" s="3" t="s">
        <v>828</v>
      </c>
      <c r="I516" s="4">
        <v>1594.1</v>
      </c>
      <c r="J516" s="3" t="s">
        <v>11</v>
      </c>
      <c r="K516">
        <f>MATCH(A516,Database!$A$2:$A$948,0)</f>
        <v>428</v>
      </c>
      <c r="L516">
        <f>VLOOKUP(A516,Database!$A$2:$I$948,4,0)</f>
        <v>1594.1</v>
      </c>
      <c r="M516" t="b">
        <f t="shared" si="17"/>
        <v>1</v>
      </c>
      <c r="N516">
        <f>VLOOKUP(A516,Database!$A$2:$I$948,5,0)</f>
        <v>2</v>
      </c>
    </row>
    <row r="517" spans="1:14" hidden="1" x14ac:dyDescent="0.35">
      <c r="A517" s="3">
        <v>103408849</v>
      </c>
      <c r="B517" s="3" t="s">
        <v>829</v>
      </c>
      <c r="C517" s="3" t="str">
        <f t="shared" si="18"/>
        <v>2022-07-06</v>
      </c>
      <c r="D517" s="3" t="s">
        <v>9</v>
      </c>
      <c r="E517" s="3" t="s">
        <v>5</v>
      </c>
      <c r="F517" s="3" t="s">
        <v>10</v>
      </c>
      <c r="G517" s="3" t="s">
        <v>830</v>
      </c>
      <c r="H517" s="3" t="s">
        <v>831</v>
      </c>
      <c r="I517" s="4">
        <v>2820.64</v>
      </c>
      <c r="J517" s="3" t="s">
        <v>11</v>
      </c>
      <c r="K517">
        <f>MATCH(A517,Database!$A$2:$A$948,0)</f>
        <v>427</v>
      </c>
      <c r="L517">
        <f>VLOOKUP(A517,Database!$A$2:$I$948,4,0)</f>
        <v>2820.64</v>
      </c>
      <c r="M517" t="b">
        <f t="shared" si="17"/>
        <v>1</v>
      </c>
      <c r="N517">
        <f>VLOOKUP(A517,Database!$A$2:$I$948,5,0)</f>
        <v>1</v>
      </c>
    </row>
    <row r="518" spans="1:14" hidden="1" x14ac:dyDescent="0.35">
      <c r="A518" s="3">
        <v>103408929</v>
      </c>
      <c r="B518" s="3" t="s">
        <v>832</v>
      </c>
      <c r="C518" s="3" t="str">
        <f t="shared" si="18"/>
        <v>2022-07-06</v>
      </c>
      <c r="D518" s="3" t="s">
        <v>9</v>
      </c>
      <c r="E518" s="3" t="s">
        <v>5</v>
      </c>
      <c r="F518" s="3" t="s">
        <v>10</v>
      </c>
      <c r="G518" s="3" t="s">
        <v>833</v>
      </c>
      <c r="H518" s="3" t="s">
        <v>834</v>
      </c>
      <c r="I518" s="4">
        <v>1672.2</v>
      </c>
      <c r="J518" s="3" t="s">
        <v>11</v>
      </c>
      <c r="K518">
        <f>MATCH(A518,Database!$A$2:$A$948,0)</f>
        <v>446</v>
      </c>
      <c r="L518">
        <f>VLOOKUP(A518,Database!$A$2:$I$948,4,0)</f>
        <v>1672.2</v>
      </c>
      <c r="M518" t="b">
        <f t="shared" si="17"/>
        <v>1</v>
      </c>
      <c r="N518">
        <f>VLOOKUP(A518,Database!$A$2:$I$948,5,0)</f>
        <v>2</v>
      </c>
    </row>
    <row r="519" spans="1:14" hidden="1" x14ac:dyDescent="0.35">
      <c r="A519" s="3">
        <v>103408847</v>
      </c>
      <c r="B519" s="3" t="s">
        <v>835</v>
      </c>
      <c r="C519" s="3" t="str">
        <f t="shared" si="18"/>
        <v>2022-07-06</v>
      </c>
      <c r="D519" s="3" t="s">
        <v>9</v>
      </c>
      <c r="E519" s="3" t="s">
        <v>5</v>
      </c>
      <c r="F519" s="3" t="s">
        <v>10</v>
      </c>
      <c r="G519" s="3" t="s">
        <v>836</v>
      </c>
      <c r="H519" s="3" t="s">
        <v>837</v>
      </c>
      <c r="I519" s="4">
        <v>1129.55</v>
      </c>
      <c r="J519" s="3" t="s">
        <v>11</v>
      </c>
      <c r="K519">
        <f>MATCH(A519,Database!$A$2:$A$948,0)</f>
        <v>426</v>
      </c>
      <c r="L519">
        <f>VLOOKUP(A519,Database!$A$2:$I$948,4,0)</f>
        <v>1129.55</v>
      </c>
      <c r="M519" t="b">
        <f t="shared" si="17"/>
        <v>1</v>
      </c>
      <c r="N519">
        <f>VLOOKUP(A519,Database!$A$2:$I$948,5,0)</f>
        <v>1</v>
      </c>
    </row>
    <row r="520" spans="1:14" hidden="1" x14ac:dyDescent="0.35">
      <c r="A520" s="3">
        <v>103408927</v>
      </c>
      <c r="B520" s="3" t="s">
        <v>838</v>
      </c>
      <c r="C520" s="3" t="str">
        <f t="shared" si="18"/>
        <v>2022-07-06</v>
      </c>
      <c r="D520" s="3" t="s">
        <v>9</v>
      </c>
      <c r="E520" s="3" t="s">
        <v>5</v>
      </c>
      <c r="F520" s="3" t="s">
        <v>10</v>
      </c>
      <c r="G520" s="3" t="s">
        <v>839</v>
      </c>
      <c r="H520" s="3" t="s">
        <v>840</v>
      </c>
      <c r="I520" s="4">
        <v>2659.05</v>
      </c>
      <c r="J520" s="3" t="s">
        <v>11</v>
      </c>
      <c r="K520">
        <f>MATCH(A520,Database!$A$2:$A$948,0)</f>
        <v>445</v>
      </c>
      <c r="L520">
        <f>VLOOKUP(A520,Database!$A$2:$I$948,4,0)</f>
        <v>2659.05</v>
      </c>
      <c r="M520" t="b">
        <f t="shared" si="17"/>
        <v>1</v>
      </c>
      <c r="N520">
        <f>VLOOKUP(A520,Database!$A$2:$I$948,5,0)</f>
        <v>1</v>
      </c>
    </row>
    <row r="521" spans="1:14" hidden="1" x14ac:dyDescent="0.35">
      <c r="A521" s="3">
        <v>103408926</v>
      </c>
      <c r="B521" s="3" t="s">
        <v>841</v>
      </c>
      <c r="C521" s="3" t="str">
        <f t="shared" si="18"/>
        <v>2022-07-06</v>
      </c>
      <c r="D521" s="3" t="s">
        <v>9</v>
      </c>
      <c r="E521" s="3" t="s">
        <v>5</v>
      </c>
      <c r="F521" s="3" t="s">
        <v>10</v>
      </c>
      <c r="G521" s="3" t="s">
        <v>842</v>
      </c>
      <c r="H521" s="3" t="s">
        <v>843</v>
      </c>
      <c r="I521" s="4">
        <v>3419.14</v>
      </c>
      <c r="J521" s="3" t="s">
        <v>11</v>
      </c>
      <c r="K521">
        <f>MATCH(A521,Database!$A$2:$A$948,0)</f>
        <v>444</v>
      </c>
      <c r="L521">
        <f>VLOOKUP(A521,Database!$A$2:$I$948,4,0)</f>
        <v>3419.14</v>
      </c>
      <c r="M521" t="b">
        <f t="shared" si="17"/>
        <v>1</v>
      </c>
      <c r="N521">
        <f>VLOOKUP(A521,Database!$A$2:$I$948,5,0)</f>
        <v>1</v>
      </c>
    </row>
    <row r="522" spans="1:14" hidden="1" x14ac:dyDescent="0.35">
      <c r="A522" s="3">
        <v>103408836</v>
      </c>
      <c r="B522" s="3" t="s">
        <v>844</v>
      </c>
      <c r="C522" s="3" t="str">
        <f t="shared" si="18"/>
        <v>2022-07-06</v>
      </c>
      <c r="D522" s="3" t="s">
        <v>9</v>
      </c>
      <c r="E522" s="3" t="s">
        <v>5</v>
      </c>
      <c r="F522" s="3" t="s">
        <v>10</v>
      </c>
      <c r="G522" s="3" t="s">
        <v>845</v>
      </c>
      <c r="H522" s="3" t="s">
        <v>846</v>
      </c>
      <c r="I522" s="4">
        <v>3779.1</v>
      </c>
      <c r="J522" s="3" t="s">
        <v>11</v>
      </c>
      <c r="K522">
        <f>MATCH(A522,Database!$A$2:$A$948,0)</f>
        <v>425</v>
      </c>
      <c r="L522">
        <f>VLOOKUP(A522,Database!$A$2:$I$948,4,0)</f>
        <v>3779.1</v>
      </c>
      <c r="M522" t="b">
        <f t="shared" si="17"/>
        <v>1</v>
      </c>
      <c r="N522">
        <f>VLOOKUP(A522,Database!$A$2:$I$948,5,0)</f>
        <v>1</v>
      </c>
    </row>
    <row r="523" spans="1:14" hidden="1" x14ac:dyDescent="0.35">
      <c r="A523" s="3">
        <v>103408827</v>
      </c>
      <c r="B523" s="3" t="s">
        <v>847</v>
      </c>
      <c r="C523" s="3" t="str">
        <f t="shared" si="18"/>
        <v>2022-07-06</v>
      </c>
      <c r="D523" s="3" t="s">
        <v>9</v>
      </c>
      <c r="E523" s="3" t="s">
        <v>5</v>
      </c>
      <c r="F523" s="3" t="s">
        <v>10</v>
      </c>
      <c r="G523" s="3" t="s">
        <v>848</v>
      </c>
      <c r="H523" s="3" t="s">
        <v>849</v>
      </c>
      <c r="I523" s="5">
        <v>1169</v>
      </c>
      <c r="J523" s="3" t="s">
        <v>11</v>
      </c>
      <c r="K523">
        <f>MATCH(A523,Database!$A$2:$A$948,0)</f>
        <v>424</v>
      </c>
      <c r="L523">
        <f>VLOOKUP(A523,Database!$A$2:$I$948,4,0)</f>
        <v>1169</v>
      </c>
      <c r="M523" t="b">
        <f t="shared" si="17"/>
        <v>1</v>
      </c>
      <c r="N523">
        <f>VLOOKUP(A523,Database!$A$2:$I$948,5,0)</f>
        <v>1</v>
      </c>
    </row>
    <row r="524" spans="1:14" hidden="1" x14ac:dyDescent="0.35">
      <c r="A524" s="3">
        <v>103408919</v>
      </c>
      <c r="B524" s="3" t="s">
        <v>850</v>
      </c>
      <c r="C524" s="3" t="str">
        <f t="shared" si="18"/>
        <v>2022-07-06</v>
      </c>
      <c r="D524" s="3" t="s">
        <v>9</v>
      </c>
      <c r="E524" s="3" t="s">
        <v>5</v>
      </c>
      <c r="F524" s="3" t="s">
        <v>10</v>
      </c>
      <c r="G524" s="3" t="s">
        <v>851</v>
      </c>
      <c r="H524" s="3" t="s">
        <v>852</v>
      </c>
      <c r="I524" s="5">
        <v>2199</v>
      </c>
      <c r="J524" s="3" t="s">
        <v>11</v>
      </c>
      <c r="K524">
        <f>MATCH(A524,Database!$A$2:$A$948,0)</f>
        <v>443</v>
      </c>
      <c r="L524">
        <f>VLOOKUP(A524,Database!$A$2:$I$948,4,0)</f>
        <v>2199</v>
      </c>
      <c r="M524" t="b">
        <f t="shared" ref="M524:M587" si="19">I524=L524</f>
        <v>1</v>
      </c>
      <c r="N524">
        <f>VLOOKUP(A524,Database!$A$2:$I$948,5,0)</f>
        <v>1</v>
      </c>
    </row>
    <row r="525" spans="1:14" hidden="1" x14ac:dyDescent="0.35">
      <c r="A525" s="3">
        <v>103408823</v>
      </c>
      <c r="B525" s="3" t="s">
        <v>853</v>
      </c>
      <c r="C525" s="3" t="str">
        <f t="shared" si="18"/>
        <v>2022-07-06</v>
      </c>
      <c r="D525" s="3" t="s">
        <v>9</v>
      </c>
      <c r="E525" s="3" t="s">
        <v>5</v>
      </c>
      <c r="F525" s="3" t="s">
        <v>10</v>
      </c>
      <c r="G525" s="3" t="s">
        <v>854</v>
      </c>
      <c r="H525" s="3" t="s">
        <v>855</v>
      </c>
      <c r="I525" s="3">
        <v>978</v>
      </c>
      <c r="J525" s="3" t="s">
        <v>11</v>
      </c>
      <c r="K525" t="e">
        <f>MATCH(A525,Database!$A$2:$A$948,0)</f>
        <v>#N/A</v>
      </c>
      <c r="L525" t="e">
        <f>VLOOKUP(A525,Database!$A$2:$I$948,4,0)</f>
        <v>#N/A</v>
      </c>
      <c r="M525" t="e">
        <f t="shared" si="19"/>
        <v>#N/A</v>
      </c>
      <c r="N525" t="e">
        <f>VLOOKUP(A525,Database!$A$2:$I$948,5,0)</f>
        <v>#N/A</v>
      </c>
    </row>
    <row r="526" spans="1:14" hidden="1" x14ac:dyDescent="0.35">
      <c r="A526" s="3">
        <v>103408917</v>
      </c>
      <c r="B526" s="3" t="s">
        <v>856</v>
      </c>
      <c r="C526" s="3" t="str">
        <f t="shared" si="18"/>
        <v>2022-07-06</v>
      </c>
      <c r="D526" s="3" t="s">
        <v>9</v>
      </c>
      <c r="E526" s="3" t="s">
        <v>5</v>
      </c>
      <c r="F526" s="3" t="s">
        <v>10</v>
      </c>
      <c r="G526" s="3" t="s">
        <v>833</v>
      </c>
      <c r="H526" s="3" t="s">
        <v>834</v>
      </c>
      <c r="I526" s="4">
        <v>8278.2000000000007</v>
      </c>
      <c r="J526" s="3" t="s">
        <v>11</v>
      </c>
      <c r="K526">
        <f>MATCH(A526,Database!$A$2:$A$948,0)</f>
        <v>442</v>
      </c>
      <c r="L526">
        <f>VLOOKUP(A526,Database!$A$2:$I$948,4,0)</f>
        <v>8278.2000000000007</v>
      </c>
      <c r="M526" t="b">
        <f t="shared" si="19"/>
        <v>1</v>
      </c>
      <c r="N526">
        <f>VLOOKUP(A526,Database!$A$2:$I$948,5,0)</f>
        <v>2</v>
      </c>
    </row>
    <row r="527" spans="1:14" hidden="1" x14ac:dyDescent="0.35">
      <c r="A527" s="3">
        <v>103408821</v>
      </c>
      <c r="B527" s="3" t="s">
        <v>857</v>
      </c>
      <c r="C527" s="3" t="str">
        <f t="shared" si="18"/>
        <v>2022-07-06</v>
      </c>
      <c r="D527" s="3" t="s">
        <v>9</v>
      </c>
      <c r="E527" s="3" t="s">
        <v>5</v>
      </c>
      <c r="F527" s="3" t="s">
        <v>10</v>
      </c>
      <c r="G527" s="3" t="s">
        <v>858</v>
      </c>
      <c r="H527" s="3" t="s">
        <v>859</v>
      </c>
      <c r="I527" s="4">
        <v>1661.55</v>
      </c>
      <c r="J527" s="3" t="s">
        <v>11</v>
      </c>
      <c r="K527">
        <f>MATCH(A527,Database!$A$2:$A$948,0)</f>
        <v>423</v>
      </c>
      <c r="L527">
        <f>VLOOKUP(A527,Database!$A$2:$I$948,4,0)</f>
        <v>1661.55</v>
      </c>
      <c r="M527" t="b">
        <f t="shared" si="19"/>
        <v>1</v>
      </c>
      <c r="N527">
        <f>VLOOKUP(A527,Database!$A$2:$I$948,5,0)</f>
        <v>1</v>
      </c>
    </row>
    <row r="528" spans="1:14" hidden="1" x14ac:dyDescent="0.35">
      <c r="A528" s="3">
        <v>103408916</v>
      </c>
      <c r="B528" s="3" t="s">
        <v>860</v>
      </c>
      <c r="C528" s="3" t="str">
        <f t="shared" si="18"/>
        <v>2022-07-06</v>
      </c>
      <c r="D528" s="3" t="s">
        <v>9</v>
      </c>
      <c r="E528" s="3" t="s">
        <v>5</v>
      </c>
      <c r="F528" s="3" t="s">
        <v>10</v>
      </c>
      <c r="G528" s="3" t="s">
        <v>861</v>
      </c>
      <c r="H528" s="3" t="s">
        <v>862</v>
      </c>
      <c r="I528" s="4">
        <v>2047.77</v>
      </c>
      <c r="J528" s="3" t="s">
        <v>11</v>
      </c>
      <c r="K528">
        <f>MATCH(A528,Database!$A$2:$A$948,0)</f>
        <v>441</v>
      </c>
      <c r="L528">
        <f>VLOOKUP(A528,Database!$A$2:$I$948,4,0)</f>
        <v>2047.77</v>
      </c>
      <c r="M528" t="b">
        <f t="shared" si="19"/>
        <v>1</v>
      </c>
      <c r="N528">
        <f>VLOOKUP(A528,Database!$A$2:$I$948,5,0)</f>
        <v>1</v>
      </c>
    </row>
    <row r="529" spans="1:14" hidden="1" x14ac:dyDescent="0.35">
      <c r="A529" s="3">
        <v>103408913</v>
      </c>
      <c r="B529" s="3" t="s">
        <v>863</v>
      </c>
      <c r="C529" s="3" t="str">
        <f t="shared" si="18"/>
        <v>2022-07-06</v>
      </c>
      <c r="D529" s="3" t="s">
        <v>9</v>
      </c>
      <c r="E529" s="3" t="s">
        <v>5</v>
      </c>
      <c r="F529" s="3" t="s">
        <v>10</v>
      </c>
      <c r="G529" s="3" t="s">
        <v>864</v>
      </c>
      <c r="H529" s="3" t="s">
        <v>865</v>
      </c>
      <c r="I529" s="5">
        <v>1259</v>
      </c>
      <c r="J529" s="3" t="s">
        <v>11</v>
      </c>
      <c r="K529">
        <f>MATCH(A529,Database!$A$2:$A$948,0)</f>
        <v>440</v>
      </c>
      <c r="L529">
        <f>VLOOKUP(A529,Database!$A$2:$I$948,4,0)</f>
        <v>1259</v>
      </c>
      <c r="M529" t="b">
        <f t="shared" si="19"/>
        <v>1</v>
      </c>
      <c r="N529">
        <f>VLOOKUP(A529,Database!$A$2:$I$948,5,0)</f>
        <v>1</v>
      </c>
    </row>
    <row r="530" spans="1:14" hidden="1" x14ac:dyDescent="0.35">
      <c r="A530" s="3">
        <v>103408816</v>
      </c>
      <c r="B530" s="3" t="s">
        <v>866</v>
      </c>
      <c r="C530" s="3" t="str">
        <f t="shared" si="18"/>
        <v>2022-07-06</v>
      </c>
      <c r="D530" s="3" t="s">
        <v>9</v>
      </c>
      <c r="E530" s="3" t="s">
        <v>5</v>
      </c>
      <c r="F530" s="3" t="s">
        <v>10</v>
      </c>
      <c r="G530" s="3" t="s">
        <v>867</v>
      </c>
      <c r="H530" s="3" t="s">
        <v>868</v>
      </c>
      <c r="I530" s="5">
        <v>1749</v>
      </c>
      <c r="J530" s="3" t="s">
        <v>11</v>
      </c>
      <c r="K530">
        <f>MATCH(A530,Database!$A$2:$A$948,0)</f>
        <v>422</v>
      </c>
      <c r="L530">
        <f>VLOOKUP(A530,Database!$A$2:$I$948,4,0)</f>
        <v>1749</v>
      </c>
      <c r="M530" t="b">
        <f t="shared" si="19"/>
        <v>1</v>
      </c>
      <c r="N530">
        <f>VLOOKUP(A530,Database!$A$2:$I$948,5,0)</f>
        <v>1</v>
      </c>
    </row>
    <row r="531" spans="1:14" hidden="1" x14ac:dyDescent="0.35">
      <c r="A531" s="3">
        <v>103408814</v>
      </c>
      <c r="B531" s="3" t="s">
        <v>869</v>
      </c>
      <c r="C531" s="3" t="str">
        <f t="shared" si="18"/>
        <v>2022-07-06</v>
      </c>
      <c r="D531" s="3" t="s">
        <v>9</v>
      </c>
      <c r="E531" s="3" t="s">
        <v>5</v>
      </c>
      <c r="F531" s="3" t="s">
        <v>10</v>
      </c>
      <c r="G531" s="3" t="s">
        <v>870</v>
      </c>
      <c r="H531" s="3" t="s">
        <v>871</v>
      </c>
      <c r="I531" s="5">
        <v>2269</v>
      </c>
      <c r="J531" s="3" t="s">
        <v>11</v>
      </c>
      <c r="K531">
        <f>MATCH(A531,Database!$A$2:$A$948,0)</f>
        <v>421</v>
      </c>
      <c r="L531">
        <f>VLOOKUP(A531,Database!$A$2:$I$948,4,0)</f>
        <v>2269</v>
      </c>
      <c r="M531" t="b">
        <f t="shared" si="19"/>
        <v>1</v>
      </c>
      <c r="N531">
        <f>VLOOKUP(A531,Database!$A$2:$I$948,5,0)</f>
        <v>1</v>
      </c>
    </row>
    <row r="532" spans="1:14" hidden="1" x14ac:dyDescent="0.35">
      <c r="A532" s="3">
        <v>103408910</v>
      </c>
      <c r="B532" s="3" t="s">
        <v>872</v>
      </c>
      <c r="C532" s="3" t="str">
        <f t="shared" si="18"/>
        <v>2022-07-06</v>
      </c>
      <c r="D532" s="3" t="s">
        <v>9</v>
      </c>
      <c r="E532" s="3" t="s">
        <v>5</v>
      </c>
      <c r="F532" s="3" t="s">
        <v>10</v>
      </c>
      <c r="G532" s="3" t="s">
        <v>873</v>
      </c>
      <c r="H532" s="3" t="s">
        <v>874</v>
      </c>
      <c r="I532" s="4">
        <v>2042.1</v>
      </c>
      <c r="J532" s="3" t="s">
        <v>11</v>
      </c>
      <c r="K532">
        <f>MATCH(A532,Database!$A$2:$A$948,0)</f>
        <v>439</v>
      </c>
      <c r="L532">
        <f>VLOOKUP(A532,Database!$A$2:$I$948,4,0)</f>
        <v>2042.1</v>
      </c>
      <c r="M532" t="b">
        <f t="shared" si="19"/>
        <v>1</v>
      </c>
      <c r="N532">
        <f>VLOOKUP(A532,Database!$A$2:$I$948,5,0)</f>
        <v>1</v>
      </c>
    </row>
    <row r="533" spans="1:14" hidden="1" x14ac:dyDescent="0.35">
      <c r="A533" s="3">
        <v>103408810</v>
      </c>
      <c r="B533" s="3" t="s">
        <v>875</v>
      </c>
      <c r="C533" s="3" t="str">
        <f t="shared" si="18"/>
        <v>2022-07-06</v>
      </c>
      <c r="D533" s="3" t="s">
        <v>9</v>
      </c>
      <c r="E533" s="3" t="s">
        <v>5</v>
      </c>
      <c r="F533" s="3" t="s">
        <v>10</v>
      </c>
      <c r="G533" s="3" t="s">
        <v>876</v>
      </c>
      <c r="H533" s="3" t="s">
        <v>877</v>
      </c>
      <c r="I533" s="4">
        <v>2029.72</v>
      </c>
      <c r="J533" s="3" t="s">
        <v>11</v>
      </c>
      <c r="K533">
        <f>MATCH(A533,Database!$A$2:$A$948,0)</f>
        <v>420</v>
      </c>
      <c r="L533">
        <f>VLOOKUP(A533,Database!$A$2:$I$948,4,0)</f>
        <v>2029.72</v>
      </c>
      <c r="M533" t="b">
        <f t="shared" si="19"/>
        <v>1</v>
      </c>
      <c r="N533">
        <f>VLOOKUP(A533,Database!$A$2:$I$948,5,0)</f>
        <v>1</v>
      </c>
    </row>
    <row r="534" spans="1:14" hidden="1" x14ac:dyDescent="0.35">
      <c r="A534" s="3">
        <v>103408901</v>
      </c>
      <c r="B534" s="3" t="s">
        <v>878</v>
      </c>
      <c r="C534" s="3" t="str">
        <f t="shared" si="18"/>
        <v>2022-07-06</v>
      </c>
      <c r="D534" s="3" t="s">
        <v>9</v>
      </c>
      <c r="E534" s="3" t="s">
        <v>5</v>
      </c>
      <c r="F534" s="3" t="s">
        <v>10</v>
      </c>
      <c r="G534" s="3" t="s">
        <v>879</v>
      </c>
      <c r="H534" s="3" t="s">
        <v>880</v>
      </c>
      <c r="I534" s="4">
        <v>3656.55</v>
      </c>
      <c r="J534" s="3" t="s">
        <v>11</v>
      </c>
      <c r="K534">
        <f>MATCH(A534,Database!$A$2:$A$948,0)</f>
        <v>437</v>
      </c>
      <c r="L534">
        <f>VLOOKUP(A534,Database!$A$2:$I$948,4,0)</f>
        <v>3656.55</v>
      </c>
      <c r="M534" t="b">
        <f t="shared" si="19"/>
        <v>1</v>
      </c>
      <c r="N534">
        <f>VLOOKUP(A534,Database!$A$2:$I$948,5,0)</f>
        <v>1</v>
      </c>
    </row>
    <row r="535" spans="1:14" hidden="1" x14ac:dyDescent="0.35">
      <c r="A535" s="3">
        <v>103408902</v>
      </c>
      <c r="B535" s="3" t="s">
        <v>878</v>
      </c>
      <c r="C535" s="3" t="str">
        <f t="shared" si="18"/>
        <v>2022-07-06</v>
      </c>
      <c r="D535" s="3" t="s">
        <v>9</v>
      </c>
      <c r="E535" s="3" t="s">
        <v>5</v>
      </c>
      <c r="F535" s="3" t="s">
        <v>10</v>
      </c>
      <c r="G535" s="3" t="s">
        <v>881</v>
      </c>
      <c r="H535" s="3" t="s">
        <v>882</v>
      </c>
      <c r="I535" s="3">
        <v>969</v>
      </c>
      <c r="J535" s="3" t="s">
        <v>11</v>
      </c>
      <c r="K535">
        <f>MATCH(A535,Database!$A$2:$A$948,0)</f>
        <v>438</v>
      </c>
      <c r="L535">
        <f>VLOOKUP(A535,Database!$A$2:$I$948,4,0)</f>
        <v>969</v>
      </c>
      <c r="M535" t="b">
        <f t="shared" si="19"/>
        <v>1</v>
      </c>
      <c r="N535">
        <f>VLOOKUP(A535,Database!$A$2:$I$948,5,0)</f>
        <v>1</v>
      </c>
    </row>
    <row r="536" spans="1:14" hidden="1" x14ac:dyDescent="0.35">
      <c r="A536" s="3">
        <v>103408898</v>
      </c>
      <c r="B536" s="3" t="s">
        <v>883</v>
      </c>
      <c r="C536" s="3" t="str">
        <f t="shared" si="18"/>
        <v>2022-07-06</v>
      </c>
      <c r="D536" s="3" t="s">
        <v>9</v>
      </c>
      <c r="E536" s="3" t="s">
        <v>5</v>
      </c>
      <c r="F536" s="3" t="s">
        <v>10</v>
      </c>
      <c r="G536" s="3" t="s">
        <v>884</v>
      </c>
      <c r="H536" s="3" t="s">
        <v>885</v>
      </c>
      <c r="I536" s="4">
        <v>2735.1</v>
      </c>
      <c r="J536" s="3" t="s">
        <v>11</v>
      </c>
      <c r="K536">
        <f>MATCH(A536,Database!$A$2:$A$948,0)</f>
        <v>436</v>
      </c>
      <c r="L536">
        <f>VLOOKUP(A536,Database!$A$2:$I$948,4,0)</f>
        <v>2735.1</v>
      </c>
      <c r="M536" t="b">
        <f t="shared" si="19"/>
        <v>1</v>
      </c>
      <c r="N536">
        <f>VLOOKUP(A536,Database!$A$2:$I$948,5,0)</f>
        <v>1</v>
      </c>
    </row>
    <row r="537" spans="1:14" hidden="1" x14ac:dyDescent="0.35">
      <c r="A537" s="3">
        <v>103408806</v>
      </c>
      <c r="B537" s="3" t="s">
        <v>886</v>
      </c>
      <c r="C537" s="3" t="str">
        <f t="shared" si="18"/>
        <v>2022-07-06</v>
      </c>
      <c r="D537" s="3" t="s">
        <v>9</v>
      </c>
      <c r="E537" s="3" t="s">
        <v>5</v>
      </c>
      <c r="F537" s="3" t="s">
        <v>12</v>
      </c>
      <c r="G537" s="3" t="s">
        <v>887</v>
      </c>
      <c r="H537" s="3" t="s">
        <v>888</v>
      </c>
      <c r="I537" s="5">
        <v>2399</v>
      </c>
      <c r="J537" s="3" t="s">
        <v>11</v>
      </c>
      <c r="K537" t="e">
        <f>MATCH(A537,Database!$A$2:$A$948,0)</f>
        <v>#N/A</v>
      </c>
      <c r="L537" t="e">
        <f>VLOOKUP(A537,Database!$A$2:$I$948,4,0)</f>
        <v>#N/A</v>
      </c>
      <c r="M537" t="e">
        <f t="shared" si="19"/>
        <v>#N/A</v>
      </c>
      <c r="N537" t="e">
        <f>VLOOKUP(A537,Database!$A$2:$I$948,5,0)</f>
        <v>#N/A</v>
      </c>
    </row>
    <row r="538" spans="1:14" hidden="1" x14ac:dyDescent="0.35">
      <c r="A538" s="3">
        <v>103408802</v>
      </c>
      <c r="B538" s="3" t="s">
        <v>889</v>
      </c>
      <c r="C538" s="3" t="str">
        <f t="shared" si="18"/>
        <v>2022-07-06</v>
      </c>
      <c r="D538" s="3" t="s">
        <v>9</v>
      </c>
      <c r="E538" s="3" t="s">
        <v>5</v>
      </c>
      <c r="F538" s="3" t="s">
        <v>10</v>
      </c>
      <c r="G538" s="3" t="s">
        <v>890</v>
      </c>
      <c r="H538" s="3" t="s">
        <v>891</v>
      </c>
      <c r="I538" s="4">
        <v>6839.05</v>
      </c>
      <c r="J538" s="3" t="s">
        <v>11</v>
      </c>
      <c r="K538">
        <f>MATCH(A538,Database!$A$2:$A$948,0)</f>
        <v>419</v>
      </c>
      <c r="L538">
        <f>VLOOKUP(A538,Database!$A$2:$I$948,4,0)</f>
        <v>6839.05</v>
      </c>
      <c r="M538" t="b">
        <f t="shared" si="19"/>
        <v>1</v>
      </c>
      <c r="N538">
        <f>VLOOKUP(A538,Database!$A$2:$I$948,5,0)</f>
        <v>1</v>
      </c>
    </row>
    <row r="539" spans="1:14" hidden="1" x14ac:dyDescent="0.35">
      <c r="A539" s="3">
        <v>103408799</v>
      </c>
      <c r="B539" s="3" t="s">
        <v>892</v>
      </c>
      <c r="C539" s="3" t="str">
        <f t="shared" si="18"/>
        <v>2022-07-06</v>
      </c>
      <c r="D539" s="3" t="s">
        <v>9</v>
      </c>
      <c r="E539" s="3" t="s">
        <v>5</v>
      </c>
      <c r="F539" s="3" t="s">
        <v>10</v>
      </c>
      <c r="G539" s="3" t="s">
        <v>893</v>
      </c>
      <c r="H539" s="3" t="s">
        <v>894</v>
      </c>
      <c r="I539" s="4">
        <v>3779.1</v>
      </c>
      <c r="J539" s="3" t="s">
        <v>11</v>
      </c>
      <c r="K539">
        <f>MATCH(A539,Database!$A$2:$A$948,0)</f>
        <v>418</v>
      </c>
      <c r="L539">
        <f>VLOOKUP(A539,Database!$A$2:$I$948,4,0)</f>
        <v>3779.1</v>
      </c>
      <c r="M539" t="b">
        <f t="shared" si="19"/>
        <v>1</v>
      </c>
      <c r="N539">
        <f>VLOOKUP(A539,Database!$A$2:$I$948,5,0)</f>
        <v>1</v>
      </c>
    </row>
    <row r="540" spans="1:14" hidden="1" x14ac:dyDescent="0.35">
      <c r="A540" s="3">
        <v>103408796</v>
      </c>
      <c r="B540" s="3" t="s">
        <v>895</v>
      </c>
      <c r="C540" s="3" t="str">
        <f t="shared" si="18"/>
        <v>2022-07-06</v>
      </c>
      <c r="D540" s="3" t="s">
        <v>9</v>
      </c>
      <c r="E540" s="3" t="s">
        <v>5</v>
      </c>
      <c r="F540" s="3" t="s">
        <v>10</v>
      </c>
      <c r="G540" s="3" t="s">
        <v>896</v>
      </c>
      <c r="H540" s="3" t="s">
        <v>897</v>
      </c>
      <c r="I540" s="4">
        <v>4034.74</v>
      </c>
      <c r="J540" s="3" t="s">
        <v>11</v>
      </c>
      <c r="K540">
        <f>MATCH(A540,Database!$A$2:$A$948,0)</f>
        <v>417</v>
      </c>
      <c r="L540">
        <f>VLOOKUP(A540,Database!$A$2:$I$948,4,0)</f>
        <v>4034.74</v>
      </c>
      <c r="M540" t="b">
        <f t="shared" si="19"/>
        <v>1</v>
      </c>
      <c r="N540">
        <f>VLOOKUP(A540,Database!$A$2:$I$948,5,0)</f>
        <v>3</v>
      </c>
    </row>
    <row r="541" spans="1:14" hidden="1" x14ac:dyDescent="0.35">
      <c r="A541" s="3">
        <v>103408791</v>
      </c>
      <c r="B541" s="3" t="s">
        <v>898</v>
      </c>
      <c r="C541" s="3" t="str">
        <f t="shared" si="18"/>
        <v>2022-07-06</v>
      </c>
      <c r="D541" s="3" t="s">
        <v>9</v>
      </c>
      <c r="E541" s="3" t="s">
        <v>5</v>
      </c>
      <c r="F541" s="3" t="s">
        <v>10</v>
      </c>
      <c r="G541" s="3" t="s">
        <v>899</v>
      </c>
      <c r="H541" s="3" t="s">
        <v>900</v>
      </c>
      <c r="I541" s="5">
        <v>2019</v>
      </c>
      <c r="J541" s="3" t="s">
        <v>11</v>
      </c>
      <c r="K541">
        <f>MATCH(A541,Database!$A$2:$A$948,0)</f>
        <v>416</v>
      </c>
      <c r="L541">
        <f>VLOOKUP(A541,Database!$A$2:$I$948,4,0)</f>
        <v>2019</v>
      </c>
      <c r="M541" t="b">
        <f t="shared" si="19"/>
        <v>1</v>
      </c>
      <c r="N541">
        <f>VLOOKUP(A541,Database!$A$2:$I$948,5,0)</f>
        <v>1</v>
      </c>
    </row>
    <row r="542" spans="1:14" hidden="1" x14ac:dyDescent="0.35">
      <c r="A542" s="3">
        <v>103408789</v>
      </c>
      <c r="B542" s="3" t="s">
        <v>901</v>
      </c>
      <c r="C542" s="3" t="str">
        <f t="shared" si="18"/>
        <v>2022-07-06</v>
      </c>
      <c r="D542" s="3" t="s">
        <v>9</v>
      </c>
      <c r="E542" s="3" t="s">
        <v>5</v>
      </c>
      <c r="F542" s="3" t="s">
        <v>10</v>
      </c>
      <c r="G542" s="3" t="s">
        <v>902</v>
      </c>
      <c r="H542" s="3" t="s">
        <v>903</v>
      </c>
      <c r="I542" s="5">
        <v>1869</v>
      </c>
      <c r="J542" s="3" t="s">
        <v>11</v>
      </c>
      <c r="K542">
        <f>MATCH(A542,Database!$A$2:$A$948,0)</f>
        <v>415</v>
      </c>
      <c r="L542">
        <f>VLOOKUP(A542,Database!$A$2:$I$948,4,0)</f>
        <v>1869</v>
      </c>
      <c r="M542" t="b">
        <f t="shared" si="19"/>
        <v>1</v>
      </c>
      <c r="N542">
        <f>VLOOKUP(A542,Database!$A$2:$I$948,5,0)</f>
        <v>1</v>
      </c>
    </row>
    <row r="543" spans="1:14" hidden="1" x14ac:dyDescent="0.35">
      <c r="A543" s="3">
        <v>103408785</v>
      </c>
      <c r="B543" s="3" t="s">
        <v>904</v>
      </c>
      <c r="C543" s="3" t="str">
        <f t="shared" si="18"/>
        <v>2022-07-06</v>
      </c>
      <c r="D543" s="3" t="s">
        <v>9</v>
      </c>
      <c r="E543" s="3" t="s">
        <v>5</v>
      </c>
      <c r="F543" s="3" t="s">
        <v>10</v>
      </c>
      <c r="G543" s="3" t="s">
        <v>905</v>
      </c>
      <c r="H543" s="3" t="s">
        <v>906</v>
      </c>
      <c r="I543" s="5">
        <v>1999</v>
      </c>
      <c r="J543" s="3" t="s">
        <v>11</v>
      </c>
      <c r="K543">
        <f>MATCH(A543,Database!$A$2:$A$948,0)</f>
        <v>414</v>
      </c>
      <c r="L543">
        <f>VLOOKUP(A543,Database!$A$2:$I$948,4,0)</f>
        <v>1999</v>
      </c>
      <c r="M543" t="b">
        <f t="shared" si="19"/>
        <v>1</v>
      </c>
      <c r="N543">
        <f>VLOOKUP(A543,Database!$A$2:$I$948,5,0)</f>
        <v>1</v>
      </c>
    </row>
    <row r="544" spans="1:14" hidden="1" x14ac:dyDescent="0.35">
      <c r="A544" s="3">
        <v>103408891</v>
      </c>
      <c r="B544" s="3" t="s">
        <v>907</v>
      </c>
      <c r="C544" s="3" t="str">
        <f t="shared" si="18"/>
        <v>2022-07-06</v>
      </c>
      <c r="D544" s="3" t="s">
        <v>9</v>
      </c>
      <c r="E544" s="3" t="s">
        <v>5</v>
      </c>
      <c r="F544" s="3" t="s">
        <v>10</v>
      </c>
      <c r="G544" s="3" t="s">
        <v>908</v>
      </c>
      <c r="H544" s="3" t="s">
        <v>909</v>
      </c>
      <c r="I544" s="3">
        <v>649</v>
      </c>
      <c r="J544" s="3" t="s">
        <v>11</v>
      </c>
      <c r="K544" t="e">
        <f>MATCH(A544,Database!$A$2:$A$948,0)</f>
        <v>#N/A</v>
      </c>
      <c r="L544" t="e">
        <f>VLOOKUP(A544,Database!$A$2:$I$948,4,0)</f>
        <v>#N/A</v>
      </c>
      <c r="M544" t="e">
        <f t="shared" si="19"/>
        <v>#N/A</v>
      </c>
      <c r="N544" t="e">
        <f>VLOOKUP(A544,Database!$A$2:$I$948,5,0)</f>
        <v>#N/A</v>
      </c>
    </row>
    <row r="545" spans="1:14" hidden="1" x14ac:dyDescent="0.35">
      <c r="A545" s="3">
        <v>103408780</v>
      </c>
      <c r="B545" s="3" t="s">
        <v>910</v>
      </c>
      <c r="C545" s="3" t="str">
        <f t="shared" si="18"/>
        <v>2022-07-06</v>
      </c>
      <c r="D545" s="3" t="s">
        <v>9</v>
      </c>
      <c r="E545" s="3" t="s">
        <v>5</v>
      </c>
      <c r="F545" s="3" t="s">
        <v>10</v>
      </c>
      <c r="G545" s="3" t="s">
        <v>911</v>
      </c>
      <c r="H545" s="3" t="s">
        <v>912</v>
      </c>
      <c r="I545" s="4">
        <v>4329.1499999999996</v>
      </c>
      <c r="J545" s="3" t="s">
        <v>11</v>
      </c>
      <c r="K545">
        <f>MATCH(A545,Database!$A$2:$A$948,0)</f>
        <v>413</v>
      </c>
      <c r="L545">
        <f>VLOOKUP(A545,Database!$A$2:$I$948,4,0)</f>
        <v>4329.1499999999996</v>
      </c>
      <c r="M545" t="b">
        <f t="shared" si="19"/>
        <v>1</v>
      </c>
      <c r="N545">
        <f>VLOOKUP(A545,Database!$A$2:$I$948,5,0)</f>
        <v>3</v>
      </c>
    </row>
    <row r="546" spans="1:14" hidden="1" x14ac:dyDescent="0.35">
      <c r="A546" s="3">
        <v>103408887</v>
      </c>
      <c r="B546" s="3" t="s">
        <v>913</v>
      </c>
      <c r="C546" s="3" t="str">
        <f t="shared" si="18"/>
        <v>2022-07-06</v>
      </c>
      <c r="D546" s="3" t="s">
        <v>9</v>
      </c>
      <c r="E546" s="3" t="s">
        <v>5</v>
      </c>
      <c r="F546" s="3" t="s">
        <v>10</v>
      </c>
      <c r="G546" s="3" t="s">
        <v>914</v>
      </c>
      <c r="H546" s="3" t="s">
        <v>915</v>
      </c>
      <c r="I546" s="5">
        <v>4499</v>
      </c>
      <c r="J546" s="3" t="s">
        <v>11</v>
      </c>
      <c r="K546" t="e">
        <f>MATCH(A546,Database!$A$2:$A$948,0)</f>
        <v>#N/A</v>
      </c>
      <c r="L546" t="e">
        <f>VLOOKUP(A546,Database!$A$2:$I$948,4,0)</f>
        <v>#N/A</v>
      </c>
      <c r="M546" t="e">
        <f t="shared" si="19"/>
        <v>#N/A</v>
      </c>
      <c r="N546" t="e">
        <f>VLOOKUP(A546,Database!$A$2:$I$948,5,0)</f>
        <v>#N/A</v>
      </c>
    </row>
    <row r="547" spans="1:14" hidden="1" x14ac:dyDescent="0.35">
      <c r="A547" s="3">
        <v>103408886</v>
      </c>
      <c r="B547" s="3" t="s">
        <v>916</v>
      </c>
      <c r="C547" s="3" t="str">
        <f t="shared" si="18"/>
        <v>2022-07-06</v>
      </c>
      <c r="D547" s="3" t="s">
        <v>9</v>
      </c>
      <c r="E547" s="3" t="s">
        <v>5</v>
      </c>
      <c r="F547" s="3" t="s">
        <v>10</v>
      </c>
      <c r="G547" s="3" t="s">
        <v>917</v>
      </c>
      <c r="H547" s="3" t="s">
        <v>918</v>
      </c>
      <c r="I547" s="4">
        <v>1139.05</v>
      </c>
      <c r="J547" s="3" t="s">
        <v>11</v>
      </c>
      <c r="K547" t="e">
        <f>MATCH(A547,Database!$A$2:$A$948,0)</f>
        <v>#N/A</v>
      </c>
      <c r="L547" t="e">
        <f>VLOOKUP(A547,Database!$A$2:$I$948,4,0)</f>
        <v>#N/A</v>
      </c>
      <c r="M547" t="e">
        <f t="shared" si="19"/>
        <v>#N/A</v>
      </c>
      <c r="N547" t="e">
        <f>VLOOKUP(A547,Database!$A$2:$I$948,5,0)</f>
        <v>#N/A</v>
      </c>
    </row>
    <row r="548" spans="1:14" hidden="1" x14ac:dyDescent="0.35">
      <c r="A548" s="3">
        <v>103408778</v>
      </c>
      <c r="B548" s="3" t="s">
        <v>919</v>
      </c>
      <c r="C548" s="3" t="str">
        <f t="shared" si="18"/>
        <v>2022-07-06</v>
      </c>
      <c r="D548" s="3" t="s">
        <v>9</v>
      </c>
      <c r="E548" s="3" t="s">
        <v>5</v>
      </c>
      <c r="F548" s="3" t="s">
        <v>10</v>
      </c>
      <c r="G548" s="3" t="s">
        <v>920</v>
      </c>
      <c r="H548" s="3" t="s">
        <v>921</v>
      </c>
      <c r="I548" s="3">
        <v>709</v>
      </c>
      <c r="J548" s="3" t="s">
        <v>11</v>
      </c>
      <c r="K548">
        <f>MATCH(A548,Database!$A$2:$A$948,0)</f>
        <v>412</v>
      </c>
      <c r="L548">
        <f>VLOOKUP(A548,Database!$A$2:$I$948,4,0)</f>
        <v>709</v>
      </c>
      <c r="M548" t="b">
        <f t="shared" si="19"/>
        <v>1</v>
      </c>
      <c r="N548">
        <f>VLOOKUP(A548,Database!$A$2:$I$948,5,0)</f>
        <v>1</v>
      </c>
    </row>
    <row r="549" spans="1:14" hidden="1" x14ac:dyDescent="0.35">
      <c r="A549" s="3">
        <v>103408776</v>
      </c>
      <c r="B549" s="3" t="s">
        <v>922</v>
      </c>
      <c r="C549" s="3" t="str">
        <f t="shared" si="18"/>
        <v>2022-07-06</v>
      </c>
      <c r="D549" s="3" t="s">
        <v>9</v>
      </c>
      <c r="E549" s="3" t="s">
        <v>5</v>
      </c>
      <c r="F549" s="3" t="s">
        <v>10</v>
      </c>
      <c r="G549" s="3" t="s">
        <v>923</v>
      </c>
      <c r="H549" s="3" t="s">
        <v>924</v>
      </c>
      <c r="I549" s="4">
        <v>2834.1</v>
      </c>
      <c r="J549" s="3" t="s">
        <v>11</v>
      </c>
      <c r="K549">
        <f>MATCH(A549,Database!$A$2:$A$948,0)</f>
        <v>411</v>
      </c>
      <c r="L549">
        <f>VLOOKUP(A549,Database!$A$2:$I$948,4,0)</f>
        <v>2834.1</v>
      </c>
      <c r="M549" t="b">
        <f t="shared" si="19"/>
        <v>1</v>
      </c>
      <c r="N549">
        <f>VLOOKUP(A549,Database!$A$2:$I$948,5,0)</f>
        <v>1</v>
      </c>
    </row>
    <row r="550" spans="1:14" hidden="1" x14ac:dyDescent="0.35">
      <c r="A550" s="3">
        <v>103408883</v>
      </c>
      <c r="B550" s="3" t="s">
        <v>925</v>
      </c>
      <c r="C550" s="3" t="str">
        <f t="shared" si="18"/>
        <v>2022-07-06</v>
      </c>
      <c r="D550" s="3" t="s">
        <v>9</v>
      </c>
      <c r="E550" s="3" t="s">
        <v>5</v>
      </c>
      <c r="F550" s="3" t="s">
        <v>10</v>
      </c>
      <c r="G550" s="3" t="s">
        <v>926</v>
      </c>
      <c r="H550" s="3" t="s">
        <v>927</v>
      </c>
      <c r="I550" s="5">
        <v>4499</v>
      </c>
      <c r="J550" s="3" t="s">
        <v>11</v>
      </c>
      <c r="K550">
        <f>MATCH(A550,Database!$A$2:$A$948,0)</f>
        <v>435</v>
      </c>
      <c r="L550">
        <f>VLOOKUP(A550,Database!$A$2:$I$948,4,0)</f>
        <v>4499</v>
      </c>
      <c r="M550" t="b">
        <f t="shared" si="19"/>
        <v>1</v>
      </c>
      <c r="N550">
        <f>VLOOKUP(A550,Database!$A$2:$I$948,5,0)</f>
        <v>1</v>
      </c>
    </row>
    <row r="551" spans="1:14" hidden="1" x14ac:dyDescent="0.35">
      <c r="A551" s="3">
        <v>103408878</v>
      </c>
      <c r="B551" s="3" t="s">
        <v>928</v>
      </c>
      <c r="C551" s="3" t="str">
        <f t="shared" si="18"/>
        <v>2022-07-06</v>
      </c>
      <c r="D551" s="3" t="s">
        <v>9</v>
      </c>
      <c r="E551" s="3" t="s">
        <v>5</v>
      </c>
      <c r="F551" s="3" t="s">
        <v>10</v>
      </c>
      <c r="G551" s="3" t="s">
        <v>929</v>
      </c>
      <c r="H551" s="3" t="s">
        <v>930</v>
      </c>
      <c r="I551" s="4">
        <v>2659.05</v>
      </c>
      <c r="J551" s="3" t="s">
        <v>11</v>
      </c>
      <c r="K551">
        <f>MATCH(A551,Database!$A$2:$A$948,0)</f>
        <v>434</v>
      </c>
      <c r="L551">
        <f>VLOOKUP(A551,Database!$A$2:$I$948,4,0)</f>
        <v>2659.05</v>
      </c>
      <c r="M551" t="b">
        <f t="shared" si="19"/>
        <v>1</v>
      </c>
      <c r="N551">
        <f>VLOOKUP(A551,Database!$A$2:$I$948,5,0)</f>
        <v>1</v>
      </c>
    </row>
    <row r="552" spans="1:14" hidden="1" x14ac:dyDescent="0.35">
      <c r="A552" s="3">
        <v>103408873</v>
      </c>
      <c r="B552" s="3" t="s">
        <v>931</v>
      </c>
      <c r="C552" s="3" t="str">
        <f t="shared" si="18"/>
        <v>2022-07-06</v>
      </c>
      <c r="D552" s="3" t="s">
        <v>9</v>
      </c>
      <c r="E552" s="3" t="s">
        <v>5</v>
      </c>
      <c r="F552" s="3" t="s">
        <v>10</v>
      </c>
      <c r="G552" s="3" t="s">
        <v>932</v>
      </c>
      <c r="H552" s="3" t="s">
        <v>933</v>
      </c>
      <c r="I552" s="4">
        <v>5604.14</v>
      </c>
      <c r="J552" s="3" t="s">
        <v>11</v>
      </c>
      <c r="K552" t="e">
        <f>MATCH(A552,Database!$A$2:$A$948,0)</f>
        <v>#N/A</v>
      </c>
      <c r="L552" t="e">
        <f>VLOOKUP(A552,Database!$A$2:$I$948,4,0)</f>
        <v>#N/A</v>
      </c>
      <c r="M552" t="e">
        <f t="shared" si="19"/>
        <v>#N/A</v>
      </c>
      <c r="N552" t="e">
        <f>VLOOKUP(A552,Database!$A$2:$I$948,5,0)</f>
        <v>#N/A</v>
      </c>
    </row>
    <row r="553" spans="1:14" hidden="1" x14ac:dyDescent="0.35">
      <c r="A553" s="3">
        <v>103408870</v>
      </c>
      <c r="B553" s="3" t="s">
        <v>934</v>
      </c>
      <c r="C553" s="3" t="str">
        <f t="shared" si="18"/>
        <v>2022-07-06</v>
      </c>
      <c r="D553" s="3" t="s">
        <v>9</v>
      </c>
      <c r="E553" s="3" t="s">
        <v>5</v>
      </c>
      <c r="F553" s="3" t="s">
        <v>10</v>
      </c>
      <c r="G553" s="3" t="s">
        <v>935</v>
      </c>
      <c r="H553" s="3" t="s">
        <v>936</v>
      </c>
      <c r="I553" s="4">
        <v>7864.29</v>
      </c>
      <c r="J553" s="3" t="s">
        <v>11</v>
      </c>
      <c r="K553" t="e">
        <f>MATCH(A553,Database!$A$2:$A$948,0)</f>
        <v>#N/A</v>
      </c>
      <c r="L553" t="e">
        <f>VLOOKUP(A553,Database!$A$2:$I$948,4,0)</f>
        <v>#N/A</v>
      </c>
      <c r="M553" t="e">
        <f t="shared" si="19"/>
        <v>#N/A</v>
      </c>
      <c r="N553" t="e">
        <f>VLOOKUP(A553,Database!$A$2:$I$948,5,0)</f>
        <v>#N/A</v>
      </c>
    </row>
    <row r="554" spans="1:14" hidden="1" x14ac:dyDescent="0.35">
      <c r="A554" s="3">
        <v>103408768</v>
      </c>
      <c r="B554" s="3" t="s">
        <v>937</v>
      </c>
      <c r="C554" s="3" t="str">
        <f t="shared" si="18"/>
        <v>2022-07-06</v>
      </c>
      <c r="D554" s="3" t="s">
        <v>9</v>
      </c>
      <c r="E554" s="3" t="s">
        <v>5</v>
      </c>
      <c r="F554" s="3" t="s">
        <v>10</v>
      </c>
      <c r="G554" s="3" t="s">
        <v>938</v>
      </c>
      <c r="H554" s="3" t="s">
        <v>939</v>
      </c>
      <c r="I554" s="4">
        <v>1063.05</v>
      </c>
      <c r="J554" s="3" t="s">
        <v>11</v>
      </c>
      <c r="K554">
        <f>MATCH(A554,Database!$A$2:$A$948,0)</f>
        <v>410</v>
      </c>
      <c r="L554">
        <f>VLOOKUP(A554,Database!$A$2:$I$948,4,0)</f>
        <v>1063.05</v>
      </c>
      <c r="M554" t="b">
        <f t="shared" si="19"/>
        <v>1</v>
      </c>
      <c r="N554">
        <f>VLOOKUP(A554,Database!$A$2:$I$948,5,0)</f>
        <v>1</v>
      </c>
    </row>
    <row r="555" spans="1:14" hidden="1" x14ac:dyDescent="0.35">
      <c r="A555" s="3">
        <v>103408867</v>
      </c>
      <c r="B555" s="3" t="s">
        <v>940</v>
      </c>
      <c r="C555" s="3" t="str">
        <f t="shared" si="18"/>
        <v>2022-07-06</v>
      </c>
      <c r="D555" s="3" t="s">
        <v>9</v>
      </c>
      <c r="E555" s="3" t="s">
        <v>5</v>
      </c>
      <c r="F555" s="3" t="s">
        <v>12</v>
      </c>
      <c r="G555" s="3" t="s">
        <v>941</v>
      </c>
      <c r="H555" s="3" t="s">
        <v>942</v>
      </c>
      <c r="I555" s="4">
        <v>2611.5500000000002</v>
      </c>
      <c r="J555" s="3" t="s">
        <v>11</v>
      </c>
      <c r="K555">
        <f>MATCH(A555,Database!$A$2:$A$948,0)</f>
        <v>433</v>
      </c>
      <c r="L555">
        <f>VLOOKUP(A555,Database!$A$2:$I$948,4,0)</f>
        <v>2611.5500000000002</v>
      </c>
      <c r="M555" t="b">
        <f t="shared" si="19"/>
        <v>1</v>
      </c>
      <c r="N555">
        <f>VLOOKUP(A555,Database!$A$2:$I$948,5,0)</f>
        <v>1</v>
      </c>
    </row>
    <row r="556" spans="1:14" hidden="1" x14ac:dyDescent="0.35">
      <c r="A556" s="3">
        <v>103408865</v>
      </c>
      <c r="B556" s="3" t="s">
        <v>943</v>
      </c>
      <c r="C556" s="3" t="str">
        <f t="shared" si="18"/>
        <v>2022-07-06</v>
      </c>
      <c r="D556" s="3" t="s">
        <v>9</v>
      </c>
      <c r="E556" s="3" t="s">
        <v>5</v>
      </c>
      <c r="F556" s="3" t="s">
        <v>10</v>
      </c>
      <c r="G556" s="3" t="s">
        <v>944</v>
      </c>
      <c r="H556" s="3" t="s">
        <v>945</v>
      </c>
      <c r="I556" s="4">
        <v>5230.03</v>
      </c>
      <c r="J556" s="3" t="s">
        <v>11</v>
      </c>
      <c r="K556">
        <f>MATCH(A556,Database!$A$2:$A$948,0)</f>
        <v>432</v>
      </c>
      <c r="L556">
        <f>VLOOKUP(A556,Database!$A$2:$I$948,4,0)</f>
        <v>5230.03</v>
      </c>
      <c r="M556" t="b">
        <f t="shared" si="19"/>
        <v>1</v>
      </c>
      <c r="N556">
        <f>VLOOKUP(A556,Database!$A$2:$I$948,5,0)</f>
        <v>3</v>
      </c>
    </row>
    <row r="557" spans="1:14" hidden="1" x14ac:dyDescent="0.35">
      <c r="A557" s="3">
        <v>103408767</v>
      </c>
      <c r="B557" s="3" t="s">
        <v>946</v>
      </c>
      <c r="C557" s="3" t="str">
        <f t="shared" si="18"/>
        <v>2022-07-06</v>
      </c>
      <c r="D557" s="3" t="s">
        <v>9</v>
      </c>
      <c r="E557" s="3" t="s">
        <v>5</v>
      </c>
      <c r="F557" s="3" t="s">
        <v>10</v>
      </c>
      <c r="G557" s="3" t="s">
        <v>947</v>
      </c>
      <c r="H557" s="3" t="s">
        <v>948</v>
      </c>
      <c r="I557" s="3">
        <v>849</v>
      </c>
      <c r="J557" s="3" t="s">
        <v>11</v>
      </c>
      <c r="K557">
        <f>MATCH(A557,Database!$A$2:$A$948,0)</f>
        <v>409</v>
      </c>
      <c r="L557">
        <f>VLOOKUP(A557,Database!$A$2:$I$948,4,0)</f>
        <v>849</v>
      </c>
      <c r="M557" t="b">
        <f t="shared" si="19"/>
        <v>1</v>
      </c>
      <c r="N557">
        <f>VLOOKUP(A557,Database!$A$2:$I$948,5,0)</f>
        <v>1</v>
      </c>
    </row>
    <row r="558" spans="1:14" hidden="1" x14ac:dyDescent="0.35">
      <c r="A558" s="3">
        <v>103408761</v>
      </c>
      <c r="B558" s="3" t="s">
        <v>949</v>
      </c>
      <c r="C558" s="3" t="str">
        <f t="shared" si="18"/>
        <v>2022-07-06</v>
      </c>
      <c r="D558" s="3" t="s">
        <v>9</v>
      </c>
      <c r="E558" s="3" t="s">
        <v>5</v>
      </c>
      <c r="F558" s="3" t="s">
        <v>10</v>
      </c>
      <c r="G558" s="3" t="s">
        <v>950</v>
      </c>
      <c r="H558" s="3" t="s">
        <v>951</v>
      </c>
      <c r="I558" s="4">
        <v>3134.05</v>
      </c>
      <c r="J558" s="3" t="s">
        <v>11</v>
      </c>
      <c r="K558">
        <f>MATCH(A558,Database!$A$2:$A$948,0)</f>
        <v>408</v>
      </c>
      <c r="L558">
        <f>VLOOKUP(A558,Database!$A$2:$I$948,4,0)</f>
        <v>3134.05</v>
      </c>
      <c r="M558" t="b">
        <f t="shared" si="19"/>
        <v>1</v>
      </c>
      <c r="N558">
        <f>VLOOKUP(A558,Database!$A$2:$I$948,5,0)</f>
        <v>1</v>
      </c>
    </row>
    <row r="559" spans="1:14" hidden="1" x14ac:dyDescent="0.35">
      <c r="A559" s="3">
        <v>103408757</v>
      </c>
      <c r="B559" s="3" t="s">
        <v>952</v>
      </c>
      <c r="C559" s="3" t="str">
        <f t="shared" si="18"/>
        <v>2022-07-06</v>
      </c>
      <c r="D559" s="3" t="s">
        <v>9</v>
      </c>
      <c r="E559" s="3" t="s">
        <v>5</v>
      </c>
      <c r="F559" s="3" t="s">
        <v>12</v>
      </c>
      <c r="G559" s="3" t="s">
        <v>953</v>
      </c>
      <c r="H559" s="3" t="s">
        <v>954</v>
      </c>
      <c r="I559" s="5">
        <v>1099</v>
      </c>
      <c r="J559" s="3" t="s">
        <v>11</v>
      </c>
      <c r="K559">
        <f>MATCH(A559,Database!$A$2:$A$948,0)</f>
        <v>407</v>
      </c>
      <c r="L559">
        <f>VLOOKUP(A559,Database!$A$2:$I$948,4,0)</f>
        <v>1099</v>
      </c>
      <c r="M559" t="b">
        <f t="shared" si="19"/>
        <v>1</v>
      </c>
      <c r="N559">
        <f>VLOOKUP(A559,Database!$A$2:$I$948,5,0)</f>
        <v>1</v>
      </c>
    </row>
    <row r="560" spans="1:14" hidden="1" x14ac:dyDescent="0.35">
      <c r="A560" s="3">
        <v>103408756</v>
      </c>
      <c r="B560" s="3" t="s">
        <v>955</v>
      </c>
      <c r="C560" s="3" t="str">
        <f t="shared" si="18"/>
        <v>2022-07-06</v>
      </c>
      <c r="D560" s="3" t="s">
        <v>9</v>
      </c>
      <c r="E560" s="3" t="s">
        <v>5</v>
      </c>
      <c r="F560" s="3" t="s">
        <v>12</v>
      </c>
      <c r="G560" s="3" t="s">
        <v>956</v>
      </c>
      <c r="H560" s="3" t="s">
        <v>957</v>
      </c>
      <c r="I560" s="4">
        <v>2886.1</v>
      </c>
      <c r="J560" s="3" t="s">
        <v>11</v>
      </c>
      <c r="K560">
        <f>MATCH(A560,Database!$A$2:$A$948,0)</f>
        <v>406</v>
      </c>
      <c r="L560">
        <f>VLOOKUP(A560,Database!$A$2:$I$948,4,0)</f>
        <v>2886.1</v>
      </c>
      <c r="M560" t="b">
        <f t="shared" si="19"/>
        <v>1</v>
      </c>
      <c r="N560">
        <f>VLOOKUP(A560,Database!$A$2:$I$948,5,0)</f>
        <v>2</v>
      </c>
    </row>
    <row r="561" spans="1:14" hidden="1" x14ac:dyDescent="0.35">
      <c r="A561" s="3">
        <v>103408753</v>
      </c>
      <c r="B561" s="3" t="s">
        <v>958</v>
      </c>
      <c r="C561" s="3" t="str">
        <f t="shared" si="18"/>
        <v>2022-07-06</v>
      </c>
      <c r="D561" s="3" t="s">
        <v>9</v>
      </c>
      <c r="E561" s="3" t="s">
        <v>5</v>
      </c>
      <c r="F561" s="3" t="s">
        <v>10</v>
      </c>
      <c r="G561" s="3" t="s">
        <v>959</v>
      </c>
      <c r="H561" s="3" t="s">
        <v>960</v>
      </c>
      <c r="I561" s="4">
        <v>6789.65</v>
      </c>
      <c r="J561" s="3" t="s">
        <v>11</v>
      </c>
      <c r="K561">
        <f>MATCH(A561,Database!$A$2:$A$948,0)</f>
        <v>405</v>
      </c>
      <c r="L561">
        <f>VLOOKUP(A561,Database!$A$2:$I$948,4,0)</f>
        <v>6789.65</v>
      </c>
      <c r="M561" t="b">
        <f t="shared" si="19"/>
        <v>1</v>
      </c>
      <c r="N561">
        <f>VLOOKUP(A561,Database!$A$2:$I$948,5,0)</f>
        <v>3</v>
      </c>
    </row>
    <row r="562" spans="1:14" hidden="1" x14ac:dyDescent="0.35">
      <c r="A562" s="3">
        <v>103408747</v>
      </c>
      <c r="B562" s="3" t="s">
        <v>961</v>
      </c>
      <c r="C562" s="3" t="str">
        <f t="shared" si="18"/>
        <v>2022-07-06</v>
      </c>
      <c r="D562" s="3" t="s">
        <v>9</v>
      </c>
      <c r="E562" s="3" t="s">
        <v>5</v>
      </c>
      <c r="F562" s="3" t="s">
        <v>10</v>
      </c>
      <c r="G562" s="3" t="s">
        <v>962</v>
      </c>
      <c r="H562" s="3" t="s">
        <v>963</v>
      </c>
      <c r="I562" s="4">
        <v>2193.5500000000002</v>
      </c>
      <c r="J562" s="3" t="s">
        <v>11</v>
      </c>
      <c r="K562">
        <f>MATCH(A562,Database!$A$2:$A$948,0)</f>
        <v>404</v>
      </c>
      <c r="L562">
        <f>VLOOKUP(A562,Database!$A$2:$I$948,4,0)</f>
        <v>2193.5500000000002</v>
      </c>
      <c r="M562" t="b">
        <f t="shared" si="19"/>
        <v>1</v>
      </c>
      <c r="N562">
        <f>VLOOKUP(A562,Database!$A$2:$I$948,5,0)</f>
        <v>1</v>
      </c>
    </row>
    <row r="563" spans="1:14" hidden="1" x14ac:dyDescent="0.35">
      <c r="A563" s="3">
        <v>103408742</v>
      </c>
      <c r="B563" s="3" t="s">
        <v>964</v>
      </c>
      <c r="C563" s="3" t="str">
        <f t="shared" si="18"/>
        <v>2022-07-06</v>
      </c>
      <c r="D563" s="3" t="s">
        <v>9</v>
      </c>
      <c r="E563" s="3" t="s">
        <v>5</v>
      </c>
      <c r="F563" s="3" t="s">
        <v>10</v>
      </c>
      <c r="G563" s="3" t="s">
        <v>965</v>
      </c>
      <c r="H563" s="3" t="s">
        <v>966</v>
      </c>
      <c r="I563" s="4">
        <v>3324.05</v>
      </c>
      <c r="J563" s="3" t="s">
        <v>11</v>
      </c>
      <c r="K563">
        <f>MATCH(A563,Database!$A$2:$A$948,0)</f>
        <v>403</v>
      </c>
      <c r="L563">
        <f>VLOOKUP(A563,Database!$A$2:$I$948,4,0)</f>
        <v>3324.05</v>
      </c>
      <c r="M563" t="b">
        <f t="shared" si="19"/>
        <v>1</v>
      </c>
      <c r="N563">
        <f>VLOOKUP(A563,Database!$A$2:$I$948,5,0)</f>
        <v>1</v>
      </c>
    </row>
    <row r="564" spans="1:14" hidden="1" x14ac:dyDescent="0.35">
      <c r="A564" s="3">
        <v>103408741</v>
      </c>
      <c r="B564" s="3" t="s">
        <v>967</v>
      </c>
      <c r="C564" s="3" t="str">
        <f t="shared" si="18"/>
        <v>2022-07-06</v>
      </c>
      <c r="D564" s="3" t="s">
        <v>9</v>
      </c>
      <c r="E564" s="3" t="s">
        <v>5</v>
      </c>
      <c r="F564" s="3" t="s">
        <v>10</v>
      </c>
      <c r="G564" s="3" t="s">
        <v>968</v>
      </c>
      <c r="H564" s="3" t="s">
        <v>969</v>
      </c>
      <c r="I564" s="4">
        <v>5556.64</v>
      </c>
      <c r="J564" s="3" t="s">
        <v>11</v>
      </c>
      <c r="K564">
        <f>MATCH(A564,Database!$A$2:$A$948,0)</f>
        <v>402</v>
      </c>
      <c r="L564">
        <f>VLOOKUP(A564,Database!$A$2:$I$948,4,0)</f>
        <v>5556.64</v>
      </c>
      <c r="M564" t="b">
        <f t="shared" si="19"/>
        <v>1</v>
      </c>
      <c r="N564">
        <f>VLOOKUP(A564,Database!$A$2:$I$948,5,0)</f>
        <v>1</v>
      </c>
    </row>
    <row r="565" spans="1:14" hidden="1" x14ac:dyDescent="0.35">
      <c r="A565" s="3">
        <v>103408740</v>
      </c>
      <c r="B565" s="3" t="s">
        <v>970</v>
      </c>
      <c r="C565" s="3" t="str">
        <f t="shared" si="18"/>
        <v>2022-07-06</v>
      </c>
      <c r="D565" s="3" t="s">
        <v>9</v>
      </c>
      <c r="E565" s="3" t="s">
        <v>5</v>
      </c>
      <c r="F565" s="3" t="s">
        <v>10</v>
      </c>
      <c r="G565" s="3" t="s">
        <v>971</v>
      </c>
      <c r="H565" s="3" t="s">
        <v>972</v>
      </c>
      <c r="I565" s="4">
        <v>8964.2000000000007</v>
      </c>
      <c r="J565" s="3" t="s">
        <v>11</v>
      </c>
      <c r="K565">
        <f>MATCH(A565,Database!$A$2:$A$948,0)</f>
        <v>401</v>
      </c>
      <c r="L565">
        <f>VLOOKUP(A565,Database!$A$2:$I$948,4,0)</f>
        <v>8964.2000000000007</v>
      </c>
      <c r="M565" t="b">
        <f t="shared" si="19"/>
        <v>1</v>
      </c>
      <c r="N565">
        <f>VLOOKUP(A565,Database!$A$2:$I$948,5,0)</f>
        <v>4</v>
      </c>
    </row>
    <row r="566" spans="1:14" hidden="1" x14ac:dyDescent="0.35">
      <c r="A566" s="3">
        <v>103408648</v>
      </c>
      <c r="B566" s="3" t="s">
        <v>973</v>
      </c>
      <c r="C566" s="3" t="str">
        <f t="shared" si="18"/>
        <v>2022-07-06</v>
      </c>
      <c r="D566" s="3" t="s">
        <v>9</v>
      </c>
      <c r="E566" s="3" t="s">
        <v>5</v>
      </c>
      <c r="F566" s="3" t="s">
        <v>10</v>
      </c>
      <c r="G566" s="3" t="s">
        <v>974</v>
      </c>
      <c r="H566" s="3" t="s">
        <v>975</v>
      </c>
      <c r="I566" s="4">
        <v>2849.05</v>
      </c>
      <c r="J566" s="3" t="s">
        <v>11</v>
      </c>
      <c r="K566">
        <f>MATCH(A566,Database!$A$2:$A$948,0)</f>
        <v>382</v>
      </c>
      <c r="L566">
        <f>VLOOKUP(A566,Database!$A$2:$I$948,4,0)</f>
        <v>2849.05</v>
      </c>
      <c r="M566" t="b">
        <f t="shared" si="19"/>
        <v>1</v>
      </c>
      <c r="N566">
        <f>VLOOKUP(A566,Database!$A$2:$I$948,5,0)</f>
        <v>1</v>
      </c>
    </row>
    <row r="567" spans="1:14" hidden="1" x14ac:dyDescent="0.35">
      <c r="A567" s="3">
        <v>103408736</v>
      </c>
      <c r="B567" s="3" t="s">
        <v>976</v>
      </c>
      <c r="C567" s="3" t="str">
        <f t="shared" si="18"/>
        <v>2022-07-06</v>
      </c>
      <c r="D567" s="3" t="s">
        <v>9</v>
      </c>
      <c r="E567" s="3" t="s">
        <v>5</v>
      </c>
      <c r="F567" s="3" t="s">
        <v>10</v>
      </c>
      <c r="G567" s="3" t="s">
        <v>977</v>
      </c>
      <c r="H567" s="3" t="s">
        <v>978</v>
      </c>
      <c r="I567" s="3">
        <v>332.59</v>
      </c>
      <c r="J567" s="3" t="s">
        <v>11</v>
      </c>
      <c r="K567">
        <f>MATCH(A567,Database!$A$2:$A$948,0)</f>
        <v>400</v>
      </c>
      <c r="L567">
        <f>VLOOKUP(A567,Database!$A$2:$I$948,4,0)</f>
        <v>332.59</v>
      </c>
      <c r="M567" t="b">
        <f t="shared" si="19"/>
        <v>1</v>
      </c>
      <c r="N567">
        <f>VLOOKUP(A567,Database!$A$2:$I$948,5,0)</f>
        <v>1</v>
      </c>
    </row>
    <row r="568" spans="1:14" hidden="1" x14ac:dyDescent="0.35">
      <c r="A568" s="3">
        <v>103408644</v>
      </c>
      <c r="B568" s="3" t="s">
        <v>979</v>
      </c>
      <c r="C568" s="3" t="str">
        <f t="shared" si="18"/>
        <v>2022-07-06</v>
      </c>
      <c r="D568" s="3" t="s">
        <v>9</v>
      </c>
      <c r="E568" s="3" t="s">
        <v>5</v>
      </c>
      <c r="F568" s="3" t="s">
        <v>10</v>
      </c>
      <c r="G568" s="3" t="s">
        <v>980</v>
      </c>
      <c r="H568" s="3" t="s">
        <v>981</v>
      </c>
      <c r="I568" s="5">
        <v>3299</v>
      </c>
      <c r="J568" s="3" t="s">
        <v>11</v>
      </c>
      <c r="K568">
        <f>MATCH(A568,Database!$A$2:$A$948,0)</f>
        <v>381</v>
      </c>
      <c r="L568">
        <f>VLOOKUP(A568,Database!$A$2:$I$948,4,0)</f>
        <v>3299</v>
      </c>
      <c r="M568" t="b">
        <f t="shared" si="19"/>
        <v>1</v>
      </c>
      <c r="N568">
        <f>VLOOKUP(A568,Database!$A$2:$I$948,5,0)</f>
        <v>1</v>
      </c>
    </row>
    <row r="569" spans="1:14" hidden="1" x14ac:dyDescent="0.35">
      <c r="A569" s="3">
        <v>103408732</v>
      </c>
      <c r="B569" s="3" t="s">
        <v>982</v>
      </c>
      <c r="C569" s="3" t="str">
        <f t="shared" si="18"/>
        <v>2022-07-06</v>
      </c>
      <c r="D569" s="3" t="s">
        <v>9</v>
      </c>
      <c r="E569" s="3" t="s">
        <v>5</v>
      </c>
      <c r="F569" s="3" t="s">
        <v>12</v>
      </c>
      <c r="G569" s="3" t="s">
        <v>983</v>
      </c>
      <c r="H569" s="3" t="s">
        <v>984</v>
      </c>
      <c r="I569" s="4">
        <v>6410.6</v>
      </c>
      <c r="J569" s="3" t="s">
        <v>11</v>
      </c>
      <c r="K569">
        <f>MATCH(A569,Database!$A$2:$A$948,0)</f>
        <v>399</v>
      </c>
      <c r="L569">
        <f>VLOOKUP(A569,Database!$A$2:$I$948,4,0)</f>
        <v>6410.6</v>
      </c>
      <c r="M569" t="b">
        <f t="shared" si="19"/>
        <v>1</v>
      </c>
      <c r="N569">
        <f>VLOOKUP(A569,Database!$A$2:$I$948,5,0)</f>
        <v>2</v>
      </c>
    </row>
    <row r="570" spans="1:14" hidden="1" x14ac:dyDescent="0.35">
      <c r="A570" s="3">
        <v>103408640</v>
      </c>
      <c r="B570" s="3" t="s">
        <v>985</v>
      </c>
      <c r="C570" s="3" t="str">
        <f t="shared" si="18"/>
        <v>2022-07-06</v>
      </c>
      <c r="D570" s="3" t="s">
        <v>9</v>
      </c>
      <c r="E570" s="3" t="s">
        <v>5</v>
      </c>
      <c r="F570" s="3" t="s">
        <v>12</v>
      </c>
      <c r="G570" s="3" t="s">
        <v>986</v>
      </c>
      <c r="H570" s="3" t="s">
        <v>987</v>
      </c>
      <c r="I570" s="3">
        <v>299</v>
      </c>
      <c r="J570" s="3" t="s">
        <v>11</v>
      </c>
      <c r="K570">
        <f>MATCH(A570,Database!$A$2:$A$948,0)</f>
        <v>380</v>
      </c>
      <c r="L570">
        <f>VLOOKUP(A570,Database!$A$2:$I$948,4,0)</f>
        <v>299</v>
      </c>
      <c r="M570" t="b">
        <f t="shared" si="19"/>
        <v>1</v>
      </c>
      <c r="N570">
        <f>VLOOKUP(A570,Database!$A$2:$I$948,5,0)</f>
        <v>1</v>
      </c>
    </row>
    <row r="571" spans="1:14" hidden="1" x14ac:dyDescent="0.35">
      <c r="A571" s="3">
        <v>103408636</v>
      </c>
      <c r="B571" s="3" t="s">
        <v>988</v>
      </c>
      <c r="C571" s="3" t="str">
        <f t="shared" si="18"/>
        <v>2022-07-06</v>
      </c>
      <c r="D571" s="3" t="s">
        <v>9</v>
      </c>
      <c r="E571" s="3" t="s">
        <v>5</v>
      </c>
      <c r="F571" s="3" t="s">
        <v>10</v>
      </c>
      <c r="G571" s="3" t="s">
        <v>989</v>
      </c>
      <c r="H571" s="3" t="s">
        <v>990</v>
      </c>
      <c r="I571" s="5">
        <v>1999</v>
      </c>
      <c r="J571" s="3" t="s">
        <v>11</v>
      </c>
      <c r="K571">
        <f>MATCH(A571,Database!$A$2:$A$948,0)</f>
        <v>379</v>
      </c>
      <c r="L571">
        <f>VLOOKUP(A571,Database!$A$2:$I$948,4,0)</f>
        <v>1999</v>
      </c>
      <c r="M571" t="b">
        <f t="shared" si="19"/>
        <v>1</v>
      </c>
      <c r="N571">
        <f>VLOOKUP(A571,Database!$A$2:$I$948,5,0)</f>
        <v>1</v>
      </c>
    </row>
    <row r="572" spans="1:14" hidden="1" x14ac:dyDescent="0.35">
      <c r="A572" s="3">
        <v>103408630</v>
      </c>
      <c r="B572" s="3" t="s">
        <v>991</v>
      </c>
      <c r="C572" s="3" t="str">
        <f t="shared" si="18"/>
        <v>2022-07-06</v>
      </c>
      <c r="D572" s="3" t="s">
        <v>9</v>
      </c>
      <c r="E572" s="3" t="s">
        <v>5</v>
      </c>
      <c r="F572" s="3" t="s">
        <v>12</v>
      </c>
      <c r="G572" s="3" t="s">
        <v>992</v>
      </c>
      <c r="H572" s="3" t="s">
        <v>993</v>
      </c>
      <c r="I572" s="5">
        <v>4549</v>
      </c>
      <c r="J572" s="3" t="s">
        <v>11</v>
      </c>
      <c r="K572">
        <f>MATCH(A572,Database!$A$2:$A$948,0)</f>
        <v>378</v>
      </c>
      <c r="L572">
        <f>VLOOKUP(A572,Database!$A$2:$I$948,4,0)</f>
        <v>4549</v>
      </c>
      <c r="M572" t="b">
        <f t="shared" si="19"/>
        <v>1</v>
      </c>
      <c r="N572">
        <f>VLOOKUP(A572,Database!$A$2:$I$948,5,0)</f>
        <v>1</v>
      </c>
    </row>
    <row r="573" spans="1:14" hidden="1" x14ac:dyDescent="0.35">
      <c r="A573" s="3">
        <v>103408725</v>
      </c>
      <c r="B573" s="3" t="s">
        <v>994</v>
      </c>
      <c r="C573" s="3" t="str">
        <f t="shared" si="18"/>
        <v>2022-07-06</v>
      </c>
      <c r="D573" s="3" t="s">
        <v>9</v>
      </c>
      <c r="E573" s="3" t="s">
        <v>5</v>
      </c>
      <c r="F573" s="3" t="s">
        <v>10</v>
      </c>
      <c r="G573" s="3" t="s">
        <v>995</v>
      </c>
      <c r="H573" s="3" t="s">
        <v>996</v>
      </c>
      <c r="I573" s="4">
        <v>2126.1</v>
      </c>
      <c r="J573" s="3" t="s">
        <v>11</v>
      </c>
      <c r="K573">
        <f>MATCH(A573,Database!$A$2:$A$948,0)</f>
        <v>398</v>
      </c>
      <c r="L573">
        <f>VLOOKUP(A573,Database!$A$2:$I$948,4,0)</f>
        <v>2126.1</v>
      </c>
      <c r="M573" t="b">
        <f t="shared" si="19"/>
        <v>1</v>
      </c>
      <c r="N573">
        <f>VLOOKUP(A573,Database!$A$2:$I$948,5,0)</f>
        <v>2</v>
      </c>
    </row>
    <row r="574" spans="1:14" hidden="1" x14ac:dyDescent="0.35">
      <c r="A574" s="3">
        <v>103408623</v>
      </c>
      <c r="B574" s="3" t="s">
        <v>997</v>
      </c>
      <c r="C574" s="3" t="str">
        <f t="shared" si="18"/>
        <v>2022-07-06</v>
      </c>
      <c r="D574" s="3" t="s">
        <v>9</v>
      </c>
      <c r="E574" s="3" t="s">
        <v>5</v>
      </c>
      <c r="F574" s="3" t="s">
        <v>10</v>
      </c>
      <c r="G574" s="3" t="s">
        <v>998</v>
      </c>
      <c r="H574" s="3" t="s">
        <v>999</v>
      </c>
      <c r="I574" s="5">
        <v>2449</v>
      </c>
      <c r="J574" s="3" t="s">
        <v>11</v>
      </c>
      <c r="K574">
        <f>MATCH(A574,Database!$A$2:$A$948,0)</f>
        <v>377</v>
      </c>
      <c r="L574">
        <f>VLOOKUP(A574,Database!$A$2:$I$948,4,0)</f>
        <v>2449</v>
      </c>
      <c r="M574" t="b">
        <f t="shared" si="19"/>
        <v>1</v>
      </c>
      <c r="N574">
        <f>VLOOKUP(A574,Database!$A$2:$I$948,5,0)</f>
        <v>1</v>
      </c>
    </row>
    <row r="575" spans="1:14" hidden="1" x14ac:dyDescent="0.35">
      <c r="A575" s="3">
        <v>103408723</v>
      </c>
      <c r="B575" s="3" t="s">
        <v>1000</v>
      </c>
      <c r="C575" s="3" t="str">
        <f t="shared" si="18"/>
        <v>2022-07-06</v>
      </c>
      <c r="D575" s="3" t="s">
        <v>9</v>
      </c>
      <c r="E575" s="3" t="s">
        <v>5</v>
      </c>
      <c r="F575" s="3" t="s">
        <v>10</v>
      </c>
      <c r="G575" s="3" t="s">
        <v>1001</v>
      </c>
      <c r="H575" s="3" t="s">
        <v>1002</v>
      </c>
      <c r="I575" s="3">
        <v>959</v>
      </c>
      <c r="J575" s="3" t="s">
        <v>11</v>
      </c>
      <c r="K575">
        <f>MATCH(A575,Database!$A$2:$A$948,0)</f>
        <v>397</v>
      </c>
      <c r="L575">
        <f>VLOOKUP(A575,Database!$A$2:$I$948,4,0)</f>
        <v>959</v>
      </c>
      <c r="M575" t="b">
        <f t="shared" si="19"/>
        <v>1</v>
      </c>
      <c r="N575">
        <f>VLOOKUP(A575,Database!$A$2:$I$948,5,0)</f>
        <v>1</v>
      </c>
    </row>
    <row r="576" spans="1:14" hidden="1" x14ac:dyDescent="0.35">
      <c r="A576" s="3">
        <v>103408719</v>
      </c>
      <c r="B576" s="3" t="s">
        <v>1003</v>
      </c>
      <c r="C576" s="3" t="str">
        <f t="shared" si="18"/>
        <v>2022-07-06</v>
      </c>
      <c r="D576" s="3" t="s">
        <v>9</v>
      </c>
      <c r="E576" s="3" t="s">
        <v>5</v>
      </c>
      <c r="F576" s="3" t="s">
        <v>10</v>
      </c>
      <c r="G576" s="3" t="s">
        <v>1004</v>
      </c>
      <c r="H576" s="3" t="s">
        <v>1005</v>
      </c>
      <c r="I576" s="4">
        <v>2598.34</v>
      </c>
      <c r="J576" s="3" t="s">
        <v>11</v>
      </c>
      <c r="K576">
        <f>MATCH(A576,Database!$A$2:$A$948,0)</f>
        <v>396</v>
      </c>
      <c r="L576">
        <f>VLOOKUP(A576,Database!$A$2:$I$948,4,0)</f>
        <v>2598.34</v>
      </c>
      <c r="M576" t="b">
        <f t="shared" si="19"/>
        <v>1</v>
      </c>
      <c r="N576">
        <f>VLOOKUP(A576,Database!$A$2:$I$948,5,0)</f>
        <v>1</v>
      </c>
    </row>
    <row r="577" spans="1:14" hidden="1" x14ac:dyDescent="0.35">
      <c r="A577" s="3">
        <v>103408715</v>
      </c>
      <c r="B577" s="3" t="s">
        <v>1006</v>
      </c>
      <c r="C577" s="3" t="str">
        <f t="shared" si="18"/>
        <v>2022-07-06</v>
      </c>
      <c r="D577" s="3" t="s">
        <v>9</v>
      </c>
      <c r="E577" s="3" t="s">
        <v>5</v>
      </c>
      <c r="F577" s="3" t="s">
        <v>10</v>
      </c>
      <c r="G577" s="3" t="s">
        <v>1007</v>
      </c>
      <c r="H577" s="3" t="s">
        <v>1008</v>
      </c>
      <c r="I577" s="5">
        <v>1499</v>
      </c>
      <c r="J577" s="3" t="s">
        <v>11</v>
      </c>
      <c r="K577">
        <f>MATCH(A577,Database!$A$2:$A$948,0)</f>
        <v>395</v>
      </c>
      <c r="L577">
        <f>VLOOKUP(A577,Database!$A$2:$I$948,4,0)</f>
        <v>1499</v>
      </c>
      <c r="M577" t="b">
        <f t="shared" si="19"/>
        <v>1</v>
      </c>
      <c r="N577">
        <f>VLOOKUP(A577,Database!$A$2:$I$948,5,0)</f>
        <v>1</v>
      </c>
    </row>
    <row r="578" spans="1:14" hidden="1" x14ac:dyDescent="0.35">
      <c r="A578" s="3">
        <v>103408714</v>
      </c>
      <c r="B578" s="3" t="s">
        <v>1009</v>
      </c>
      <c r="C578" s="3" t="str">
        <f t="shared" si="18"/>
        <v>2022-07-06</v>
      </c>
      <c r="D578" s="3" t="s">
        <v>9</v>
      </c>
      <c r="E578" s="3" t="s">
        <v>5</v>
      </c>
      <c r="F578" s="3" t="s">
        <v>10</v>
      </c>
      <c r="G578" s="3" t="s">
        <v>1010</v>
      </c>
      <c r="H578" s="3" t="s">
        <v>1011</v>
      </c>
      <c r="I578" s="5">
        <v>5199</v>
      </c>
      <c r="J578" s="3" t="s">
        <v>11</v>
      </c>
      <c r="K578">
        <f>MATCH(A578,Database!$A$2:$A$948,0)</f>
        <v>394</v>
      </c>
      <c r="L578">
        <f>VLOOKUP(A578,Database!$A$2:$I$948,4,0)</f>
        <v>5199</v>
      </c>
      <c r="M578" t="b">
        <f t="shared" si="19"/>
        <v>1</v>
      </c>
      <c r="N578">
        <f>VLOOKUP(A578,Database!$A$2:$I$948,5,0)</f>
        <v>1</v>
      </c>
    </row>
    <row r="579" spans="1:14" hidden="1" x14ac:dyDescent="0.35">
      <c r="A579" s="3">
        <v>103408712</v>
      </c>
      <c r="B579" s="3" t="s">
        <v>1012</v>
      </c>
      <c r="C579" s="3" t="str">
        <f t="shared" ref="C579:C642" si="20">LEFT(B579,FIND("T",B579)-1)</f>
        <v>2022-07-06</v>
      </c>
      <c r="D579" s="3" t="s">
        <v>9</v>
      </c>
      <c r="E579" s="3" t="s">
        <v>5</v>
      </c>
      <c r="F579" s="3" t="s">
        <v>10</v>
      </c>
      <c r="G579" s="3" t="s">
        <v>1013</v>
      </c>
      <c r="H579" s="3" t="s">
        <v>1014</v>
      </c>
      <c r="I579" s="4">
        <v>2374.0500000000002</v>
      </c>
      <c r="J579" s="3" t="s">
        <v>11</v>
      </c>
      <c r="K579">
        <f>MATCH(A579,Database!$A$2:$A$948,0)</f>
        <v>393</v>
      </c>
      <c r="L579">
        <f>VLOOKUP(A579,Database!$A$2:$I$948,4,0)</f>
        <v>2374.0500000000002</v>
      </c>
      <c r="M579" t="b">
        <f t="shared" si="19"/>
        <v>1</v>
      </c>
      <c r="N579">
        <f>VLOOKUP(A579,Database!$A$2:$I$948,5,0)</f>
        <v>1</v>
      </c>
    </row>
    <row r="580" spans="1:14" hidden="1" x14ac:dyDescent="0.35">
      <c r="A580" s="3">
        <v>103408615</v>
      </c>
      <c r="B580" s="3" t="s">
        <v>1015</v>
      </c>
      <c r="C580" s="3" t="str">
        <f t="shared" si="20"/>
        <v>2022-07-06</v>
      </c>
      <c r="D580" s="3" t="s">
        <v>9</v>
      </c>
      <c r="E580" s="3" t="s">
        <v>5</v>
      </c>
      <c r="F580" s="3" t="s">
        <v>10</v>
      </c>
      <c r="G580" s="3" t="s">
        <v>1016</v>
      </c>
      <c r="H580" s="3" t="s">
        <v>1017</v>
      </c>
      <c r="I580" s="4">
        <v>2350.39</v>
      </c>
      <c r="J580" s="3" t="s">
        <v>11</v>
      </c>
      <c r="K580">
        <f>MATCH(A580,Database!$A$2:$A$948,0)</f>
        <v>376</v>
      </c>
      <c r="L580">
        <f>VLOOKUP(A580,Database!$A$2:$I$948,4,0)</f>
        <v>2350.39</v>
      </c>
      <c r="M580" t="b">
        <f t="shared" si="19"/>
        <v>1</v>
      </c>
      <c r="N580">
        <f>VLOOKUP(A580,Database!$A$2:$I$948,5,0)</f>
        <v>1</v>
      </c>
    </row>
    <row r="581" spans="1:14" hidden="1" x14ac:dyDescent="0.35">
      <c r="A581" s="3">
        <v>103408703</v>
      </c>
      <c r="B581" s="3" t="s">
        <v>1018</v>
      </c>
      <c r="C581" s="3" t="str">
        <f t="shared" si="20"/>
        <v>2022-07-06</v>
      </c>
      <c r="D581" s="3" t="s">
        <v>9</v>
      </c>
      <c r="E581" s="3" t="s">
        <v>5</v>
      </c>
      <c r="F581" s="3" t="s">
        <v>10</v>
      </c>
      <c r="G581" s="3" t="s">
        <v>1019</v>
      </c>
      <c r="H581" s="3" t="s">
        <v>1020</v>
      </c>
      <c r="I581" s="4">
        <v>3227.15</v>
      </c>
      <c r="J581" s="3" t="s">
        <v>11</v>
      </c>
      <c r="K581">
        <f>MATCH(A581,Database!$A$2:$A$948,0)</f>
        <v>392</v>
      </c>
      <c r="L581">
        <f>VLOOKUP(A581,Database!$A$2:$I$948,4,0)</f>
        <v>3227.1499999999901</v>
      </c>
      <c r="M581" t="b">
        <f t="shared" si="19"/>
        <v>0</v>
      </c>
      <c r="N581">
        <f>VLOOKUP(A581,Database!$A$2:$I$948,5,0)</f>
        <v>3</v>
      </c>
    </row>
    <row r="582" spans="1:14" hidden="1" x14ac:dyDescent="0.35">
      <c r="A582" s="3">
        <v>103408609</v>
      </c>
      <c r="B582" s="3" t="s">
        <v>1021</v>
      </c>
      <c r="C582" s="3" t="str">
        <f t="shared" si="20"/>
        <v>2022-07-06</v>
      </c>
      <c r="D582" s="3" t="s">
        <v>9</v>
      </c>
      <c r="E582" s="3" t="s">
        <v>5</v>
      </c>
      <c r="F582" s="3" t="s">
        <v>12</v>
      </c>
      <c r="G582" s="3" t="s">
        <v>1022</v>
      </c>
      <c r="H582" s="3" t="s">
        <v>1023</v>
      </c>
      <c r="I582" s="3">
        <v>629</v>
      </c>
      <c r="J582" s="3" t="s">
        <v>11</v>
      </c>
      <c r="K582">
        <f>MATCH(A582,Database!$A$2:$A$948,0)</f>
        <v>375</v>
      </c>
      <c r="L582">
        <f>VLOOKUP(A582,Database!$A$2:$I$948,4,0)</f>
        <v>629</v>
      </c>
      <c r="M582" t="b">
        <f t="shared" si="19"/>
        <v>1</v>
      </c>
      <c r="N582">
        <f>VLOOKUP(A582,Database!$A$2:$I$948,5,0)</f>
        <v>1</v>
      </c>
    </row>
    <row r="583" spans="1:14" hidden="1" x14ac:dyDescent="0.35">
      <c r="A583" s="3">
        <v>103408691</v>
      </c>
      <c r="B583" s="3" t="s">
        <v>4761</v>
      </c>
      <c r="C583" s="3" t="str">
        <f t="shared" si="20"/>
        <v>2022-07-06</v>
      </c>
      <c r="D583" s="3" t="s">
        <v>9</v>
      </c>
      <c r="E583" s="3" t="s">
        <v>5</v>
      </c>
      <c r="F583" s="3" t="s">
        <v>10</v>
      </c>
      <c r="G583" s="3" t="s">
        <v>971</v>
      </c>
      <c r="H583" s="3" t="s">
        <v>972</v>
      </c>
      <c r="I583" s="4">
        <v>8964.2000000000007</v>
      </c>
      <c r="J583" s="3" t="s">
        <v>13</v>
      </c>
      <c r="K583">
        <f>MATCH(A583,Database!$A$2:$A$948,0)</f>
        <v>391</v>
      </c>
      <c r="L583">
        <f>VLOOKUP(A583,Database!$A$2:$I$948,4,0)</f>
        <v>8964.2000000000007</v>
      </c>
      <c r="M583" t="b">
        <f t="shared" si="19"/>
        <v>1</v>
      </c>
      <c r="N583">
        <f>VLOOKUP(A583,Database!$A$2:$I$948,5,0)</f>
        <v>4</v>
      </c>
    </row>
    <row r="584" spans="1:14" hidden="1" x14ac:dyDescent="0.35">
      <c r="A584" s="3">
        <v>103408688</v>
      </c>
      <c r="B584" s="3" t="s">
        <v>1024</v>
      </c>
      <c r="C584" s="3" t="str">
        <f t="shared" si="20"/>
        <v>2022-07-06</v>
      </c>
      <c r="D584" s="3" t="s">
        <v>9</v>
      </c>
      <c r="E584" s="3" t="s">
        <v>5</v>
      </c>
      <c r="F584" s="3" t="s">
        <v>10</v>
      </c>
      <c r="G584" s="3" t="s">
        <v>1025</v>
      </c>
      <c r="H584" s="3" t="s">
        <v>1026</v>
      </c>
      <c r="I584" s="4">
        <v>4749.05</v>
      </c>
      <c r="J584" s="3" t="s">
        <v>11</v>
      </c>
      <c r="K584">
        <f>MATCH(A584,Database!$A$2:$A$948,0)</f>
        <v>390</v>
      </c>
      <c r="L584">
        <f>VLOOKUP(A584,Database!$A$2:$I$948,4,0)</f>
        <v>4749.05</v>
      </c>
      <c r="M584" t="b">
        <f t="shared" si="19"/>
        <v>1</v>
      </c>
      <c r="N584">
        <f>VLOOKUP(A584,Database!$A$2:$I$948,5,0)</f>
        <v>1</v>
      </c>
    </row>
    <row r="585" spans="1:14" hidden="1" x14ac:dyDescent="0.35">
      <c r="A585" s="3">
        <v>103408687</v>
      </c>
      <c r="B585" s="3" t="s">
        <v>1027</v>
      </c>
      <c r="C585" s="3" t="str">
        <f t="shared" si="20"/>
        <v>2022-07-06</v>
      </c>
      <c r="D585" s="3" t="s">
        <v>9</v>
      </c>
      <c r="E585" s="3" t="s">
        <v>5</v>
      </c>
      <c r="F585" s="3" t="s">
        <v>10</v>
      </c>
      <c r="G585" s="3" t="s">
        <v>1028</v>
      </c>
      <c r="H585" s="3" t="s">
        <v>1029</v>
      </c>
      <c r="I585" s="4">
        <v>3991.99</v>
      </c>
      <c r="J585" s="3" t="s">
        <v>11</v>
      </c>
      <c r="K585">
        <f>MATCH(A585,Database!$A$2:$A$948,0)</f>
        <v>389</v>
      </c>
      <c r="L585">
        <f>VLOOKUP(A585,Database!$A$2:$I$948,4,0)</f>
        <v>3991.99</v>
      </c>
      <c r="M585" t="b">
        <f t="shared" si="19"/>
        <v>1</v>
      </c>
      <c r="N585">
        <f>VLOOKUP(A585,Database!$A$2:$I$948,5,0)</f>
        <v>1</v>
      </c>
    </row>
    <row r="586" spans="1:14" hidden="1" x14ac:dyDescent="0.35">
      <c r="A586" s="3">
        <v>103408686</v>
      </c>
      <c r="B586" s="3" t="s">
        <v>1030</v>
      </c>
      <c r="C586" s="3" t="str">
        <f t="shared" si="20"/>
        <v>2022-07-06</v>
      </c>
      <c r="D586" s="3" t="s">
        <v>9</v>
      </c>
      <c r="E586" s="3" t="s">
        <v>5</v>
      </c>
      <c r="F586" s="3" t="s">
        <v>10</v>
      </c>
      <c r="G586" s="3" t="s">
        <v>1031</v>
      </c>
      <c r="H586" s="3" t="s">
        <v>1032</v>
      </c>
      <c r="I586" s="4">
        <v>1457.1</v>
      </c>
      <c r="J586" s="3" t="s">
        <v>11</v>
      </c>
      <c r="K586">
        <f>MATCH(A586,Database!$A$2:$A$948,0)</f>
        <v>388</v>
      </c>
      <c r="L586">
        <f>VLOOKUP(A586,Database!$A$2:$I$948,4,0)</f>
        <v>1457.1</v>
      </c>
      <c r="M586" t="b">
        <f t="shared" si="19"/>
        <v>1</v>
      </c>
      <c r="N586">
        <f>VLOOKUP(A586,Database!$A$2:$I$948,5,0)</f>
        <v>1</v>
      </c>
    </row>
    <row r="587" spans="1:14" hidden="1" x14ac:dyDescent="0.35">
      <c r="A587" s="3">
        <v>103408604</v>
      </c>
      <c r="B587" s="3" t="s">
        <v>1033</v>
      </c>
      <c r="C587" s="3" t="str">
        <f t="shared" si="20"/>
        <v>2022-07-06</v>
      </c>
      <c r="D587" s="3" t="s">
        <v>9</v>
      </c>
      <c r="E587" s="3" t="s">
        <v>5</v>
      </c>
      <c r="F587" s="3" t="s">
        <v>10</v>
      </c>
      <c r="G587" s="3" t="s">
        <v>1034</v>
      </c>
      <c r="H587" s="3" t="s">
        <v>1035</v>
      </c>
      <c r="I587" s="4">
        <v>1880.14</v>
      </c>
      <c r="J587" s="3" t="s">
        <v>11</v>
      </c>
      <c r="K587">
        <f>MATCH(A587,Database!$A$2:$A$948,0)</f>
        <v>374</v>
      </c>
      <c r="L587">
        <f>VLOOKUP(A587,Database!$A$2:$I$948,4,0)</f>
        <v>1880.14</v>
      </c>
      <c r="M587" t="b">
        <f t="shared" si="19"/>
        <v>1</v>
      </c>
      <c r="N587">
        <f>VLOOKUP(A587,Database!$A$2:$I$948,5,0)</f>
        <v>1</v>
      </c>
    </row>
    <row r="588" spans="1:14" hidden="1" x14ac:dyDescent="0.35">
      <c r="A588" s="3">
        <v>103408603</v>
      </c>
      <c r="B588" s="3" t="s">
        <v>1036</v>
      </c>
      <c r="C588" s="3" t="str">
        <f t="shared" si="20"/>
        <v>2022-07-06</v>
      </c>
      <c r="D588" s="3" t="s">
        <v>9</v>
      </c>
      <c r="E588" s="3" t="s">
        <v>5</v>
      </c>
      <c r="F588" s="3" t="s">
        <v>10</v>
      </c>
      <c r="G588" s="3" t="s">
        <v>1037</v>
      </c>
      <c r="H588" s="3" t="s">
        <v>1038</v>
      </c>
      <c r="I588" s="4">
        <v>1329.05</v>
      </c>
      <c r="J588" s="3" t="s">
        <v>11</v>
      </c>
      <c r="K588">
        <f>MATCH(A588,Database!$A$2:$A$948,0)</f>
        <v>373</v>
      </c>
      <c r="L588">
        <f>VLOOKUP(A588,Database!$A$2:$I$948,4,0)</f>
        <v>1329.05</v>
      </c>
      <c r="M588" t="b">
        <f t="shared" ref="M588:M651" si="21">I588=L588</f>
        <v>1</v>
      </c>
      <c r="N588">
        <f>VLOOKUP(A588,Database!$A$2:$I$948,5,0)</f>
        <v>1</v>
      </c>
    </row>
    <row r="589" spans="1:14" hidden="1" x14ac:dyDescent="0.35">
      <c r="A589" s="3">
        <v>103408680</v>
      </c>
      <c r="B589" s="3" t="s">
        <v>1039</v>
      </c>
      <c r="C589" s="3" t="str">
        <f t="shared" si="20"/>
        <v>2022-07-06</v>
      </c>
      <c r="D589" s="3" t="s">
        <v>9</v>
      </c>
      <c r="E589" s="3" t="s">
        <v>5</v>
      </c>
      <c r="F589" s="3" t="s">
        <v>10</v>
      </c>
      <c r="G589" s="3" t="s">
        <v>1040</v>
      </c>
      <c r="H589" s="3" t="s">
        <v>1041</v>
      </c>
      <c r="I589" s="4">
        <v>2834.1</v>
      </c>
      <c r="J589" s="3" t="s">
        <v>11</v>
      </c>
      <c r="K589">
        <f>MATCH(A589,Database!$A$2:$A$948,0)</f>
        <v>387</v>
      </c>
      <c r="L589">
        <f>VLOOKUP(A589,Database!$A$2:$I$948,4,0)</f>
        <v>2834.1</v>
      </c>
      <c r="M589" t="b">
        <f t="shared" si="21"/>
        <v>1</v>
      </c>
      <c r="N589">
        <f>VLOOKUP(A589,Database!$A$2:$I$948,5,0)</f>
        <v>1</v>
      </c>
    </row>
    <row r="590" spans="1:14" hidden="1" x14ac:dyDescent="0.35">
      <c r="A590" s="3">
        <v>103408677</v>
      </c>
      <c r="B590" s="3" t="s">
        <v>1042</v>
      </c>
      <c r="C590" s="3" t="str">
        <f t="shared" si="20"/>
        <v>2022-07-06</v>
      </c>
      <c r="D590" s="3" t="s">
        <v>9</v>
      </c>
      <c r="E590" s="3" t="s">
        <v>5</v>
      </c>
      <c r="F590" s="3" t="s">
        <v>10</v>
      </c>
      <c r="G590" s="3" t="s">
        <v>1043</v>
      </c>
      <c r="H590" s="3" t="s">
        <v>1044</v>
      </c>
      <c r="I590" s="4">
        <v>2449.1</v>
      </c>
      <c r="J590" s="3" t="s">
        <v>11</v>
      </c>
      <c r="K590">
        <f>MATCH(A590,Database!$A$2:$A$948,0)</f>
        <v>386</v>
      </c>
      <c r="L590">
        <f>VLOOKUP(A590,Database!$A$2:$I$948,4,0)</f>
        <v>2449.1</v>
      </c>
      <c r="M590" t="b">
        <f t="shared" si="21"/>
        <v>1</v>
      </c>
      <c r="N590">
        <f>VLOOKUP(A590,Database!$A$2:$I$948,5,0)</f>
        <v>2</v>
      </c>
    </row>
    <row r="591" spans="1:14" hidden="1" x14ac:dyDescent="0.35">
      <c r="A591" s="3">
        <v>103408676</v>
      </c>
      <c r="B591" s="3" t="s">
        <v>1045</v>
      </c>
      <c r="C591" s="3" t="str">
        <f t="shared" si="20"/>
        <v>2022-07-06</v>
      </c>
      <c r="D591" s="3" t="s">
        <v>9</v>
      </c>
      <c r="E591" s="3" t="s">
        <v>5</v>
      </c>
      <c r="F591" s="3" t="s">
        <v>10</v>
      </c>
      <c r="G591" s="3" t="s">
        <v>1046</v>
      </c>
      <c r="H591" s="3" t="s">
        <v>1047</v>
      </c>
      <c r="I591" s="4">
        <v>1709.05</v>
      </c>
      <c r="J591" s="3" t="s">
        <v>11</v>
      </c>
      <c r="K591">
        <f>MATCH(A591,Database!$A$2:$A$948,0)</f>
        <v>385</v>
      </c>
      <c r="L591">
        <f>VLOOKUP(A591,Database!$A$2:$I$948,4,0)</f>
        <v>1709.05</v>
      </c>
      <c r="M591" t="b">
        <f t="shared" si="21"/>
        <v>1</v>
      </c>
      <c r="N591">
        <f>VLOOKUP(A591,Database!$A$2:$I$948,5,0)</f>
        <v>1</v>
      </c>
    </row>
    <row r="592" spans="1:14" hidden="1" x14ac:dyDescent="0.35">
      <c r="A592" s="3">
        <v>103408675</v>
      </c>
      <c r="B592" s="3" t="s">
        <v>1048</v>
      </c>
      <c r="C592" s="3" t="str">
        <f t="shared" si="20"/>
        <v>2022-07-06</v>
      </c>
      <c r="D592" s="3" t="s">
        <v>9</v>
      </c>
      <c r="E592" s="3" t="s">
        <v>5</v>
      </c>
      <c r="F592" s="3" t="s">
        <v>10</v>
      </c>
      <c r="G592" s="3" t="s">
        <v>1049</v>
      </c>
      <c r="H592" s="3" t="s">
        <v>1050</v>
      </c>
      <c r="I592" s="5">
        <v>1199</v>
      </c>
      <c r="J592" s="3" t="s">
        <v>11</v>
      </c>
      <c r="K592">
        <f>MATCH(A592,Database!$A$2:$A$948,0)</f>
        <v>384</v>
      </c>
      <c r="L592">
        <f>VLOOKUP(A592,Database!$A$2:$I$948,4,0)</f>
        <v>1199</v>
      </c>
      <c r="M592" t="b">
        <f t="shared" si="21"/>
        <v>1</v>
      </c>
      <c r="N592">
        <f>VLOOKUP(A592,Database!$A$2:$I$948,5,0)</f>
        <v>1</v>
      </c>
    </row>
    <row r="593" spans="1:14" hidden="1" x14ac:dyDescent="0.35">
      <c r="A593" s="3">
        <v>103408672</v>
      </c>
      <c r="B593" s="3" t="s">
        <v>1051</v>
      </c>
      <c r="C593" s="3" t="str">
        <f t="shared" si="20"/>
        <v>2022-07-06</v>
      </c>
      <c r="D593" s="3" t="s">
        <v>9</v>
      </c>
      <c r="E593" s="3" t="s">
        <v>5</v>
      </c>
      <c r="F593" s="3" t="s">
        <v>10</v>
      </c>
      <c r="G593" s="3" t="s">
        <v>1052</v>
      </c>
      <c r="H593" s="3" t="s">
        <v>1053</v>
      </c>
      <c r="I593" s="5">
        <v>2228</v>
      </c>
      <c r="J593" s="3" t="s">
        <v>13</v>
      </c>
      <c r="K593">
        <f>MATCH(A593,Database!$A$2:$A$948,0)</f>
        <v>383</v>
      </c>
      <c r="L593">
        <f>VLOOKUP(A593,Database!$A$2:$I$948,4,0)</f>
        <v>2228</v>
      </c>
      <c r="M593" t="b">
        <f t="shared" si="21"/>
        <v>1</v>
      </c>
      <c r="N593">
        <f>VLOOKUP(A593,Database!$A$2:$I$948,5,0)</f>
        <v>2</v>
      </c>
    </row>
    <row r="594" spans="1:14" hidden="1" x14ac:dyDescent="0.35">
      <c r="A594" s="3">
        <v>103408593</v>
      </c>
      <c r="B594" s="3" t="s">
        <v>1054</v>
      </c>
      <c r="C594" s="3" t="str">
        <f t="shared" si="20"/>
        <v>2022-07-06</v>
      </c>
      <c r="D594" s="3" t="s">
        <v>9</v>
      </c>
      <c r="E594" s="3" t="s">
        <v>5</v>
      </c>
      <c r="F594" s="3" t="s">
        <v>10</v>
      </c>
      <c r="G594" s="3" t="s">
        <v>1055</v>
      </c>
      <c r="H594" s="3" t="s">
        <v>1056</v>
      </c>
      <c r="I594" s="4">
        <v>5000.8900000000003</v>
      </c>
      <c r="J594" s="3" t="s">
        <v>11</v>
      </c>
      <c r="K594">
        <f>MATCH(A594,Database!$A$2:$A$948,0)</f>
        <v>372</v>
      </c>
      <c r="L594">
        <f>VLOOKUP(A594,Database!$A$2:$I$948,4,0)</f>
        <v>5000.8900000000003</v>
      </c>
      <c r="M594" t="b">
        <f t="shared" si="21"/>
        <v>1</v>
      </c>
      <c r="N594">
        <f>VLOOKUP(A594,Database!$A$2:$I$948,5,0)</f>
        <v>1</v>
      </c>
    </row>
    <row r="595" spans="1:14" hidden="1" x14ac:dyDescent="0.35">
      <c r="A595" s="3">
        <v>103408591</v>
      </c>
      <c r="B595" s="3" t="s">
        <v>1057</v>
      </c>
      <c r="C595" s="3" t="str">
        <f t="shared" si="20"/>
        <v>2022-07-06</v>
      </c>
      <c r="D595" s="3" t="s">
        <v>9</v>
      </c>
      <c r="E595" s="3" t="s">
        <v>5</v>
      </c>
      <c r="F595" s="3" t="s">
        <v>10</v>
      </c>
      <c r="G595" s="3" t="s">
        <v>1058</v>
      </c>
      <c r="H595" s="3" t="s">
        <v>1059</v>
      </c>
      <c r="I595" s="3">
        <v>519</v>
      </c>
      <c r="J595" s="3" t="s">
        <v>11</v>
      </c>
      <c r="K595">
        <f>MATCH(A595,Database!$A$2:$A$948,0)</f>
        <v>371</v>
      </c>
      <c r="L595">
        <f>VLOOKUP(A595,Database!$A$2:$I$948,4,0)</f>
        <v>519</v>
      </c>
      <c r="M595" t="b">
        <f t="shared" si="21"/>
        <v>1</v>
      </c>
      <c r="N595">
        <f>VLOOKUP(A595,Database!$A$2:$I$948,5,0)</f>
        <v>1</v>
      </c>
    </row>
    <row r="596" spans="1:14" hidden="1" x14ac:dyDescent="0.35">
      <c r="A596" s="3">
        <v>103408561</v>
      </c>
      <c r="B596" s="3" t="s">
        <v>1060</v>
      </c>
      <c r="C596" s="3" t="str">
        <f t="shared" si="20"/>
        <v>2022-07-06</v>
      </c>
      <c r="D596" s="3" t="s">
        <v>9</v>
      </c>
      <c r="E596" s="3" t="s">
        <v>5</v>
      </c>
      <c r="F596" s="3" t="s">
        <v>10</v>
      </c>
      <c r="G596" s="3" t="s">
        <v>1061</v>
      </c>
      <c r="H596" s="3" t="s">
        <v>1062</v>
      </c>
      <c r="I596" s="5">
        <v>1079</v>
      </c>
      <c r="J596" s="3" t="s">
        <v>11</v>
      </c>
      <c r="K596">
        <f>MATCH(A596,Database!$A$2:$A$948,0)</f>
        <v>362</v>
      </c>
      <c r="L596">
        <f>VLOOKUP(A596,Database!$A$2:$I$948,4,0)</f>
        <v>1079</v>
      </c>
      <c r="M596" t="b">
        <f t="shared" si="21"/>
        <v>1</v>
      </c>
      <c r="N596">
        <f>VLOOKUP(A596,Database!$A$2:$I$948,5,0)</f>
        <v>1</v>
      </c>
    </row>
    <row r="597" spans="1:14" hidden="1" x14ac:dyDescent="0.35">
      <c r="A597" s="3">
        <v>103408560</v>
      </c>
      <c r="B597" s="3" t="s">
        <v>1063</v>
      </c>
      <c r="C597" s="3" t="str">
        <f t="shared" si="20"/>
        <v>2022-07-06</v>
      </c>
      <c r="D597" s="3" t="s">
        <v>9</v>
      </c>
      <c r="E597" s="3" t="s">
        <v>5</v>
      </c>
      <c r="F597" s="3" t="s">
        <v>10</v>
      </c>
      <c r="G597" s="3" t="s">
        <v>1064</v>
      </c>
      <c r="H597" s="3" t="s">
        <v>1065</v>
      </c>
      <c r="I597" s="3">
        <v>579</v>
      </c>
      <c r="J597" s="3" t="s">
        <v>13</v>
      </c>
      <c r="K597">
        <f>MATCH(A597,Database!$A$2:$A$948,0)</f>
        <v>361</v>
      </c>
      <c r="L597">
        <f>VLOOKUP(A597,Database!$A$2:$I$948,4,0)</f>
        <v>579</v>
      </c>
      <c r="M597" t="b">
        <f t="shared" si="21"/>
        <v>1</v>
      </c>
      <c r="N597">
        <f>VLOOKUP(A597,Database!$A$2:$I$948,5,0)</f>
        <v>1</v>
      </c>
    </row>
    <row r="598" spans="1:14" hidden="1" x14ac:dyDescent="0.35">
      <c r="A598" s="3">
        <v>103408556</v>
      </c>
      <c r="B598" s="3" t="s">
        <v>1066</v>
      </c>
      <c r="C598" s="3" t="str">
        <f t="shared" si="20"/>
        <v>2022-07-06</v>
      </c>
      <c r="D598" s="3" t="s">
        <v>9</v>
      </c>
      <c r="E598" s="3" t="s">
        <v>5</v>
      </c>
      <c r="F598" s="3" t="s">
        <v>10</v>
      </c>
      <c r="G598" s="3" t="s">
        <v>1067</v>
      </c>
      <c r="H598" s="3" t="s">
        <v>1068</v>
      </c>
      <c r="I598" s="4">
        <v>5129.1400000000003</v>
      </c>
      <c r="J598" s="3" t="s">
        <v>11</v>
      </c>
      <c r="K598">
        <f>MATCH(A598,Database!$A$2:$A$948,0)</f>
        <v>360</v>
      </c>
      <c r="L598">
        <f>VLOOKUP(A598,Database!$A$2:$I$948,4,0)</f>
        <v>5129.1400000000003</v>
      </c>
      <c r="M598" t="b">
        <f t="shared" si="21"/>
        <v>1</v>
      </c>
      <c r="N598">
        <f>VLOOKUP(A598,Database!$A$2:$I$948,5,0)</f>
        <v>1</v>
      </c>
    </row>
    <row r="599" spans="1:14" hidden="1" x14ac:dyDescent="0.35">
      <c r="A599" s="3">
        <v>103408550</v>
      </c>
      <c r="B599" s="3" t="s">
        <v>1069</v>
      </c>
      <c r="C599" s="3" t="str">
        <f t="shared" si="20"/>
        <v>2022-07-06</v>
      </c>
      <c r="D599" s="3" t="s">
        <v>9</v>
      </c>
      <c r="E599" s="3" t="s">
        <v>5</v>
      </c>
      <c r="F599" s="3" t="s">
        <v>10</v>
      </c>
      <c r="G599" s="3" t="s">
        <v>1070</v>
      </c>
      <c r="H599" s="3" t="s">
        <v>1071</v>
      </c>
      <c r="I599" s="4">
        <v>2393.14</v>
      </c>
      <c r="J599" s="3" t="s">
        <v>11</v>
      </c>
      <c r="K599">
        <f>MATCH(A599,Database!$A$2:$A$948,0)</f>
        <v>359</v>
      </c>
      <c r="L599">
        <f>VLOOKUP(A599,Database!$A$2:$I$948,4,0)</f>
        <v>2393.14</v>
      </c>
      <c r="M599" t="b">
        <f t="shared" si="21"/>
        <v>1</v>
      </c>
      <c r="N599">
        <f>VLOOKUP(A599,Database!$A$2:$I$948,5,0)</f>
        <v>1</v>
      </c>
    </row>
    <row r="600" spans="1:14" hidden="1" x14ac:dyDescent="0.35">
      <c r="A600" s="3">
        <v>103408583</v>
      </c>
      <c r="B600" s="3" t="s">
        <v>1072</v>
      </c>
      <c r="C600" s="3" t="str">
        <f t="shared" si="20"/>
        <v>2022-07-06</v>
      </c>
      <c r="D600" s="3" t="s">
        <v>9</v>
      </c>
      <c r="E600" s="3" t="s">
        <v>5</v>
      </c>
      <c r="F600" s="3" t="s">
        <v>12</v>
      </c>
      <c r="G600" s="3" t="s">
        <v>1073</v>
      </c>
      <c r="H600" s="3" t="s">
        <v>1074</v>
      </c>
      <c r="I600" s="3">
        <v>854.14</v>
      </c>
      <c r="J600" s="3" t="s">
        <v>11</v>
      </c>
      <c r="K600">
        <f>MATCH(A600,Database!$A$2:$A$948,0)</f>
        <v>370</v>
      </c>
      <c r="L600">
        <f>VLOOKUP(A600,Database!$A$2:$I$948,4,0)</f>
        <v>854.14</v>
      </c>
      <c r="M600" t="b">
        <f t="shared" si="21"/>
        <v>1</v>
      </c>
      <c r="N600">
        <f>VLOOKUP(A600,Database!$A$2:$I$948,5,0)</f>
        <v>1</v>
      </c>
    </row>
    <row r="601" spans="1:14" hidden="1" x14ac:dyDescent="0.35">
      <c r="A601" s="3">
        <v>103408546</v>
      </c>
      <c r="B601" s="3" t="s">
        <v>4762</v>
      </c>
      <c r="C601" s="3" t="str">
        <f t="shared" si="20"/>
        <v>2022-07-06</v>
      </c>
      <c r="D601" s="3" t="s">
        <v>9</v>
      </c>
      <c r="E601" s="3" t="s">
        <v>5</v>
      </c>
      <c r="F601" s="3" t="s">
        <v>10</v>
      </c>
      <c r="G601" s="3" t="s">
        <v>4763</v>
      </c>
      <c r="H601" s="3" t="s">
        <v>4764</v>
      </c>
      <c r="I601" s="4">
        <v>1939.99</v>
      </c>
      <c r="J601" s="3" t="s">
        <v>13</v>
      </c>
      <c r="K601">
        <f>MATCH(A601,Database!$A$2:$A$948,0)</f>
        <v>358</v>
      </c>
      <c r="L601">
        <f>VLOOKUP(A601,Database!$A$2:$I$948,4,0)</f>
        <v>1939.99</v>
      </c>
      <c r="M601" t="b">
        <f t="shared" si="21"/>
        <v>1</v>
      </c>
      <c r="N601">
        <f>VLOOKUP(A601,Database!$A$2:$I$948,5,0)</f>
        <v>1</v>
      </c>
    </row>
    <row r="602" spans="1:14" hidden="1" x14ac:dyDescent="0.35">
      <c r="A602" s="3">
        <v>103408581</v>
      </c>
      <c r="B602" s="3" t="s">
        <v>1075</v>
      </c>
      <c r="C602" s="3" t="str">
        <f t="shared" si="20"/>
        <v>2022-07-06</v>
      </c>
      <c r="D602" s="3" t="s">
        <v>9</v>
      </c>
      <c r="E602" s="3" t="s">
        <v>5</v>
      </c>
      <c r="F602" s="3" t="s">
        <v>10</v>
      </c>
      <c r="G602" s="3" t="s">
        <v>1076</v>
      </c>
      <c r="H602" s="3" t="s">
        <v>1077</v>
      </c>
      <c r="I602" s="4">
        <v>1922.89</v>
      </c>
      <c r="J602" s="3" t="s">
        <v>11</v>
      </c>
      <c r="K602">
        <f>MATCH(A602,Database!$A$2:$A$948,0)</f>
        <v>369</v>
      </c>
      <c r="L602">
        <f>VLOOKUP(A602,Database!$A$2:$I$948,4,0)</f>
        <v>1922.89</v>
      </c>
      <c r="M602" t="b">
        <f t="shared" si="21"/>
        <v>1</v>
      </c>
      <c r="N602">
        <f>VLOOKUP(A602,Database!$A$2:$I$948,5,0)</f>
        <v>1</v>
      </c>
    </row>
    <row r="603" spans="1:14" hidden="1" x14ac:dyDescent="0.35">
      <c r="A603" s="3">
        <v>103408542</v>
      </c>
      <c r="B603" s="3" t="s">
        <v>1078</v>
      </c>
      <c r="C603" s="3" t="str">
        <f t="shared" si="20"/>
        <v>2022-07-06</v>
      </c>
      <c r="D603" s="3" t="s">
        <v>9</v>
      </c>
      <c r="E603" s="3" t="s">
        <v>5</v>
      </c>
      <c r="F603" s="3" t="s">
        <v>10</v>
      </c>
      <c r="G603" s="3" t="s">
        <v>1079</v>
      </c>
      <c r="H603" s="3" t="s">
        <v>1080</v>
      </c>
      <c r="I603" s="4">
        <v>2849.05</v>
      </c>
      <c r="J603" s="3" t="s">
        <v>11</v>
      </c>
      <c r="K603">
        <f>MATCH(A603,Database!$A$2:$A$948,0)</f>
        <v>357</v>
      </c>
      <c r="L603">
        <f>VLOOKUP(A603,Database!$A$2:$I$948,4,0)</f>
        <v>2849.05</v>
      </c>
      <c r="M603" t="b">
        <f t="shared" si="21"/>
        <v>1</v>
      </c>
      <c r="N603">
        <f>VLOOKUP(A603,Database!$A$2:$I$948,5,0)</f>
        <v>1</v>
      </c>
    </row>
    <row r="604" spans="1:14" hidden="1" x14ac:dyDescent="0.35">
      <c r="A604" s="3">
        <v>103408541</v>
      </c>
      <c r="B604" s="3" t="s">
        <v>1081</v>
      </c>
      <c r="C604" s="3" t="str">
        <f t="shared" si="20"/>
        <v>2022-07-06</v>
      </c>
      <c r="D604" s="3" t="s">
        <v>9</v>
      </c>
      <c r="E604" s="3" t="s">
        <v>5</v>
      </c>
      <c r="F604" s="3" t="s">
        <v>10</v>
      </c>
      <c r="G604" s="3" t="s">
        <v>1082</v>
      </c>
      <c r="H604" s="3" t="s">
        <v>1083</v>
      </c>
      <c r="I604" s="4">
        <v>1661.55</v>
      </c>
      <c r="J604" s="3" t="s">
        <v>11</v>
      </c>
      <c r="K604">
        <f>MATCH(A604,Database!$A$2:$A$948,0)</f>
        <v>356</v>
      </c>
      <c r="L604">
        <f>VLOOKUP(A604,Database!$A$2:$I$948,4,0)</f>
        <v>1661.55</v>
      </c>
      <c r="M604" t="b">
        <f t="shared" si="21"/>
        <v>1</v>
      </c>
      <c r="N604">
        <f>VLOOKUP(A604,Database!$A$2:$I$948,5,0)</f>
        <v>1</v>
      </c>
    </row>
    <row r="605" spans="1:14" hidden="1" x14ac:dyDescent="0.35">
      <c r="A605" s="3">
        <v>103408537</v>
      </c>
      <c r="B605" s="3" t="s">
        <v>1084</v>
      </c>
      <c r="C605" s="3" t="str">
        <f t="shared" si="20"/>
        <v>2022-07-06</v>
      </c>
      <c r="D605" s="3" t="s">
        <v>9</v>
      </c>
      <c r="E605" s="3" t="s">
        <v>5</v>
      </c>
      <c r="F605" s="3" t="s">
        <v>10</v>
      </c>
      <c r="G605" s="3" t="s">
        <v>1085</v>
      </c>
      <c r="H605" s="3" t="s">
        <v>1086</v>
      </c>
      <c r="I605" s="3">
        <v>853.1</v>
      </c>
      <c r="J605" s="3" t="s">
        <v>11</v>
      </c>
      <c r="K605">
        <f>MATCH(A605,Database!$A$2:$A$948,0)</f>
        <v>355</v>
      </c>
      <c r="L605">
        <f>VLOOKUP(A605,Database!$A$2:$I$948,4,0)</f>
        <v>853.1</v>
      </c>
      <c r="M605" t="b">
        <f t="shared" si="21"/>
        <v>1</v>
      </c>
      <c r="N605">
        <f>VLOOKUP(A605,Database!$A$2:$I$948,5,0)</f>
        <v>2</v>
      </c>
    </row>
    <row r="606" spans="1:14" hidden="1" x14ac:dyDescent="0.35">
      <c r="A606" s="3">
        <v>103408574</v>
      </c>
      <c r="B606" s="3" t="s">
        <v>1087</v>
      </c>
      <c r="C606" s="3" t="str">
        <f t="shared" si="20"/>
        <v>2022-07-06</v>
      </c>
      <c r="D606" s="3" t="s">
        <v>9</v>
      </c>
      <c r="E606" s="3" t="s">
        <v>5</v>
      </c>
      <c r="F606" s="3" t="s">
        <v>10</v>
      </c>
      <c r="G606" s="3" t="s">
        <v>1088</v>
      </c>
      <c r="H606" s="3" t="s">
        <v>1089</v>
      </c>
      <c r="I606" s="4">
        <v>2564.14</v>
      </c>
      <c r="J606" s="3" t="s">
        <v>11</v>
      </c>
      <c r="K606">
        <f>MATCH(A606,Database!$A$2:$A$948,0)</f>
        <v>368</v>
      </c>
      <c r="L606">
        <f>VLOOKUP(A606,Database!$A$2:$I$948,4,0)</f>
        <v>2564.14</v>
      </c>
      <c r="M606" t="b">
        <f t="shared" si="21"/>
        <v>1</v>
      </c>
      <c r="N606">
        <f>VLOOKUP(A606,Database!$A$2:$I$948,5,0)</f>
        <v>1</v>
      </c>
    </row>
    <row r="607" spans="1:14" hidden="1" x14ac:dyDescent="0.35">
      <c r="A607" s="3">
        <v>103408573</v>
      </c>
      <c r="B607" s="3" t="s">
        <v>1090</v>
      </c>
      <c r="C607" s="3" t="str">
        <f t="shared" si="20"/>
        <v>2022-07-06</v>
      </c>
      <c r="D607" s="3" t="s">
        <v>9</v>
      </c>
      <c r="E607" s="3" t="s">
        <v>5</v>
      </c>
      <c r="F607" s="3" t="s">
        <v>12</v>
      </c>
      <c r="G607" s="3" t="s">
        <v>1091</v>
      </c>
      <c r="H607" s="3" t="s">
        <v>1092</v>
      </c>
      <c r="I607" s="4">
        <v>1352.85</v>
      </c>
      <c r="J607" s="3" t="s">
        <v>11</v>
      </c>
      <c r="K607">
        <f>MATCH(A607,Database!$A$2:$A$948,0)</f>
        <v>367</v>
      </c>
      <c r="L607">
        <f>VLOOKUP(A607,Database!$A$2:$I$948,4,0)</f>
        <v>1352.85</v>
      </c>
      <c r="M607" t="b">
        <f t="shared" si="21"/>
        <v>1</v>
      </c>
      <c r="N607">
        <f>VLOOKUP(A607,Database!$A$2:$I$948,5,0)</f>
        <v>1</v>
      </c>
    </row>
    <row r="608" spans="1:14" hidden="1" x14ac:dyDescent="0.35">
      <c r="A608" s="3">
        <v>103408572</v>
      </c>
      <c r="B608" s="3" t="s">
        <v>1093</v>
      </c>
      <c r="C608" s="3" t="str">
        <f t="shared" si="20"/>
        <v>2022-07-06</v>
      </c>
      <c r="D608" s="3" t="s">
        <v>9</v>
      </c>
      <c r="E608" s="3" t="s">
        <v>5</v>
      </c>
      <c r="F608" s="3" t="s">
        <v>10</v>
      </c>
      <c r="G608" s="3" t="s">
        <v>1094</v>
      </c>
      <c r="H608" s="3" t="s">
        <v>1095</v>
      </c>
      <c r="I608" s="5">
        <v>2547</v>
      </c>
      <c r="J608" s="3" t="s">
        <v>11</v>
      </c>
      <c r="K608">
        <f>MATCH(A608,Database!$A$2:$A$948,0)</f>
        <v>366</v>
      </c>
      <c r="L608">
        <f>VLOOKUP(A608,Database!$A$2:$I$948,4,0)</f>
        <v>2547</v>
      </c>
      <c r="M608" t="b">
        <f t="shared" si="21"/>
        <v>1</v>
      </c>
      <c r="N608">
        <f>VLOOKUP(A608,Database!$A$2:$I$948,5,0)</f>
        <v>3</v>
      </c>
    </row>
    <row r="609" spans="1:14" hidden="1" x14ac:dyDescent="0.35">
      <c r="A609" s="3">
        <v>103408532</v>
      </c>
      <c r="B609" s="3" t="s">
        <v>1096</v>
      </c>
      <c r="C609" s="3" t="str">
        <f t="shared" si="20"/>
        <v>2022-07-06</v>
      </c>
      <c r="D609" s="3" t="s">
        <v>9</v>
      </c>
      <c r="E609" s="3" t="s">
        <v>5</v>
      </c>
      <c r="F609" s="3" t="s">
        <v>10</v>
      </c>
      <c r="G609" s="3" t="s">
        <v>1097</v>
      </c>
      <c r="H609" s="3" t="s">
        <v>1098</v>
      </c>
      <c r="I609" s="5">
        <v>3599</v>
      </c>
      <c r="J609" s="3" t="s">
        <v>11</v>
      </c>
      <c r="K609">
        <f>MATCH(A609,Database!$A$2:$A$948,0)</f>
        <v>354</v>
      </c>
      <c r="L609">
        <f>VLOOKUP(A609,Database!$A$2:$I$948,4,0)</f>
        <v>3599</v>
      </c>
      <c r="M609" t="b">
        <f t="shared" si="21"/>
        <v>1</v>
      </c>
      <c r="N609">
        <f>VLOOKUP(A609,Database!$A$2:$I$948,5,0)</f>
        <v>1</v>
      </c>
    </row>
    <row r="610" spans="1:14" hidden="1" x14ac:dyDescent="0.35">
      <c r="A610" s="3">
        <v>103408569</v>
      </c>
      <c r="B610" s="3" t="s">
        <v>1099</v>
      </c>
      <c r="C610" s="3" t="str">
        <f t="shared" si="20"/>
        <v>2022-07-06</v>
      </c>
      <c r="D610" s="3" t="s">
        <v>9</v>
      </c>
      <c r="E610" s="3" t="s">
        <v>5</v>
      </c>
      <c r="F610" s="3" t="s">
        <v>10</v>
      </c>
      <c r="G610" s="3" t="s">
        <v>1100</v>
      </c>
      <c r="H610" s="3" t="s">
        <v>1101</v>
      </c>
      <c r="I610" s="3">
        <v>939.55</v>
      </c>
      <c r="J610" s="3" t="s">
        <v>11</v>
      </c>
      <c r="K610">
        <f>MATCH(A610,Database!$A$2:$A$948,0)</f>
        <v>365</v>
      </c>
      <c r="L610">
        <f>VLOOKUP(A610,Database!$A$2:$I$948,4,0)</f>
        <v>939.55</v>
      </c>
      <c r="M610" t="b">
        <f t="shared" si="21"/>
        <v>1</v>
      </c>
      <c r="N610">
        <f>VLOOKUP(A610,Database!$A$2:$I$948,5,0)</f>
        <v>1</v>
      </c>
    </row>
    <row r="611" spans="1:14" hidden="1" x14ac:dyDescent="0.35">
      <c r="A611" s="3">
        <v>103408531</v>
      </c>
      <c r="B611" s="3" t="s">
        <v>1102</v>
      </c>
      <c r="C611" s="3" t="str">
        <f t="shared" si="20"/>
        <v>2022-07-06</v>
      </c>
      <c r="D611" s="3" t="s">
        <v>9</v>
      </c>
      <c r="E611" s="3" t="s">
        <v>5</v>
      </c>
      <c r="F611" s="3" t="s">
        <v>10</v>
      </c>
      <c r="G611" s="3" t="s">
        <v>1103</v>
      </c>
      <c r="H611" s="3" t="s">
        <v>1104</v>
      </c>
      <c r="I611" s="4">
        <v>3247.29</v>
      </c>
      <c r="J611" s="3" t="s">
        <v>11</v>
      </c>
      <c r="K611">
        <f>MATCH(A611,Database!$A$2:$A$948,0)</f>
        <v>353</v>
      </c>
      <c r="L611">
        <f>VLOOKUP(A611,Database!$A$2:$I$948,4,0)</f>
        <v>3247.29</v>
      </c>
      <c r="M611" t="b">
        <f t="shared" si="21"/>
        <v>1</v>
      </c>
      <c r="N611">
        <f>VLOOKUP(A611,Database!$A$2:$I$948,5,0)</f>
        <v>2</v>
      </c>
    </row>
    <row r="612" spans="1:14" hidden="1" x14ac:dyDescent="0.35">
      <c r="A612" s="3">
        <v>103408566</v>
      </c>
      <c r="B612" s="3" t="s">
        <v>1105</v>
      </c>
      <c r="C612" s="3" t="str">
        <f t="shared" si="20"/>
        <v>2022-07-06</v>
      </c>
      <c r="D612" s="3" t="s">
        <v>9</v>
      </c>
      <c r="E612" s="3" t="s">
        <v>5</v>
      </c>
      <c r="F612" s="3" t="s">
        <v>10</v>
      </c>
      <c r="G612" s="3" t="s">
        <v>1106</v>
      </c>
      <c r="H612" s="3" t="s">
        <v>1107</v>
      </c>
      <c r="I612" s="5">
        <v>1798</v>
      </c>
      <c r="J612" s="3" t="s">
        <v>11</v>
      </c>
      <c r="K612">
        <f>MATCH(A612,Database!$A$2:$A$948,0)</f>
        <v>364</v>
      </c>
      <c r="L612">
        <f>VLOOKUP(A612,Database!$A$2:$I$948,4,0)</f>
        <v>1798</v>
      </c>
      <c r="M612" t="b">
        <f t="shared" si="21"/>
        <v>1</v>
      </c>
      <c r="N612">
        <f>VLOOKUP(A612,Database!$A$2:$I$948,5,0)</f>
        <v>2</v>
      </c>
    </row>
    <row r="613" spans="1:14" hidden="1" x14ac:dyDescent="0.35">
      <c r="A613" s="3">
        <v>103408565</v>
      </c>
      <c r="B613" s="3" t="s">
        <v>1108</v>
      </c>
      <c r="C613" s="3" t="str">
        <f t="shared" si="20"/>
        <v>2022-07-06</v>
      </c>
      <c r="D613" s="3" t="s">
        <v>9</v>
      </c>
      <c r="E613" s="3" t="s">
        <v>5</v>
      </c>
      <c r="F613" s="3" t="s">
        <v>10</v>
      </c>
      <c r="G613" s="3" t="s">
        <v>1109</v>
      </c>
      <c r="H613" s="3" t="s">
        <v>1110</v>
      </c>
      <c r="I613" s="4">
        <v>1424.05</v>
      </c>
      <c r="J613" s="3" t="s">
        <v>11</v>
      </c>
      <c r="K613">
        <f>MATCH(A613,Database!$A$2:$A$948,0)</f>
        <v>363</v>
      </c>
      <c r="L613">
        <f>VLOOKUP(A613,Database!$A$2:$I$948,4,0)</f>
        <v>1424.05</v>
      </c>
      <c r="M613" t="b">
        <f t="shared" si="21"/>
        <v>1</v>
      </c>
      <c r="N613">
        <f>VLOOKUP(A613,Database!$A$2:$I$948,5,0)</f>
        <v>1</v>
      </c>
    </row>
    <row r="614" spans="1:14" hidden="1" x14ac:dyDescent="0.35">
      <c r="A614" s="3">
        <v>103408528</v>
      </c>
      <c r="B614" s="3" t="s">
        <v>1108</v>
      </c>
      <c r="C614" s="3" t="str">
        <f t="shared" si="20"/>
        <v>2022-07-06</v>
      </c>
      <c r="D614" s="3" t="s">
        <v>9</v>
      </c>
      <c r="E614" s="3" t="s">
        <v>5</v>
      </c>
      <c r="F614" s="3" t="s">
        <v>10</v>
      </c>
      <c r="G614" s="3" t="s">
        <v>1111</v>
      </c>
      <c r="H614" s="3" t="s">
        <v>1112</v>
      </c>
      <c r="I614" s="5">
        <v>4999</v>
      </c>
      <c r="J614" s="3" t="s">
        <v>11</v>
      </c>
      <c r="K614" t="e">
        <f>MATCH(A614,Database!$A$2:$A$948,0)</f>
        <v>#N/A</v>
      </c>
      <c r="L614" t="e">
        <f>VLOOKUP(A614,Database!$A$2:$I$948,4,0)</f>
        <v>#N/A</v>
      </c>
      <c r="M614" t="e">
        <f t="shared" si="21"/>
        <v>#N/A</v>
      </c>
      <c r="N614" t="e">
        <f>VLOOKUP(A614,Database!$A$2:$I$948,5,0)</f>
        <v>#N/A</v>
      </c>
    </row>
    <row r="615" spans="1:14" hidden="1" x14ac:dyDescent="0.35">
      <c r="A615" s="3">
        <v>103408462</v>
      </c>
      <c r="B615" s="3" t="s">
        <v>1113</v>
      </c>
      <c r="C615" s="3" t="str">
        <f t="shared" si="20"/>
        <v>2022-07-06</v>
      </c>
      <c r="D615" s="3" t="s">
        <v>9</v>
      </c>
      <c r="E615" s="3" t="s">
        <v>5</v>
      </c>
      <c r="F615" s="3" t="s">
        <v>10</v>
      </c>
      <c r="G615" s="3" t="s">
        <v>1114</v>
      </c>
      <c r="H615" s="3" t="s">
        <v>1115</v>
      </c>
      <c r="I615" s="3">
        <v>969</v>
      </c>
      <c r="J615" s="3" t="s">
        <v>11</v>
      </c>
      <c r="K615">
        <f>MATCH(A615,Database!$A$2:$A$948,0)</f>
        <v>334</v>
      </c>
      <c r="L615">
        <f>VLOOKUP(A615,Database!$A$2:$I$948,4,0)</f>
        <v>969</v>
      </c>
      <c r="M615" t="b">
        <f t="shared" si="21"/>
        <v>1</v>
      </c>
      <c r="N615">
        <f>VLOOKUP(A615,Database!$A$2:$I$948,5,0)</f>
        <v>1</v>
      </c>
    </row>
    <row r="616" spans="1:14" hidden="1" x14ac:dyDescent="0.35">
      <c r="A616" s="3">
        <v>103408526</v>
      </c>
      <c r="B616" s="3" t="s">
        <v>1116</v>
      </c>
      <c r="C616" s="3" t="str">
        <f t="shared" si="20"/>
        <v>2022-07-06</v>
      </c>
      <c r="D616" s="3" t="s">
        <v>9</v>
      </c>
      <c r="E616" s="3" t="s">
        <v>5</v>
      </c>
      <c r="F616" s="3" t="s">
        <v>10</v>
      </c>
      <c r="G616" s="3" t="s">
        <v>1117</v>
      </c>
      <c r="H616" s="3" t="s">
        <v>1118</v>
      </c>
      <c r="I616" s="5">
        <v>4999</v>
      </c>
      <c r="J616" s="3" t="s">
        <v>11</v>
      </c>
      <c r="K616">
        <f>MATCH(A616,Database!$A$2:$A$948,0)</f>
        <v>352</v>
      </c>
      <c r="L616">
        <f>VLOOKUP(A616,Database!$A$2:$I$948,4,0)</f>
        <v>4999</v>
      </c>
      <c r="M616" t="b">
        <f t="shared" si="21"/>
        <v>1</v>
      </c>
      <c r="N616">
        <f>VLOOKUP(A616,Database!$A$2:$I$948,5,0)</f>
        <v>1</v>
      </c>
    </row>
    <row r="617" spans="1:14" hidden="1" x14ac:dyDescent="0.35">
      <c r="A617" s="3">
        <v>103408521</v>
      </c>
      <c r="B617" s="3" t="s">
        <v>1119</v>
      </c>
      <c r="C617" s="3" t="str">
        <f t="shared" si="20"/>
        <v>2022-07-06</v>
      </c>
      <c r="D617" s="3" t="s">
        <v>9</v>
      </c>
      <c r="E617" s="3" t="s">
        <v>5</v>
      </c>
      <c r="F617" s="3" t="s">
        <v>10</v>
      </c>
      <c r="G617" s="3" t="s">
        <v>1117</v>
      </c>
      <c r="H617" s="3" t="s">
        <v>1118</v>
      </c>
      <c r="I617" s="5">
        <v>5399</v>
      </c>
      <c r="J617" s="3" t="s">
        <v>11</v>
      </c>
      <c r="K617">
        <f>MATCH(A617,Database!$A$2:$A$948,0)</f>
        <v>351</v>
      </c>
      <c r="L617">
        <f>VLOOKUP(A617,Database!$A$2:$I$948,4,0)</f>
        <v>5399</v>
      </c>
      <c r="M617" t="b">
        <f t="shared" si="21"/>
        <v>1</v>
      </c>
      <c r="N617">
        <f>VLOOKUP(A617,Database!$A$2:$I$948,5,0)</f>
        <v>1</v>
      </c>
    </row>
    <row r="618" spans="1:14" hidden="1" x14ac:dyDescent="0.35">
      <c r="A618" s="3">
        <v>103408458</v>
      </c>
      <c r="B618" s="3" t="s">
        <v>1120</v>
      </c>
      <c r="C618" s="3" t="str">
        <f t="shared" si="20"/>
        <v>2022-07-06</v>
      </c>
      <c r="D618" s="3" t="s">
        <v>9</v>
      </c>
      <c r="E618" s="3" t="s">
        <v>5</v>
      </c>
      <c r="F618" s="3" t="s">
        <v>10</v>
      </c>
      <c r="G618" s="3" t="s">
        <v>1121</v>
      </c>
      <c r="H618" s="3" t="s">
        <v>1122</v>
      </c>
      <c r="I618" s="3">
        <v>969</v>
      </c>
      <c r="J618" s="3" t="s">
        <v>11</v>
      </c>
      <c r="K618">
        <f>MATCH(A618,Database!$A$2:$A$948,0)</f>
        <v>333</v>
      </c>
      <c r="L618">
        <f>VLOOKUP(A618,Database!$A$2:$I$948,4,0)</f>
        <v>969</v>
      </c>
      <c r="M618" t="b">
        <f t="shared" si="21"/>
        <v>1</v>
      </c>
      <c r="N618">
        <f>VLOOKUP(A618,Database!$A$2:$I$948,5,0)</f>
        <v>1</v>
      </c>
    </row>
    <row r="619" spans="1:14" hidden="1" x14ac:dyDescent="0.35">
      <c r="A619" s="3">
        <v>103408511</v>
      </c>
      <c r="B619" s="3" t="s">
        <v>1123</v>
      </c>
      <c r="C619" s="3" t="str">
        <f t="shared" si="20"/>
        <v>2022-07-06</v>
      </c>
      <c r="D619" s="3" t="s">
        <v>9</v>
      </c>
      <c r="E619" s="3" t="s">
        <v>5</v>
      </c>
      <c r="F619" s="3" t="s">
        <v>10</v>
      </c>
      <c r="G619" s="3" t="s">
        <v>1124</v>
      </c>
      <c r="H619" s="3" t="s">
        <v>1125</v>
      </c>
      <c r="I619" s="3">
        <v>969</v>
      </c>
      <c r="J619" s="3" t="s">
        <v>11</v>
      </c>
      <c r="K619">
        <f>MATCH(A619,Database!$A$2:$A$948,0)</f>
        <v>350</v>
      </c>
      <c r="L619">
        <f>VLOOKUP(A619,Database!$A$2:$I$948,4,0)</f>
        <v>969</v>
      </c>
      <c r="M619" t="b">
        <f t="shared" si="21"/>
        <v>1</v>
      </c>
      <c r="N619">
        <f>VLOOKUP(A619,Database!$A$2:$I$948,5,0)</f>
        <v>1</v>
      </c>
    </row>
    <row r="620" spans="1:14" hidden="1" x14ac:dyDescent="0.35">
      <c r="A620" s="3">
        <v>103408508</v>
      </c>
      <c r="B620" s="3" t="s">
        <v>1126</v>
      </c>
      <c r="C620" s="3" t="str">
        <f t="shared" si="20"/>
        <v>2022-07-06</v>
      </c>
      <c r="D620" s="3" t="s">
        <v>9</v>
      </c>
      <c r="E620" s="3" t="s">
        <v>5</v>
      </c>
      <c r="F620" s="3" t="s">
        <v>10</v>
      </c>
      <c r="G620" s="3" t="s">
        <v>1127</v>
      </c>
      <c r="H620" s="3" t="s">
        <v>1128</v>
      </c>
      <c r="I620" s="4">
        <v>2461.54</v>
      </c>
      <c r="J620" s="3" t="s">
        <v>11</v>
      </c>
      <c r="K620">
        <f>MATCH(A620,Database!$A$2:$A$948,0)</f>
        <v>349</v>
      </c>
      <c r="L620">
        <f>VLOOKUP(A620,Database!$A$2:$I$948,4,0)</f>
        <v>2461.54</v>
      </c>
      <c r="M620" t="b">
        <f t="shared" si="21"/>
        <v>1</v>
      </c>
      <c r="N620">
        <f>VLOOKUP(A620,Database!$A$2:$I$948,5,0)</f>
        <v>1</v>
      </c>
    </row>
    <row r="621" spans="1:14" hidden="1" x14ac:dyDescent="0.35">
      <c r="A621" s="3">
        <v>103408507</v>
      </c>
      <c r="B621" s="3" t="s">
        <v>1129</v>
      </c>
      <c r="C621" s="3" t="str">
        <f t="shared" si="20"/>
        <v>2022-07-06</v>
      </c>
      <c r="D621" s="3" t="s">
        <v>9</v>
      </c>
      <c r="E621" s="3" t="s">
        <v>5</v>
      </c>
      <c r="F621" s="3" t="s">
        <v>12</v>
      </c>
      <c r="G621" s="3" t="s">
        <v>1130</v>
      </c>
      <c r="H621" s="3" t="s">
        <v>1131</v>
      </c>
      <c r="I621" s="4">
        <v>2519.1</v>
      </c>
      <c r="J621" s="3" t="s">
        <v>11</v>
      </c>
      <c r="K621">
        <f>MATCH(A621,Database!$A$2:$A$948,0)</f>
        <v>348</v>
      </c>
      <c r="L621">
        <f>VLOOKUP(A621,Database!$A$2:$I$948,4,0)</f>
        <v>2519.1</v>
      </c>
      <c r="M621" t="b">
        <f t="shared" si="21"/>
        <v>1</v>
      </c>
      <c r="N621">
        <f>VLOOKUP(A621,Database!$A$2:$I$948,5,0)</f>
        <v>1</v>
      </c>
    </row>
    <row r="622" spans="1:14" hidden="1" x14ac:dyDescent="0.35">
      <c r="A622" s="3">
        <v>103408447</v>
      </c>
      <c r="B622" s="3" t="s">
        <v>1132</v>
      </c>
      <c r="C622" s="3" t="str">
        <f t="shared" si="20"/>
        <v>2022-07-06</v>
      </c>
      <c r="D622" s="3" t="s">
        <v>9</v>
      </c>
      <c r="E622" s="3" t="s">
        <v>5</v>
      </c>
      <c r="F622" s="3" t="s">
        <v>10</v>
      </c>
      <c r="G622" s="3" t="s">
        <v>1133</v>
      </c>
      <c r="H622" s="3" t="s">
        <v>1134</v>
      </c>
      <c r="I622" s="4">
        <v>1110.55</v>
      </c>
      <c r="J622" s="3" t="s">
        <v>11</v>
      </c>
      <c r="K622">
        <f>MATCH(A622,Database!$A$2:$A$948,0)</f>
        <v>332</v>
      </c>
      <c r="L622">
        <f>VLOOKUP(A622,Database!$A$2:$I$948,4,0)</f>
        <v>1110.55</v>
      </c>
      <c r="M622" t="b">
        <f t="shared" si="21"/>
        <v>1</v>
      </c>
      <c r="N622">
        <f>VLOOKUP(A622,Database!$A$2:$I$948,5,0)</f>
        <v>1</v>
      </c>
    </row>
    <row r="623" spans="1:14" hidden="1" x14ac:dyDescent="0.35">
      <c r="A623" s="3">
        <v>103408502</v>
      </c>
      <c r="B623" s="3" t="s">
        <v>1135</v>
      </c>
      <c r="C623" s="3" t="str">
        <f t="shared" si="20"/>
        <v>2022-07-06</v>
      </c>
      <c r="D623" s="3" t="s">
        <v>9</v>
      </c>
      <c r="E623" s="3" t="s">
        <v>5</v>
      </c>
      <c r="F623" s="3" t="s">
        <v>10</v>
      </c>
      <c r="G623" s="3" t="s">
        <v>1136</v>
      </c>
      <c r="H623" s="3" t="s">
        <v>1137</v>
      </c>
      <c r="I623" s="5">
        <v>3149</v>
      </c>
      <c r="J623" s="3" t="s">
        <v>11</v>
      </c>
      <c r="K623">
        <f>MATCH(A623,Database!$A$2:$A$948,0)</f>
        <v>347</v>
      </c>
      <c r="L623">
        <f>VLOOKUP(A623,Database!$A$2:$I$948,4,0)</f>
        <v>3149</v>
      </c>
      <c r="M623" t="b">
        <f t="shared" si="21"/>
        <v>1</v>
      </c>
      <c r="N623">
        <f>VLOOKUP(A623,Database!$A$2:$I$948,5,0)</f>
        <v>1</v>
      </c>
    </row>
    <row r="624" spans="1:14" hidden="1" x14ac:dyDescent="0.35">
      <c r="A624" s="3">
        <v>103408439</v>
      </c>
      <c r="B624" s="3" t="s">
        <v>1138</v>
      </c>
      <c r="C624" s="3" t="str">
        <f t="shared" si="20"/>
        <v>2022-07-06</v>
      </c>
      <c r="D624" s="3" t="s">
        <v>9</v>
      </c>
      <c r="E624" s="3" t="s">
        <v>5</v>
      </c>
      <c r="F624" s="3" t="s">
        <v>10</v>
      </c>
      <c r="G624" s="3" t="s">
        <v>1139</v>
      </c>
      <c r="H624" s="3" t="s">
        <v>1140</v>
      </c>
      <c r="I624" s="3">
        <v>369</v>
      </c>
      <c r="J624" s="3" t="s">
        <v>11</v>
      </c>
      <c r="K624">
        <f>MATCH(A624,Database!$A$2:$A$948,0)</f>
        <v>331</v>
      </c>
      <c r="L624">
        <f>VLOOKUP(A624,Database!$A$2:$I$948,4,0)</f>
        <v>369</v>
      </c>
      <c r="M624" t="b">
        <f t="shared" si="21"/>
        <v>1</v>
      </c>
      <c r="N624">
        <f>VLOOKUP(A624,Database!$A$2:$I$948,5,0)</f>
        <v>1</v>
      </c>
    </row>
    <row r="625" spans="1:14" hidden="1" x14ac:dyDescent="0.35">
      <c r="A625" s="3">
        <v>103408437</v>
      </c>
      <c r="B625" s="3" t="s">
        <v>1141</v>
      </c>
      <c r="C625" s="3" t="str">
        <f t="shared" si="20"/>
        <v>2022-07-06</v>
      </c>
      <c r="D625" s="3" t="s">
        <v>9</v>
      </c>
      <c r="E625" s="3" t="s">
        <v>5</v>
      </c>
      <c r="F625" s="3" t="s">
        <v>10</v>
      </c>
      <c r="G625" s="3" t="s">
        <v>1142</v>
      </c>
      <c r="H625" s="3" t="s">
        <v>1143</v>
      </c>
      <c r="I625" s="4">
        <v>1423.1</v>
      </c>
      <c r="J625" s="3" t="s">
        <v>11</v>
      </c>
      <c r="K625">
        <f>MATCH(A625,Database!$A$2:$A$948,0)</f>
        <v>330</v>
      </c>
      <c r="L625">
        <f>VLOOKUP(A625,Database!$A$2:$I$948,4,0)</f>
        <v>1423.1</v>
      </c>
      <c r="M625" t="b">
        <f t="shared" si="21"/>
        <v>1</v>
      </c>
      <c r="N625">
        <f>VLOOKUP(A625,Database!$A$2:$I$948,5,0)</f>
        <v>2</v>
      </c>
    </row>
    <row r="626" spans="1:14" hidden="1" x14ac:dyDescent="0.35">
      <c r="A626" s="3">
        <v>103408436</v>
      </c>
      <c r="B626" s="3" t="s">
        <v>1144</v>
      </c>
      <c r="C626" s="3" t="str">
        <f t="shared" si="20"/>
        <v>2022-07-06</v>
      </c>
      <c r="D626" s="3" t="s">
        <v>9</v>
      </c>
      <c r="E626" s="3" t="s">
        <v>5</v>
      </c>
      <c r="F626" s="3" t="s">
        <v>10</v>
      </c>
      <c r="G626" s="3" t="s">
        <v>1145</v>
      </c>
      <c r="H626" s="3" t="s">
        <v>1146</v>
      </c>
      <c r="I626" s="3">
        <v>969</v>
      </c>
      <c r="J626" s="3" t="s">
        <v>11</v>
      </c>
      <c r="K626">
        <f>MATCH(A626,Database!$A$2:$A$948,0)</f>
        <v>329</v>
      </c>
      <c r="L626">
        <f>VLOOKUP(A626,Database!$A$2:$I$948,4,0)</f>
        <v>969</v>
      </c>
      <c r="M626" t="b">
        <f t="shared" si="21"/>
        <v>1</v>
      </c>
      <c r="N626">
        <f>VLOOKUP(A626,Database!$A$2:$I$948,5,0)</f>
        <v>1</v>
      </c>
    </row>
    <row r="627" spans="1:14" hidden="1" x14ac:dyDescent="0.35">
      <c r="A627" s="3">
        <v>103408432</v>
      </c>
      <c r="B627" s="3" t="s">
        <v>1147</v>
      </c>
      <c r="C627" s="3" t="str">
        <f t="shared" si="20"/>
        <v>2022-07-06</v>
      </c>
      <c r="D627" s="3" t="s">
        <v>9</v>
      </c>
      <c r="E627" s="3" t="s">
        <v>5</v>
      </c>
      <c r="F627" s="3" t="s">
        <v>12</v>
      </c>
      <c r="G627" s="3" t="s">
        <v>1148</v>
      </c>
      <c r="H627" s="3" t="s">
        <v>1149</v>
      </c>
      <c r="I627" s="5">
        <v>3019</v>
      </c>
      <c r="J627" s="3" t="s">
        <v>11</v>
      </c>
      <c r="K627">
        <f>MATCH(A627,Database!$A$2:$A$948,0)</f>
        <v>328</v>
      </c>
      <c r="L627">
        <f>VLOOKUP(A627,Database!$A$2:$I$948,4,0)</f>
        <v>3019</v>
      </c>
      <c r="M627" t="b">
        <f t="shared" si="21"/>
        <v>1</v>
      </c>
      <c r="N627">
        <f>VLOOKUP(A627,Database!$A$2:$I$948,5,0)</f>
        <v>1</v>
      </c>
    </row>
    <row r="628" spans="1:14" hidden="1" x14ac:dyDescent="0.35">
      <c r="A628" s="3">
        <v>103408497</v>
      </c>
      <c r="B628" s="3" t="s">
        <v>1150</v>
      </c>
      <c r="C628" s="3" t="str">
        <f t="shared" si="20"/>
        <v>2022-07-06</v>
      </c>
      <c r="D628" s="3" t="s">
        <v>9</v>
      </c>
      <c r="E628" s="3" t="s">
        <v>5</v>
      </c>
      <c r="F628" s="3" t="s">
        <v>10</v>
      </c>
      <c r="G628" s="3" t="s">
        <v>1151</v>
      </c>
      <c r="H628" s="3" t="s">
        <v>1152</v>
      </c>
      <c r="I628" s="4">
        <v>2849.05</v>
      </c>
      <c r="J628" s="3" t="s">
        <v>11</v>
      </c>
      <c r="K628">
        <f>MATCH(A628,Database!$A$2:$A$948,0)</f>
        <v>346</v>
      </c>
      <c r="L628">
        <f>VLOOKUP(A628,Database!$A$2:$I$948,4,0)</f>
        <v>2849.05</v>
      </c>
      <c r="M628" t="b">
        <f t="shared" si="21"/>
        <v>1</v>
      </c>
      <c r="N628">
        <f>VLOOKUP(A628,Database!$A$2:$I$948,5,0)</f>
        <v>1</v>
      </c>
    </row>
    <row r="629" spans="1:14" hidden="1" x14ac:dyDescent="0.35">
      <c r="A629" s="3">
        <v>103408495</v>
      </c>
      <c r="B629" s="3" t="s">
        <v>1153</v>
      </c>
      <c r="C629" s="3" t="str">
        <f t="shared" si="20"/>
        <v>2022-07-06</v>
      </c>
      <c r="D629" s="3" t="s">
        <v>9</v>
      </c>
      <c r="E629" s="3" t="s">
        <v>5</v>
      </c>
      <c r="F629" s="3" t="s">
        <v>10</v>
      </c>
      <c r="G629" s="3" t="s">
        <v>1154</v>
      </c>
      <c r="H629" s="3" t="s">
        <v>1155</v>
      </c>
      <c r="I629" s="4">
        <v>1709.05</v>
      </c>
      <c r="J629" s="3" t="s">
        <v>11</v>
      </c>
      <c r="K629">
        <f>MATCH(A629,Database!$A$2:$A$948,0)</f>
        <v>345</v>
      </c>
      <c r="L629">
        <f>VLOOKUP(A629,Database!$A$2:$I$948,4,0)</f>
        <v>1709.05</v>
      </c>
      <c r="M629" t="b">
        <f t="shared" si="21"/>
        <v>1</v>
      </c>
      <c r="N629">
        <f>VLOOKUP(A629,Database!$A$2:$I$948,5,0)</f>
        <v>1</v>
      </c>
    </row>
    <row r="630" spans="1:14" hidden="1" x14ac:dyDescent="0.35">
      <c r="A630" s="3">
        <v>103408492</v>
      </c>
      <c r="B630" s="3" t="s">
        <v>1156</v>
      </c>
      <c r="C630" s="3" t="str">
        <f t="shared" si="20"/>
        <v>2022-07-06</v>
      </c>
      <c r="D630" s="3" t="s">
        <v>9</v>
      </c>
      <c r="E630" s="3" t="s">
        <v>5</v>
      </c>
      <c r="F630" s="3" t="s">
        <v>10</v>
      </c>
      <c r="G630" s="3" t="s">
        <v>1157</v>
      </c>
      <c r="H630" s="3" t="s">
        <v>1158</v>
      </c>
      <c r="I630" s="5">
        <v>1259</v>
      </c>
      <c r="J630" s="3" t="s">
        <v>11</v>
      </c>
      <c r="K630">
        <f>MATCH(A630,Database!$A$2:$A$948,0)</f>
        <v>344</v>
      </c>
      <c r="L630">
        <f>VLOOKUP(A630,Database!$A$2:$I$948,4,0)</f>
        <v>1259</v>
      </c>
      <c r="M630" t="b">
        <f t="shared" si="21"/>
        <v>1</v>
      </c>
      <c r="N630">
        <f>VLOOKUP(A630,Database!$A$2:$I$948,5,0)</f>
        <v>1</v>
      </c>
    </row>
    <row r="631" spans="1:14" hidden="1" x14ac:dyDescent="0.35">
      <c r="A631" s="3">
        <v>103408425</v>
      </c>
      <c r="B631" s="3" t="s">
        <v>1159</v>
      </c>
      <c r="C631" s="3" t="str">
        <f t="shared" si="20"/>
        <v>2022-07-06</v>
      </c>
      <c r="D631" s="3" t="s">
        <v>9</v>
      </c>
      <c r="E631" s="3" t="s">
        <v>5</v>
      </c>
      <c r="F631" s="3" t="s">
        <v>10</v>
      </c>
      <c r="G631" s="3" t="s">
        <v>1160</v>
      </c>
      <c r="H631" s="3" t="s">
        <v>1161</v>
      </c>
      <c r="I631" s="4">
        <v>1435.54</v>
      </c>
      <c r="J631" s="3" t="s">
        <v>11</v>
      </c>
      <c r="K631">
        <f>MATCH(A631,Database!$A$2:$A$948,0)</f>
        <v>327</v>
      </c>
      <c r="L631">
        <f>VLOOKUP(A631,Database!$A$2:$I$948,4,0)</f>
        <v>1435.54</v>
      </c>
      <c r="M631" t="b">
        <f t="shared" si="21"/>
        <v>1</v>
      </c>
      <c r="N631">
        <f>VLOOKUP(A631,Database!$A$2:$I$948,5,0)</f>
        <v>1</v>
      </c>
    </row>
    <row r="632" spans="1:14" hidden="1" x14ac:dyDescent="0.35">
      <c r="A632" s="3">
        <v>103408489</v>
      </c>
      <c r="B632" s="3" t="s">
        <v>1162</v>
      </c>
      <c r="C632" s="3" t="str">
        <f t="shared" si="20"/>
        <v>2022-07-06</v>
      </c>
      <c r="D632" s="3" t="s">
        <v>9</v>
      </c>
      <c r="E632" s="3" t="s">
        <v>5</v>
      </c>
      <c r="F632" s="3" t="s">
        <v>10</v>
      </c>
      <c r="G632" s="3" t="s">
        <v>1163</v>
      </c>
      <c r="H632" s="3" t="s">
        <v>1164</v>
      </c>
      <c r="I632" s="4">
        <v>2093.89</v>
      </c>
      <c r="J632" s="3" t="s">
        <v>11</v>
      </c>
      <c r="K632">
        <f>MATCH(A632,Database!$A$2:$A$948,0)</f>
        <v>343</v>
      </c>
      <c r="L632">
        <f>VLOOKUP(A632,Database!$A$2:$I$948,4,0)</f>
        <v>2093.89</v>
      </c>
      <c r="M632" t="b">
        <f t="shared" si="21"/>
        <v>1</v>
      </c>
      <c r="N632">
        <f>VLOOKUP(A632,Database!$A$2:$I$948,5,0)</f>
        <v>1</v>
      </c>
    </row>
    <row r="633" spans="1:14" hidden="1" x14ac:dyDescent="0.35">
      <c r="A633" s="3">
        <v>103408488</v>
      </c>
      <c r="B633" s="3" t="s">
        <v>1165</v>
      </c>
      <c r="C633" s="3" t="str">
        <f t="shared" si="20"/>
        <v>2022-07-06</v>
      </c>
      <c r="D633" s="3" t="s">
        <v>9</v>
      </c>
      <c r="E633" s="3" t="s">
        <v>5</v>
      </c>
      <c r="F633" s="3" t="s">
        <v>10</v>
      </c>
      <c r="G633" s="3" t="s">
        <v>1166</v>
      </c>
      <c r="H633" s="3" t="s">
        <v>1167</v>
      </c>
      <c r="I633" s="5">
        <v>1649</v>
      </c>
      <c r="J633" s="3" t="s">
        <v>11</v>
      </c>
      <c r="K633">
        <f>MATCH(A633,Database!$A$2:$A$948,0)</f>
        <v>342</v>
      </c>
      <c r="L633">
        <f>VLOOKUP(A633,Database!$A$2:$I$948,4,0)</f>
        <v>1649</v>
      </c>
      <c r="M633" t="b">
        <f t="shared" si="21"/>
        <v>1</v>
      </c>
      <c r="N633">
        <f>VLOOKUP(A633,Database!$A$2:$I$948,5,0)</f>
        <v>1</v>
      </c>
    </row>
    <row r="634" spans="1:14" hidden="1" x14ac:dyDescent="0.35">
      <c r="A634" s="3">
        <v>103408419</v>
      </c>
      <c r="B634" s="3" t="s">
        <v>1168</v>
      </c>
      <c r="C634" s="3" t="str">
        <f t="shared" si="20"/>
        <v>2022-07-06</v>
      </c>
      <c r="D634" s="3" t="s">
        <v>9</v>
      </c>
      <c r="E634" s="3" t="s">
        <v>5</v>
      </c>
      <c r="F634" s="3" t="s">
        <v>10</v>
      </c>
      <c r="G634" s="3" t="s">
        <v>1169</v>
      </c>
      <c r="H634" s="3" t="s">
        <v>1170</v>
      </c>
      <c r="I634" s="3">
        <v>969</v>
      </c>
      <c r="J634" s="3" t="s">
        <v>11</v>
      </c>
      <c r="K634">
        <f>MATCH(A634,Database!$A$2:$A$948,0)</f>
        <v>326</v>
      </c>
      <c r="L634">
        <f>VLOOKUP(A634,Database!$A$2:$I$948,4,0)</f>
        <v>969</v>
      </c>
      <c r="M634" t="b">
        <f t="shared" si="21"/>
        <v>1</v>
      </c>
      <c r="N634">
        <f>VLOOKUP(A634,Database!$A$2:$I$948,5,0)</f>
        <v>1</v>
      </c>
    </row>
    <row r="635" spans="1:14" hidden="1" x14ac:dyDescent="0.35">
      <c r="A635" s="3">
        <v>103408482</v>
      </c>
      <c r="B635" s="3" t="s">
        <v>1171</v>
      </c>
      <c r="C635" s="3" t="str">
        <f t="shared" si="20"/>
        <v>2022-07-06</v>
      </c>
      <c r="D635" s="3" t="s">
        <v>9</v>
      </c>
      <c r="E635" s="3" t="s">
        <v>5</v>
      </c>
      <c r="F635" s="3" t="s">
        <v>10</v>
      </c>
      <c r="G635" s="3" t="s">
        <v>1172</v>
      </c>
      <c r="H635" s="3" t="s">
        <v>1173</v>
      </c>
      <c r="I635" s="4">
        <v>1025.05</v>
      </c>
      <c r="J635" s="3" t="s">
        <v>11</v>
      </c>
      <c r="K635">
        <f>MATCH(A635,Database!$A$2:$A$948,0)</f>
        <v>341</v>
      </c>
      <c r="L635">
        <f>VLOOKUP(A635,Database!$A$2:$I$948,4,0)</f>
        <v>1025.05</v>
      </c>
      <c r="M635" t="b">
        <f t="shared" si="21"/>
        <v>1</v>
      </c>
      <c r="N635">
        <f>VLOOKUP(A635,Database!$A$2:$I$948,5,0)</f>
        <v>1</v>
      </c>
    </row>
    <row r="636" spans="1:14" hidden="1" x14ac:dyDescent="0.35">
      <c r="A636" s="3">
        <v>103408418</v>
      </c>
      <c r="B636" s="3" t="s">
        <v>1174</v>
      </c>
      <c r="C636" s="3" t="str">
        <f t="shared" si="20"/>
        <v>2022-07-06</v>
      </c>
      <c r="D636" s="3" t="s">
        <v>9</v>
      </c>
      <c r="E636" s="3" t="s">
        <v>5</v>
      </c>
      <c r="F636" s="3" t="s">
        <v>10</v>
      </c>
      <c r="G636" s="3" t="s">
        <v>1175</v>
      </c>
      <c r="H636" s="3" t="s">
        <v>1176</v>
      </c>
      <c r="I636" s="4">
        <v>2991.55</v>
      </c>
      <c r="J636" s="3" t="s">
        <v>11</v>
      </c>
      <c r="K636">
        <f>MATCH(A636,Database!$A$2:$A$948,0)</f>
        <v>325</v>
      </c>
      <c r="L636">
        <f>VLOOKUP(A636,Database!$A$2:$I$948,4,0)</f>
        <v>2991.55</v>
      </c>
      <c r="M636" t="b">
        <f t="shared" si="21"/>
        <v>1</v>
      </c>
      <c r="N636">
        <f>VLOOKUP(A636,Database!$A$2:$I$948,5,0)</f>
        <v>1</v>
      </c>
    </row>
    <row r="637" spans="1:14" hidden="1" x14ac:dyDescent="0.35">
      <c r="A637" s="3">
        <v>103408417</v>
      </c>
      <c r="B637" s="3" t="s">
        <v>1177</v>
      </c>
      <c r="C637" s="3" t="str">
        <f t="shared" si="20"/>
        <v>2022-07-06</v>
      </c>
      <c r="D637" s="3" t="s">
        <v>9</v>
      </c>
      <c r="E637" s="3" t="s">
        <v>5</v>
      </c>
      <c r="F637" s="3" t="s">
        <v>12</v>
      </c>
      <c r="G637" s="3" t="s">
        <v>1178</v>
      </c>
      <c r="H637" s="3" t="s">
        <v>1179</v>
      </c>
      <c r="I637" s="4">
        <v>1538.05</v>
      </c>
      <c r="J637" s="3" t="s">
        <v>11</v>
      </c>
      <c r="K637">
        <f>MATCH(A637,Database!$A$2:$A$948,0)</f>
        <v>324</v>
      </c>
      <c r="L637">
        <f>VLOOKUP(A637,Database!$A$2:$I$948,4,0)</f>
        <v>1538.05</v>
      </c>
      <c r="M637" t="b">
        <f t="shared" si="21"/>
        <v>1</v>
      </c>
      <c r="N637">
        <f>VLOOKUP(A637,Database!$A$2:$I$948,5,0)</f>
        <v>1</v>
      </c>
    </row>
    <row r="638" spans="1:14" hidden="1" x14ac:dyDescent="0.35">
      <c r="A638" s="3">
        <v>103408416</v>
      </c>
      <c r="B638" s="3" t="s">
        <v>1180</v>
      </c>
      <c r="C638" s="3" t="str">
        <f t="shared" si="20"/>
        <v>2022-07-06</v>
      </c>
      <c r="D638" s="3" t="s">
        <v>9</v>
      </c>
      <c r="E638" s="3" t="s">
        <v>5</v>
      </c>
      <c r="F638" s="3" t="s">
        <v>10</v>
      </c>
      <c r="G638" s="3" t="s">
        <v>1181</v>
      </c>
      <c r="H638" s="3" t="s">
        <v>1182</v>
      </c>
      <c r="I638" s="4">
        <v>1799.1</v>
      </c>
      <c r="J638" s="3" t="s">
        <v>11</v>
      </c>
      <c r="K638">
        <f>MATCH(A638,Database!$A$2:$A$948,0)</f>
        <v>323</v>
      </c>
      <c r="L638">
        <f>VLOOKUP(A638,Database!$A$2:$I$948,4,0)</f>
        <v>1799.1</v>
      </c>
      <c r="M638" t="b">
        <f t="shared" si="21"/>
        <v>1</v>
      </c>
      <c r="N638">
        <f>VLOOKUP(A638,Database!$A$2:$I$948,5,0)</f>
        <v>1</v>
      </c>
    </row>
    <row r="639" spans="1:14" hidden="1" x14ac:dyDescent="0.35">
      <c r="A639" s="3">
        <v>103408415</v>
      </c>
      <c r="B639" s="3" t="s">
        <v>4765</v>
      </c>
      <c r="C639" s="3" t="str">
        <f t="shared" si="20"/>
        <v>2022-07-06</v>
      </c>
      <c r="D639" s="3" t="s">
        <v>9</v>
      </c>
      <c r="E639" s="3" t="s">
        <v>5</v>
      </c>
      <c r="F639" s="3" t="s">
        <v>10</v>
      </c>
      <c r="G639" s="3" t="s">
        <v>4766</v>
      </c>
      <c r="H639" s="3" t="s">
        <v>4767</v>
      </c>
      <c r="I639" s="4">
        <v>3133.1</v>
      </c>
      <c r="J639" s="3" t="s">
        <v>13</v>
      </c>
      <c r="K639">
        <f>MATCH(A639,Database!$A$2:$A$948,0)</f>
        <v>322</v>
      </c>
      <c r="L639">
        <f>VLOOKUP(A639,Database!$A$2:$I$948,4,0)</f>
        <v>3133.1</v>
      </c>
      <c r="M639" t="b">
        <f t="shared" si="21"/>
        <v>1</v>
      </c>
      <c r="N639">
        <f>VLOOKUP(A639,Database!$A$2:$I$948,5,0)</f>
        <v>2</v>
      </c>
    </row>
    <row r="640" spans="1:14" hidden="1" x14ac:dyDescent="0.35">
      <c r="A640" s="3">
        <v>103408414</v>
      </c>
      <c r="B640" s="3" t="s">
        <v>1183</v>
      </c>
      <c r="C640" s="3" t="str">
        <f t="shared" si="20"/>
        <v>2022-07-06</v>
      </c>
      <c r="D640" s="3" t="s">
        <v>9</v>
      </c>
      <c r="E640" s="3" t="s">
        <v>5</v>
      </c>
      <c r="F640" s="3" t="s">
        <v>10</v>
      </c>
      <c r="G640" s="3" t="s">
        <v>1184</v>
      </c>
      <c r="H640" s="3" t="s">
        <v>1185</v>
      </c>
      <c r="I640" s="3">
        <v>987.05</v>
      </c>
      <c r="J640" s="3" t="s">
        <v>11</v>
      </c>
      <c r="K640">
        <f>MATCH(A640,Database!$A$2:$A$948,0)</f>
        <v>321</v>
      </c>
      <c r="L640">
        <f>VLOOKUP(A640,Database!$A$2:$I$948,4,0)</f>
        <v>987.05</v>
      </c>
      <c r="M640" t="b">
        <f t="shared" si="21"/>
        <v>1</v>
      </c>
      <c r="N640">
        <f>VLOOKUP(A640,Database!$A$2:$I$948,5,0)</f>
        <v>1</v>
      </c>
    </row>
    <row r="641" spans="1:14" hidden="1" x14ac:dyDescent="0.35">
      <c r="A641" s="3">
        <v>103408479</v>
      </c>
      <c r="B641" s="3" t="s">
        <v>1186</v>
      </c>
      <c r="C641" s="3" t="str">
        <f t="shared" si="20"/>
        <v>2022-07-06</v>
      </c>
      <c r="D641" s="3" t="s">
        <v>9</v>
      </c>
      <c r="E641" s="3" t="s">
        <v>5</v>
      </c>
      <c r="F641" s="3" t="s">
        <v>12</v>
      </c>
      <c r="G641" s="3" t="s">
        <v>1187</v>
      </c>
      <c r="H641" s="3" t="s">
        <v>1188</v>
      </c>
      <c r="I641" s="4">
        <v>4558.1000000000004</v>
      </c>
      <c r="J641" s="3" t="s">
        <v>11</v>
      </c>
      <c r="K641">
        <f>MATCH(A641,Database!$A$2:$A$948,0)</f>
        <v>340</v>
      </c>
      <c r="L641">
        <f>VLOOKUP(A641,Database!$A$2:$I$948,4,0)</f>
        <v>4558.1000000000004</v>
      </c>
      <c r="M641" t="b">
        <f t="shared" si="21"/>
        <v>1</v>
      </c>
      <c r="N641">
        <f>VLOOKUP(A641,Database!$A$2:$I$948,5,0)</f>
        <v>2</v>
      </c>
    </row>
    <row r="642" spans="1:14" hidden="1" x14ac:dyDescent="0.35">
      <c r="A642" s="3">
        <v>103408475</v>
      </c>
      <c r="B642" s="3" t="s">
        <v>1189</v>
      </c>
      <c r="C642" s="3" t="str">
        <f t="shared" si="20"/>
        <v>2022-07-06</v>
      </c>
      <c r="D642" s="3" t="s">
        <v>9</v>
      </c>
      <c r="E642" s="3" t="s">
        <v>5</v>
      </c>
      <c r="F642" s="3" t="s">
        <v>10</v>
      </c>
      <c r="G642" s="3" t="s">
        <v>1190</v>
      </c>
      <c r="H642" s="3" t="s">
        <v>1191</v>
      </c>
      <c r="I642" s="5">
        <v>2398</v>
      </c>
      <c r="J642" s="3" t="s">
        <v>11</v>
      </c>
      <c r="K642">
        <f>MATCH(A642,Database!$A$2:$A$948,0)</f>
        <v>339</v>
      </c>
      <c r="L642">
        <f>VLOOKUP(A642,Database!$A$2:$I$948,4,0)</f>
        <v>2398</v>
      </c>
      <c r="M642" t="b">
        <f t="shared" si="21"/>
        <v>1</v>
      </c>
      <c r="N642">
        <f>VLOOKUP(A642,Database!$A$2:$I$948,5,0)</f>
        <v>2</v>
      </c>
    </row>
    <row r="643" spans="1:14" hidden="1" x14ac:dyDescent="0.35">
      <c r="A643" s="3">
        <v>103408473</v>
      </c>
      <c r="B643" s="3" t="s">
        <v>1192</v>
      </c>
      <c r="C643" s="3" t="str">
        <f t="shared" ref="C643:C706" si="22">LEFT(B643,FIND("T",B643)-1)</f>
        <v>2022-07-06</v>
      </c>
      <c r="D643" s="3" t="s">
        <v>9</v>
      </c>
      <c r="E643" s="3" t="s">
        <v>5</v>
      </c>
      <c r="F643" s="3" t="s">
        <v>10</v>
      </c>
      <c r="G643" s="3" t="s">
        <v>1193</v>
      </c>
      <c r="H643" s="3" t="s">
        <v>1194</v>
      </c>
      <c r="I643" s="3">
        <v>549</v>
      </c>
      <c r="J643" s="3" t="s">
        <v>11</v>
      </c>
      <c r="K643">
        <f>MATCH(A643,Database!$A$2:$A$948,0)</f>
        <v>338</v>
      </c>
      <c r="L643">
        <f>VLOOKUP(A643,Database!$A$2:$I$948,4,0)</f>
        <v>549</v>
      </c>
      <c r="M643" t="b">
        <f t="shared" si="21"/>
        <v>1</v>
      </c>
      <c r="N643">
        <f>VLOOKUP(A643,Database!$A$2:$I$948,5,0)</f>
        <v>1</v>
      </c>
    </row>
    <row r="644" spans="1:14" hidden="1" x14ac:dyDescent="0.35">
      <c r="A644" s="3">
        <v>103408472</v>
      </c>
      <c r="B644" s="3" t="s">
        <v>1192</v>
      </c>
      <c r="C644" s="3" t="str">
        <f t="shared" si="22"/>
        <v>2022-07-06</v>
      </c>
      <c r="D644" s="3" t="s">
        <v>9</v>
      </c>
      <c r="E644" s="3" t="s">
        <v>5</v>
      </c>
      <c r="F644" s="3" t="s">
        <v>10</v>
      </c>
      <c r="G644" s="3" t="s">
        <v>1195</v>
      </c>
      <c r="H644" s="3" t="s">
        <v>1196</v>
      </c>
      <c r="I644" s="4">
        <v>2495.7399999999998</v>
      </c>
      <c r="J644" s="3" t="s">
        <v>11</v>
      </c>
      <c r="K644">
        <f>MATCH(A644,Database!$A$2:$A$948,0)</f>
        <v>337</v>
      </c>
      <c r="L644">
        <f>VLOOKUP(A644,Database!$A$2:$I$948,4,0)</f>
        <v>2495.7399999999998</v>
      </c>
      <c r="M644" t="b">
        <f t="shared" si="21"/>
        <v>1</v>
      </c>
      <c r="N644">
        <f>VLOOKUP(A644,Database!$A$2:$I$948,5,0)</f>
        <v>1</v>
      </c>
    </row>
    <row r="645" spans="1:14" hidden="1" x14ac:dyDescent="0.35">
      <c r="A645" s="3">
        <v>103408470</v>
      </c>
      <c r="B645" s="3" t="s">
        <v>1197</v>
      </c>
      <c r="C645" s="3" t="str">
        <f t="shared" si="22"/>
        <v>2022-07-06</v>
      </c>
      <c r="D645" s="3" t="s">
        <v>9</v>
      </c>
      <c r="E645" s="3" t="s">
        <v>5</v>
      </c>
      <c r="F645" s="3" t="s">
        <v>10</v>
      </c>
      <c r="G645" s="3" t="s">
        <v>1198</v>
      </c>
      <c r="H645" s="3" t="s">
        <v>1199</v>
      </c>
      <c r="I645" s="5">
        <v>4999</v>
      </c>
      <c r="J645" s="3" t="s">
        <v>11</v>
      </c>
      <c r="K645">
        <f>MATCH(A645,Database!$A$2:$A$948,0)</f>
        <v>336</v>
      </c>
      <c r="L645">
        <f>VLOOKUP(A645,Database!$A$2:$I$948,4,0)</f>
        <v>4999</v>
      </c>
      <c r="M645" t="b">
        <f t="shared" si="21"/>
        <v>1</v>
      </c>
      <c r="N645">
        <f>VLOOKUP(A645,Database!$A$2:$I$948,5,0)</f>
        <v>1</v>
      </c>
    </row>
    <row r="646" spans="1:14" hidden="1" x14ac:dyDescent="0.35">
      <c r="A646" s="3">
        <v>103408465</v>
      </c>
      <c r="B646" s="3" t="s">
        <v>1200</v>
      </c>
      <c r="C646" s="3" t="str">
        <f t="shared" si="22"/>
        <v>2022-07-06</v>
      </c>
      <c r="D646" s="3" t="s">
        <v>9</v>
      </c>
      <c r="E646" s="3" t="s">
        <v>5</v>
      </c>
      <c r="F646" s="3" t="s">
        <v>10</v>
      </c>
      <c r="G646" s="3" t="s">
        <v>1201</v>
      </c>
      <c r="H646" s="3" t="s">
        <v>1202</v>
      </c>
      <c r="I646" s="4">
        <v>1794.64</v>
      </c>
      <c r="J646" s="3" t="s">
        <v>11</v>
      </c>
      <c r="K646">
        <f>MATCH(A646,Database!$A$2:$A$948,0)</f>
        <v>335</v>
      </c>
      <c r="L646">
        <f>VLOOKUP(A646,Database!$A$2:$I$948,4,0)</f>
        <v>1794.64</v>
      </c>
      <c r="M646" t="b">
        <f t="shared" si="21"/>
        <v>1</v>
      </c>
      <c r="N646">
        <f>VLOOKUP(A646,Database!$A$2:$I$948,5,0)</f>
        <v>1</v>
      </c>
    </row>
    <row r="647" spans="1:14" hidden="1" x14ac:dyDescent="0.35">
      <c r="A647" s="3">
        <v>103408364</v>
      </c>
      <c r="B647" s="3" t="s">
        <v>1203</v>
      </c>
      <c r="C647" s="3" t="str">
        <f t="shared" si="22"/>
        <v>2022-07-06</v>
      </c>
      <c r="D647" s="3" t="s">
        <v>9</v>
      </c>
      <c r="E647" s="3" t="s">
        <v>5</v>
      </c>
      <c r="F647" s="3" t="s">
        <v>10</v>
      </c>
      <c r="G647" s="3" t="s">
        <v>1204</v>
      </c>
      <c r="H647" s="3" t="s">
        <v>1205</v>
      </c>
      <c r="I647" s="4">
        <v>1044.05</v>
      </c>
      <c r="J647" s="3" t="s">
        <v>11</v>
      </c>
      <c r="K647">
        <f>MATCH(A647,Database!$A$2:$A$948,0)</f>
        <v>306</v>
      </c>
      <c r="L647">
        <f>VLOOKUP(A647,Database!$A$2:$I$948,4,0)</f>
        <v>1044.05</v>
      </c>
      <c r="M647" t="b">
        <f t="shared" si="21"/>
        <v>1</v>
      </c>
      <c r="N647">
        <f>VLOOKUP(A647,Database!$A$2:$I$948,5,0)</f>
        <v>1</v>
      </c>
    </row>
    <row r="648" spans="1:14" hidden="1" x14ac:dyDescent="0.35">
      <c r="A648" s="3">
        <v>103408407</v>
      </c>
      <c r="B648" s="3" t="s">
        <v>1206</v>
      </c>
      <c r="C648" s="3" t="str">
        <f t="shared" si="22"/>
        <v>2022-07-06</v>
      </c>
      <c r="D648" s="3" t="s">
        <v>9</v>
      </c>
      <c r="E648" s="3" t="s">
        <v>5</v>
      </c>
      <c r="F648" s="3" t="s">
        <v>10</v>
      </c>
      <c r="G648" s="3" t="s">
        <v>1207</v>
      </c>
      <c r="H648" s="3" t="s">
        <v>1208</v>
      </c>
      <c r="I648" s="5">
        <v>3149</v>
      </c>
      <c r="J648" s="3" t="s">
        <v>11</v>
      </c>
      <c r="K648">
        <f>MATCH(A648,Database!$A$2:$A$948,0)</f>
        <v>320</v>
      </c>
      <c r="L648">
        <f>VLOOKUP(A648,Database!$A$2:$I$948,4,0)</f>
        <v>3149</v>
      </c>
      <c r="M648" t="b">
        <f t="shared" si="21"/>
        <v>1</v>
      </c>
      <c r="N648">
        <f>VLOOKUP(A648,Database!$A$2:$I$948,5,0)</f>
        <v>1</v>
      </c>
    </row>
    <row r="649" spans="1:14" hidden="1" x14ac:dyDescent="0.35">
      <c r="A649" s="3">
        <v>103408360</v>
      </c>
      <c r="B649" s="3" t="s">
        <v>1209</v>
      </c>
      <c r="C649" s="3" t="str">
        <f t="shared" si="22"/>
        <v>2022-07-06</v>
      </c>
      <c r="D649" s="3" t="s">
        <v>9</v>
      </c>
      <c r="E649" s="3" t="s">
        <v>5</v>
      </c>
      <c r="F649" s="3" t="s">
        <v>10</v>
      </c>
      <c r="G649" s="3" t="s">
        <v>1210</v>
      </c>
      <c r="H649" s="3" t="s">
        <v>1211</v>
      </c>
      <c r="I649" s="4">
        <v>3419.05</v>
      </c>
      <c r="J649" s="3" t="s">
        <v>11</v>
      </c>
      <c r="K649">
        <f>MATCH(A649,Database!$A$2:$A$948,0)</f>
        <v>305</v>
      </c>
      <c r="L649">
        <f>VLOOKUP(A649,Database!$A$2:$I$948,4,0)</f>
        <v>3419.05</v>
      </c>
      <c r="M649" t="b">
        <f t="shared" si="21"/>
        <v>1</v>
      </c>
      <c r="N649">
        <f>VLOOKUP(A649,Database!$A$2:$I$948,5,0)</f>
        <v>1</v>
      </c>
    </row>
    <row r="650" spans="1:14" hidden="1" x14ac:dyDescent="0.35">
      <c r="A650" s="3">
        <v>103408401</v>
      </c>
      <c r="B650" s="3" t="s">
        <v>1212</v>
      </c>
      <c r="C650" s="3" t="str">
        <f t="shared" si="22"/>
        <v>2022-07-06</v>
      </c>
      <c r="D650" s="3" t="s">
        <v>9</v>
      </c>
      <c r="E650" s="3" t="s">
        <v>5</v>
      </c>
      <c r="F650" s="3" t="s">
        <v>10</v>
      </c>
      <c r="G650" s="3" t="s">
        <v>1213</v>
      </c>
      <c r="H650" s="3" t="s">
        <v>1214</v>
      </c>
      <c r="I650" s="3">
        <v>369.55</v>
      </c>
      <c r="J650" s="3" t="s">
        <v>11</v>
      </c>
      <c r="K650">
        <f>MATCH(A650,Database!$A$2:$A$948,0)</f>
        <v>319</v>
      </c>
      <c r="L650">
        <f>VLOOKUP(A650,Database!$A$2:$I$948,4,0)</f>
        <v>369.55</v>
      </c>
      <c r="M650" t="b">
        <f t="shared" si="21"/>
        <v>1</v>
      </c>
      <c r="N650">
        <f>VLOOKUP(A650,Database!$A$2:$I$948,5,0)</f>
        <v>1</v>
      </c>
    </row>
    <row r="651" spans="1:14" hidden="1" x14ac:dyDescent="0.35">
      <c r="A651" s="3">
        <v>103408398</v>
      </c>
      <c r="B651" s="3" t="s">
        <v>1215</v>
      </c>
      <c r="C651" s="3" t="str">
        <f t="shared" si="22"/>
        <v>2022-07-06</v>
      </c>
      <c r="D651" s="3" t="s">
        <v>9</v>
      </c>
      <c r="E651" s="3" t="s">
        <v>5</v>
      </c>
      <c r="F651" s="3" t="s">
        <v>10</v>
      </c>
      <c r="G651" s="3" t="s">
        <v>1216</v>
      </c>
      <c r="H651" s="3" t="s">
        <v>1217</v>
      </c>
      <c r="I651" s="4">
        <v>1566.55</v>
      </c>
      <c r="J651" s="3" t="s">
        <v>11</v>
      </c>
      <c r="K651">
        <f>MATCH(A651,Database!$A$2:$A$948,0)</f>
        <v>318</v>
      </c>
      <c r="L651">
        <f>VLOOKUP(A651,Database!$A$2:$I$948,4,0)</f>
        <v>1566.55</v>
      </c>
      <c r="M651" t="b">
        <f t="shared" si="21"/>
        <v>1</v>
      </c>
      <c r="N651">
        <f>VLOOKUP(A651,Database!$A$2:$I$948,5,0)</f>
        <v>1</v>
      </c>
    </row>
    <row r="652" spans="1:14" hidden="1" x14ac:dyDescent="0.35">
      <c r="A652" s="3">
        <v>103408397</v>
      </c>
      <c r="B652" s="3" t="s">
        <v>4768</v>
      </c>
      <c r="C652" s="3" t="str">
        <f t="shared" si="22"/>
        <v>2022-07-06</v>
      </c>
      <c r="D652" s="3" t="s">
        <v>9</v>
      </c>
      <c r="E652" s="3" t="s">
        <v>5</v>
      </c>
      <c r="F652" s="3" t="s">
        <v>10</v>
      </c>
      <c r="G652" s="3" t="s">
        <v>4769</v>
      </c>
      <c r="H652" s="3" t="s">
        <v>4770</v>
      </c>
      <c r="I652" s="4">
        <v>2374.0500000000002</v>
      </c>
      <c r="J652" s="3" t="s">
        <v>13</v>
      </c>
      <c r="K652">
        <f>MATCH(A652,Database!$A$2:$A$948,0)</f>
        <v>317</v>
      </c>
      <c r="L652">
        <f>VLOOKUP(A652,Database!$A$2:$I$948,4,0)</f>
        <v>2374.0500000000002</v>
      </c>
      <c r="M652" t="b">
        <f t="shared" ref="M652:M715" si="23">I652=L652</f>
        <v>1</v>
      </c>
      <c r="N652">
        <f>VLOOKUP(A652,Database!$A$2:$I$948,5,0)</f>
        <v>1</v>
      </c>
    </row>
    <row r="653" spans="1:14" hidden="1" x14ac:dyDescent="0.35">
      <c r="A653" s="3">
        <v>103408353</v>
      </c>
      <c r="B653" s="3" t="s">
        <v>1218</v>
      </c>
      <c r="C653" s="3" t="str">
        <f t="shared" si="22"/>
        <v>2022-07-06</v>
      </c>
      <c r="D653" s="3" t="s">
        <v>9</v>
      </c>
      <c r="E653" s="3" t="s">
        <v>5</v>
      </c>
      <c r="F653" s="3" t="s">
        <v>10</v>
      </c>
      <c r="G653" s="3" t="s">
        <v>1219</v>
      </c>
      <c r="H653" s="3" t="s">
        <v>1220</v>
      </c>
      <c r="I653" s="4">
        <v>3134.05</v>
      </c>
      <c r="J653" s="3" t="s">
        <v>11</v>
      </c>
      <c r="K653">
        <f>MATCH(A653,Database!$A$2:$A$948,0)</f>
        <v>304</v>
      </c>
      <c r="L653">
        <f>VLOOKUP(A653,Database!$A$2:$I$948,4,0)</f>
        <v>3134.05</v>
      </c>
      <c r="M653" t="b">
        <f t="shared" si="23"/>
        <v>1</v>
      </c>
      <c r="N653">
        <f>VLOOKUP(A653,Database!$A$2:$I$948,5,0)</f>
        <v>1</v>
      </c>
    </row>
    <row r="654" spans="1:14" hidden="1" x14ac:dyDescent="0.35">
      <c r="A654" s="3">
        <v>103408393</v>
      </c>
      <c r="B654" s="3" t="s">
        <v>1221</v>
      </c>
      <c r="C654" s="3" t="str">
        <f t="shared" si="22"/>
        <v>2022-07-06</v>
      </c>
      <c r="D654" s="3" t="s">
        <v>9</v>
      </c>
      <c r="E654" s="3" t="s">
        <v>5</v>
      </c>
      <c r="F654" s="3" t="s">
        <v>10</v>
      </c>
      <c r="G654" s="3" t="s">
        <v>1222</v>
      </c>
      <c r="H654" s="3" t="s">
        <v>1223</v>
      </c>
      <c r="I654" s="4">
        <v>4021.2</v>
      </c>
      <c r="J654" s="3" t="s">
        <v>11</v>
      </c>
      <c r="K654">
        <f>MATCH(A654,Database!$A$2:$A$948,0)</f>
        <v>316</v>
      </c>
      <c r="L654">
        <f>VLOOKUP(A654,Database!$A$2:$I$948,4,0)</f>
        <v>4021.2</v>
      </c>
      <c r="M654" t="b">
        <f t="shared" si="23"/>
        <v>1</v>
      </c>
      <c r="N654">
        <f>VLOOKUP(A654,Database!$A$2:$I$948,5,0)</f>
        <v>2</v>
      </c>
    </row>
    <row r="655" spans="1:14" hidden="1" x14ac:dyDescent="0.35">
      <c r="A655" s="3">
        <v>103408391</v>
      </c>
      <c r="B655" s="3" t="s">
        <v>1224</v>
      </c>
      <c r="C655" s="3" t="str">
        <f t="shared" si="22"/>
        <v>2022-07-06</v>
      </c>
      <c r="D655" s="3" t="s">
        <v>9</v>
      </c>
      <c r="E655" s="3" t="s">
        <v>5</v>
      </c>
      <c r="F655" s="3" t="s">
        <v>10</v>
      </c>
      <c r="G655" s="3" t="s">
        <v>1225</v>
      </c>
      <c r="H655" s="3" t="s">
        <v>1226</v>
      </c>
      <c r="I655" s="4">
        <v>1138.0999999999999</v>
      </c>
      <c r="J655" s="3" t="s">
        <v>11</v>
      </c>
      <c r="K655">
        <f>MATCH(A655,Database!$A$2:$A$948,0)</f>
        <v>315</v>
      </c>
      <c r="L655">
        <f>VLOOKUP(A655,Database!$A$2:$I$948,4,0)</f>
        <v>1138.0999999999999</v>
      </c>
      <c r="M655" t="b">
        <f t="shared" si="23"/>
        <v>1</v>
      </c>
      <c r="N655">
        <f>VLOOKUP(A655,Database!$A$2:$I$948,5,0)</f>
        <v>2</v>
      </c>
    </row>
    <row r="656" spans="1:14" hidden="1" x14ac:dyDescent="0.35">
      <c r="A656" s="3">
        <v>103408351</v>
      </c>
      <c r="B656" s="3" t="s">
        <v>1227</v>
      </c>
      <c r="C656" s="3" t="str">
        <f t="shared" si="22"/>
        <v>2022-07-06</v>
      </c>
      <c r="D656" s="3" t="s">
        <v>9</v>
      </c>
      <c r="E656" s="3" t="s">
        <v>5</v>
      </c>
      <c r="F656" s="3" t="s">
        <v>10</v>
      </c>
      <c r="G656" s="3" t="s">
        <v>1228</v>
      </c>
      <c r="H656" s="3" t="s">
        <v>1229</v>
      </c>
      <c r="I656" s="3">
        <v>969</v>
      </c>
      <c r="J656" s="3" t="s">
        <v>11</v>
      </c>
      <c r="K656">
        <f>MATCH(A656,Database!$A$2:$A$948,0)</f>
        <v>303</v>
      </c>
      <c r="L656">
        <f>VLOOKUP(A656,Database!$A$2:$I$948,4,0)</f>
        <v>969</v>
      </c>
      <c r="M656" t="b">
        <f t="shared" si="23"/>
        <v>1</v>
      </c>
      <c r="N656">
        <f>VLOOKUP(A656,Database!$A$2:$I$948,5,0)</f>
        <v>1</v>
      </c>
    </row>
    <row r="657" spans="1:14" hidden="1" x14ac:dyDescent="0.35">
      <c r="A657" s="3">
        <v>103408390</v>
      </c>
      <c r="B657" s="3" t="s">
        <v>1230</v>
      </c>
      <c r="C657" s="3" t="str">
        <f t="shared" si="22"/>
        <v>2022-07-06</v>
      </c>
      <c r="D657" s="3" t="s">
        <v>9</v>
      </c>
      <c r="E657" s="3" t="s">
        <v>5</v>
      </c>
      <c r="F657" s="3" t="s">
        <v>10</v>
      </c>
      <c r="G657" s="3" t="s">
        <v>1231</v>
      </c>
      <c r="H657" s="3" t="s">
        <v>1232</v>
      </c>
      <c r="I657" s="5">
        <v>4669</v>
      </c>
      <c r="J657" s="3" t="s">
        <v>11</v>
      </c>
      <c r="K657">
        <f>MATCH(A657,Database!$A$2:$A$948,0)</f>
        <v>314</v>
      </c>
      <c r="L657">
        <f>VLOOKUP(A657,Database!$A$2:$I$948,4,0)</f>
        <v>4669</v>
      </c>
      <c r="M657" t="b">
        <f t="shared" si="23"/>
        <v>1</v>
      </c>
      <c r="N657">
        <f>VLOOKUP(A657,Database!$A$2:$I$948,5,0)</f>
        <v>1</v>
      </c>
    </row>
    <row r="658" spans="1:14" hidden="1" x14ac:dyDescent="0.35">
      <c r="A658" s="3">
        <v>103408388</v>
      </c>
      <c r="B658" s="3" t="s">
        <v>1233</v>
      </c>
      <c r="C658" s="3" t="str">
        <f t="shared" si="22"/>
        <v>2022-07-06</v>
      </c>
      <c r="D658" s="3" t="s">
        <v>9</v>
      </c>
      <c r="E658" s="3" t="s">
        <v>5</v>
      </c>
      <c r="F658" s="3" t="s">
        <v>10</v>
      </c>
      <c r="G658" s="3" t="s">
        <v>1234</v>
      </c>
      <c r="H658" s="3" t="s">
        <v>1235</v>
      </c>
      <c r="I658" s="5">
        <v>1119</v>
      </c>
      <c r="J658" s="3" t="s">
        <v>11</v>
      </c>
      <c r="K658">
        <f>MATCH(A658,Database!$A$2:$A$948,0)</f>
        <v>313</v>
      </c>
      <c r="L658">
        <f>VLOOKUP(A658,Database!$A$2:$I$948,4,0)</f>
        <v>1119</v>
      </c>
      <c r="M658" t="b">
        <f t="shared" si="23"/>
        <v>1</v>
      </c>
      <c r="N658">
        <f>VLOOKUP(A658,Database!$A$2:$I$948,5,0)</f>
        <v>1</v>
      </c>
    </row>
    <row r="659" spans="1:14" hidden="1" x14ac:dyDescent="0.35">
      <c r="A659" s="3">
        <v>103408347</v>
      </c>
      <c r="B659" s="3" t="s">
        <v>1236</v>
      </c>
      <c r="C659" s="3" t="str">
        <f t="shared" si="22"/>
        <v>2022-07-06</v>
      </c>
      <c r="D659" s="3" t="s">
        <v>9</v>
      </c>
      <c r="E659" s="3" t="s">
        <v>5</v>
      </c>
      <c r="F659" s="3" t="s">
        <v>10</v>
      </c>
      <c r="G659" s="3" t="s">
        <v>1237</v>
      </c>
      <c r="H659" s="3" t="s">
        <v>1238</v>
      </c>
      <c r="I659" s="5">
        <v>3149</v>
      </c>
      <c r="J659" s="3" t="s">
        <v>11</v>
      </c>
      <c r="K659" t="e">
        <f>MATCH(A659,Database!$A$2:$A$948,0)</f>
        <v>#N/A</v>
      </c>
      <c r="L659" t="e">
        <f>VLOOKUP(A659,Database!$A$2:$I$948,4,0)</f>
        <v>#N/A</v>
      </c>
      <c r="M659" t="e">
        <f t="shared" si="23"/>
        <v>#N/A</v>
      </c>
      <c r="N659" t="e">
        <f>VLOOKUP(A659,Database!$A$2:$I$948,5,0)</f>
        <v>#N/A</v>
      </c>
    </row>
    <row r="660" spans="1:14" hidden="1" x14ac:dyDescent="0.35">
      <c r="A660" s="3">
        <v>103408345</v>
      </c>
      <c r="B660" s="3" t="s">
        <v>1239</v>
      </c>
      <c r="C660" s="3" t="str">
        <f t="shared" si="22"/>
        <v>2022-07-06</v>
      </c>
      <c r="D660" s="3" t="s">
        <v>9</v>
      </c>
      <c r="E660" s="3" t="s">
        <v>5</v>
      </c>
      <c r="F660" s="3" t="s">
        <v>10</v>
      </c>
      <c r="G660" s="3" t="s">
        <v>1240</v>
      </c>
      <c r="H660" s="3" t="s">
        <v>1241</v>
      </c>
      <c r="I660" s="4">
        <v>5724.7</v>
      </c>
      <c r="J660" s="3" t="s">
        <v>11</v>
      </c>
      <c r="K660">
        <f>MATCH(A660,Database!$A$2:$A$948,0)</f>
        <v>302</v>
      </c>
      <c r="L660">
        <f>VLOOKUP(A660,Database!$A$2:$I$948,4,0)</f>
        <v>5724.7</v>
      </c>
      <c r="M660" t="b">
        <f t="shared" si="23"/>
        <v>1</v>
      </c>
      <c r="N660">
        <f>VLOOKUP(A660,Database!$A$2:$I$948,5,0)</f>
        <v>4</v>
      </c>
    </row>
    <row r="661" spans="1:14" hidden="1" x14ac:dyDescent="0.35">
      <c r="A661" s="3">
        <v>103408381</v>
      </c>
      <c r="B661" s="3" t="s">
        <v>1242</v>
      </c>
      <c r="C661" s="3" t="str">
        <f t="shared" si="22"/>
        <v>2022-07-06</v>
      </c>
      <c r="D661" s="3" t="s">
        <v>9</v>
      </c>
      <c r="E661" s="3" t="s">
        <v>5</v>
      </c>
      <c r="F661" s="3" t="s">
        <v>10</v>
      </c>
      <c r="G661" s="3" t="s">
        <v>1243</v>
      </c>
      <c r="H661" s="3" t="s">
        <v>1244</v>
      </c>
      <c r="I661" s="4">
        <v>4749.05</v>
      </c>
      <c r="J661" s="3" t="s">
        <v>11</v>
      </c>
      <c r="K661">
        <f>MATCH(A661,Database!$A$2:$A$948,0)</f>
        <v>312</v>
      </c>
      <c r="L661">
        <f>VLOOKUP(A661,Database!$A$2:$I$948,4,0)</f>
        <v>4749.05</v>
      </c>
      <c r="M661" t="b">
        <f t="shared" si="23"/>
        <v>1</v>
      </c>
      <c r="N661">
        <f>VLOOKUP(A661,Database!$A$2:$I$948,5,0)</f>
        <v>1</v>
      </c>
    </row>
    <row r="662" spans="1:14" hidden="1" x14ac:dyDescent="0.35">
      <c r="A662" s="3">
        <v>103408380</v>
      </c>
      <c r="B662" s="3" t="s">
        <v>1245</v>
      </c>
      <c r="C662" s="3" t="str">
        <f t="shared" si="22"/>
        <v>2022-07-06</v>
      </c>
      <c r="D662" s="3" t="s">
        <v>9</v>
      </c>
      <c r="E662" s="3" t="s">
        <v>5</v>
      </c>
      <c r="F662" s="3" t="s">
        <v>10</v>
      </c>
      <c r="G662" s="3" t="s">
        <v>1246</v>
      </c>
      <c r="H662" s="3" t="s">
        <v>1247</v>
      </c>
      <c r="I662" s="4">
        <v>1063.05</v>
      </c>
      <c r="J662" s="3" t="s">
        <v>11</v>
      </c>
      <c r="K662">
        <f>MATCH(A662,Database!$A$2:$A$948,0)</f>
        <v>311</v>
      </c>
      <c r="L662">
        <f>VLOOKUP(A662,Database!$A$2:$I$948,4,0)</f>
        <v>1063.05</v>
      </c>
      <c r="M662" t="b">
        <f t="shared" si="23"/>
        <v>1</v>
      </c>
      <c r="N662">
        <f>VLOOKUP(A662,Database!$A$2:$I$948,5,0)</f>
        <v>1</v>
      </c>
    </row>
    <row r="663" spans="1:14" hidden="1" x14ac:dyDescent="0.35">
      <c r="A663" s="3">
        <v>103408339</v>
      </c>
      <c r="B663" s="3" t="s">
        <v>1248</v>
      </c>
      <c r="C663" s="3" t="str">
        <f t="shared" si="22"/>
        <v>2022-07-06</v>
      </c>
      <c r="D663" s="3" t="s">
        <v>9</v>
      </c>
      <c r="E663" s="3" t="s">
        <v>5</v>
      </c>
      <c r="F663" s="3" t="s">
        <v>10</v>
      </c>
      <c r="G663" s="3" t="s">
        <v>1249</v>
      </c>
      <c r="H663" s="3" t="s">
        <v>1250</v>
      </c>
      <c r="I663" s="4">
        <v>2345.5500000000002</v>
      </c>
      <c r="J663" s="3" t="s">
        <v>11</v>
      </c>
      <c r="K663">
        <f>MATCH(A663,Database!$A$2:$A$948,0)</f>
        <v>301</v>
      </c>
      <c r="L663">
        <f>VLOOKUP(A663,Database!$A$2:$I$948,4,0)</f>
        <v>2345.5500000000002</v>
      </c>
      <c r="M663" t="b">
        <f t="shared" si="23"/>
        <v>1</v>
      </c>
      <c r="N663">
        <f>VLOOKUP(A663,Database!$A$2:$I$948,5,0)</f>
        <v>1</v>
      </c>
    </row>
    <row r="664" spans="1:14" hidden="1" x14ac:dyDescent="0.35">
      <c r="A664" s="3">
        <v>103408377</v>
      </c>
      <c r="B664" s="3" t="s">
        <v>1251</v>
      </c>
      <c r="C664" s="3" t="str">
        <f t="shared" si="22"/>
        <v>2022-07-06</v>
      </c>
      <c r="D664" s="3" t="s">
        <v>9</v>
      </c>
      <c r="E664" s="3" t="s">
        <v>5</v>
      </c>
      <c r="F664" s="3" t="s">
        <v>12</v>
      </c>
      <c r="G664" s="3" t="s">
        <v>1252</v>
      </c>
      <c r="H664" s="3" t="s">
        <v>1253</v>
      </c>
      <c r="I664" s="3">
        <v>969</v>
      </c>
      <c r="J664" s="3" t="s">
        <v>11</v>
      </c>
      <c r="K664">
        <f>MATCH(A664,Database!$A$2:$A$948,0)</f>
        <v>310</v>
      </c>
      <c r="L664">
        <f>VLOOKUP(A664,Database!$A$2:$I$948,4,0)</f>
        <v>969</v>
      </c>
      <c r="M664" t="b">
        <f t="shared" si="23"/>
        <v>1</v>
      </c>
      <c r="N664">
        <f>VLOOKUP(A664,Database!$A$2:$I$948,5,0)</f>
        <v>1</v>
      </c>
    </row>
    <row r="665" spans="1:14" hidden="1" x14ac:dyDescent="0.35">
      <c r="A665" s="3">
        <v>103408333</v>
      </c>
      <c r="B665" s="3" t="s">
        <v>1254</v>
      </c>
      <c r="C665" s="3" t="str">
        <f t="shared" si="22"/>
        <v>2022-07-06</v>
      </c>
      <c r="D665" s="3" t="s">
        <v>9</v>
      </c>
      <c r="E665" s="3" t="s">
        <v>5</v>
      </c>
      <c r="F665" s="3" t="s">
        <v>10</v>
      </c>
      <c r="G665" s="3" t="s">
        <v>1255</v>
      </c>
      <c r="H665" s="3" t="s">
        <v>1256</v>
      </c>
      <c r="I665" s="4">
        <v>4928.6000000000004</v>
      </c>
      <c r="J665" s="3" t="s">
        <v>11</v>
      </c>
      <c r="K665">
        <f>MATCH(A665,Database!$A$2:$A$948,0)</f>
        <v>300</v>
      </c>
      <c r="L665">
        <f>VLOOKUP(A665,Database!$A$2:$I$948,4,0)</f>
        <v>4928.6000000000004</v>
      </c>
      <c r="M665" t="b">
        <f t="shared" si="23"/>
        <v>1</v>
      </c>
      <c r="N665">
        <f>VLOOKUP(A665,Database!$A$2:$I$948,5,0)</f>
        <v>2</v>
      </c>
    </row>
    <row r="666" spans="1:14" hidden="1" x14ac:dyDescent="0.35">
      <c r="A666" s="3">
        <v>103408373</v>
      </c>
      <c r="B666" s="3" t="s">
        <v>1257</v>
      </c>
      <c r="C666" s="3" t="str">
        <f t="shared" si="22"/>
        <v>2022-07-06</v>
      </c>
      <c r="D666" s="3" t="s">
        <v>9</v>
      </c>
      <c r="E666" s="3" t="s">
        <v>5</v>
      </c>
      <c r="F666" s="3" t="s">
        <v>10</v>
      </c>
      <c r="G666" s="3" t="s">
        <v>1258</v>
      </c>
      <c r="H666" s="3" t="s">
        <v>1259</v>
      </c>
      <c r="I666" s="4">
        <v>2279.0500000000002</v>
      </c>
      <c r="J666" s="3" t="s">
        <v>11</v>
      </c>
      <c r="K666">
        <f>MATCH(A666,Database!$A$2:$A$948,0)</f>
        <v>309</v>
      </c>
      <c r="L666">
        <f>VLOOKUP(A666,Database!$A$2:$I$948,4,0)</f>
        <v>2279.0500000000002</v>
      </c>
      <c r="M666" t="b">
        <f t="shared" si="23"/>
        <v>1</v>
      </c>
      <c r="N666">
        <f>VLOOKUP(A666,Database!$A$2:$I$948,5,0)</f>
        <v>1</v>
      </c>
    </row>
    <row r="667" spans="1:14" hidden="1" x14ac:dyDescent="0.35">
      <c r="A667" s="3">
        <v>103408370</v>
      </c>
      <c r="B667" s="3" t="s">
        <v>1260</v>
      </c>
      <c r="C667" s="3" t="str">
        <f t="shared" si="22"/>
        <v>2022-07-06</v>
      </c>
      <c r="D667" s="3" t="s">
        <v>9</v>
      </c>
      <c r="E667" s="3" t="s">
        <v>5</v>
      </c>
      <c r="F667" s="3" t="s">
        <v>10</v>
      </c>
      <c r="G667" s="3" t="s">
        <v>1261</v>
      </c>
      <c r="H667" s="3" t="s">
        <v>1262</v>
      </c>
      <c r="I667" s="4">
        <v>3324.05</v>
      </c>
      <c r="J667" s="3" t="s">
        <v>11</v>
      </c>
      <c r="K667">
        <f>MATCH(A667,Database!$A$2:$A$948,0)</f>
        <v>308</v>
      </c>
      <c r="L667">
        <f>VLOOKUP(A667,Database!$A$2:$I$948,4,0)</f>
        <v>3324.05</v>
      </c>
      <c r="M667" t="b">
        <f t="shared" si="23"/>
        <v>1</v>
      </c>
      <c r="N667">
        <f>VLOOKUP(A667,Database!$A$2:$I$948,5,0)</f>
        <v>1</v>
      </c>
    </row>
    <row r="668" spans="1:14" hidden="1" x14ac:dyDescent="0.35">
      <c r="A668" s="3">
        <v>103408327</v>
      </c>
      <c r="B668" s="3" t="s">
        <v>1263</v>
      </c>
      <c r="C668" s="3" t="str">
        <f t="shared" si="22"/>
        <v>2022-07-06</v>
      </c>
      <c r="D668" s="3" t="s">
        <v>9</v>
      </c>
      <c r="E668" s="3" t="s">
        <v>5</v>
      </c>
      <c r="F668" s="3" t="s">
        <v>10</v>
      </c>
      <c r="G668" s="3" t="s">
        <v>1264</v>
      </c>
      <c r="H668" s="3" t="s">
        <v>1265</v>
      </c>
      <c r="I668" s="4">
        <v>4274.05</v>
      </c>
      <c r="J668" s="3" t="s">
        <v>11</v>
      </c>
      <c r="K668">
        <f>MATCH(A668,Database!$A$2:$A$948,0)</f>
        <v>299</v>
      </c>
      <c r="L668">
        <f>VLOOKUP(A668,Database!$A$2:$I$948,4,0)</f>
        <v>4274.05</v>
      </c>
      <c r="M668" t="b">
        <f t="shared" si="23"/>
        <v>1</v>
      </c>
      <c r="N668">
        <f>VLOOKUP(A668,Database!$A$2:$I$948,5,0)</f>
        <v>1</v>
      </c>
    </row>
    <row r="669" spans="1:14" hidden="1" x14ac:dyDescent="0.35">
      <c r="A669" s="3">
        <v>103408369</v>
      </c>
      <c r="B669" s="3" t="s">
        <v>1266</v>
      </c>
      <c r="C669" s="3" t="str">
        <f t="shared" si="22"/>
        <v>2022-07-06</v>
      </c>
      <c r="D669" s="3" t="s">
        <v>9</v>
      </c>
      <c r="E669" s="3" t="s">
        <v>5</v>
      </c>
      <c r="F669" s="3" t="s">
        <v>10</v>
      </c>
      <c r="G669" s="3" t="s">
        <v>1267</v>
      </c>
      <c r="H669" s="3" t="s">
        <v>1268</v>
      </c>
      <c r="I669" s="5">
        <v>3499</v>
      </c>
      <c r="J669" s="3" t="s">
        <v>11</v>
      </c>
      <c r="K669">
        <f>MATCH(A669,Database!$A$2:$A$948,0)</f>
        <v>307</v>
      </c>
      <c r="L669">
        <f>VLOOKUP(A669,Database!$A$2:$I$948,4,0)</f>
        <v>3499</v>
      </c>
      <c r="M669" t="b">
        <f t="shared" si="23"/>
        <v>1</v>
      </c>
      <c r="N669">
        <f>VLOOKUP(A669,Database!$A$2:$I$948,5,0)</f>
        <v>1</v>
      </c>
    </row>
    <row r="670" spans="1:14" hidden="1" x14ac:dyDescent="0.35">
      <c r="A670" s="3">
        <v>103408325</v>
      </c>
      <c r="B670" s="3" t="s">
        <v>1269</v>
      </c>
      <c r="C670" s="3" t="str">
        <f t="shared" si="22"/>
        <v>2022-07-06</v>
      </c>
      <c r="D670" s="3" t="s">
        <v>9</v>
      </c>
      <c r="E670" s="3" t="s">
        <v>5</v>
      </c>
      <c r="F670" s="3" t="s">
        <v>10</v>
      </c>
      <c r="G670" s="3" t="s">
        <v>1270</v>
      </c>
      <c r="H670" s="3" t="s">
        <v>1271</v>
      </c>
      <c r="I670" s="3">
        <v>521.54999999999995</v>
      </c>
      <c r="J670" s="3" t="s">
        <v>11</v>
      </c>
      <c r="K670">
        <f>MATCH(A670,Database!$A$2:$A$948,0)</f>
        <v>298</v>
      </c>
      <c r="L670">
        <f>VLOOKUP(A670,Database!$A$2:$I$948,4,0)</f>
        <v>521.54999999999995</v>
      </c>
      <c r="M670" t="b">
        <f t="shared" si="23"/>
        <v>1</v>
      </c>
      <c r="N670">
        <f>VLOOKUP(A670,Database!$A$2:$I$948,5,0)</f>
        <v>1</v>
      </c>
    </row>
    <row r="671" spans="1:14" hidden="1" x14ac:dyDescent="0.35">
      <c r="A671" s="3">
        <v>103408323</v>
      </c>
      <c r="B671" s="3" t="s">
        <v>1272</v>
      </c>
      <c r="C671" s="3" t="str">
        <f t="shared" si="22"/>
        <v>2022-07-06</v>
      </c>
      <c r="D671" s="3" t="s">
        <v>9</v>
      </c>
      <c r="E671" s="3" t="s">
        <v>5</v>
      </c>
      <c r="F671" s="3" t="s">
        <v>10</v>
      </c>
      <c r="G671" s="3" t="s">
        <v>1273</v>
      </c>
      <c r="H671" s="3" t="s">
        <v>1274</v>
      </c>
      <c r="I671" s="4">
        <v>3797.1</v>
      </c>
      <c r="J671" s="3" t="s">
        <v>11</v>
      </c>
      <c r="K671">
        <f>MATCH(A671,Database!$A$2:$A$948,0)</f>
        <v>297</v>
      </c>
      <c r="L671">
        <f>VLOOKUP(A671,Database!$A$2:$I$948,4,0)</f>
        <v>3797.1</v>
      </c>
      <c r="M671" t="b">
        <f t="shared" si="23"/>
        <v>1</v>
      </c>
      <c r="N671">
        <f>VLOOKUP(A671,Database!$A$2:$I$948,5,0)</f>
        <v>1</v>
      </c>
    </row>
    <row r="672" spans="1:14" hidden="1" x14ac:dyDescent="0.35">
      <c r="A672" s="3">
        <v>103408318</v>
      </c>
      <c r="B672" s="3" t="s">
        <v>4771</v>
      </c>
      <c r="C672" s="3" t="str">
        <f t="shared" si="22"/>
        <v>2022-07-06</v>
      </c>
      <c r="D672" s="3" t="s">
        <v>9</v>
      </c>
      <c r="E672" s="3" t="s">
        <v>5</v>
      </c>
      <c r="F672" s="3" t="s">
        <v>10</v>
      </c>
      <c r="G672" s="3" t="s">
        <v>4772</v>
      </c>
      <c r="H672" s="3" t="s">
        <v>4773</v>
      </c>
      <c r="I672" s="4">
        <v>1128.5999999999999</v>
      </c>
      <c r="J672" s="3" t="s">
        <v>13</v>
      </c>
      <c r="K672">
        <f>MATCH(A672,Database!$A$2:$A$948,0)</f>
        <v>296</v>
      </c>
      <c r="L672">
        <f>VLOOKUP(A672,Database!$A$2:$I$948,4,0)</f>
        <v>1128.5999999999999</v>
      </c>
      <c r="M672" t="b">
        <f t="shared" si="23"/>
        <v>1</v>
      </c>
      <c r="N672">
        <f>VLOOKUP(A672,Database!$A$2:$I$948,5,0)</f>
        <v>2</v>
      </c>
    </row>
    <row r="673" spans="1:14" hidden="1" x14ac:dyDescent="0.35">
      <c r="A673" s="3">
        <v>103408317</v>
      </c>
      <c r="B673" s="3" t="s">
        <v>1275</v>
      </c>
      <c r="C673" s="3" t="str">
        <f t="shared" si="22"/>
        <v>2022-07-06</v>
      </c>
      <c r="D673" s="3" t="s">
        <v>9</v>
      </c>
      <c r="E673" s="3" t="s">
        <v>5</v>
      </c>
      <c r="F673" s="3" t="s">
        <v>10</v>
      </c>
      <c r="G673" s="3" t="s">
        <v>1276</v>
      </c>
      <c r="H673" s="3" t="s">
        <v>1277</v>
      </c>
      <c r="I673" s="3">
        <v>969</v>
      </c>
      <c r="J673" s="3" t="s">
        <v>11</v>
      </c>
      <c r="K673">
        <f>MATCH(A673,Database!$A$2:$A$948,0)</f>
        <v>295</v>
      </c>
      <c r="L673">
        <f>VLOOKUP(A673,Database!$A$2:$I$948,4,0)</f>
        <v>969</v>
      </c>
      <c r="M673" t="b">
        <f t="shared" si="23"/>
        <v>1</v>
      </c>
      <c r="N673">
        <f>VLOOKUP(A673,Database!$A$2:$I$948,5,0)</f>
        <v>1</v>
      </c>
    </row>
    <row r="674" spans="1:14" hidden="1" x14ac:dyDescent="0.35">
      <c r="A674" s="3">
        <v>103408262</v>
      </c>
      <c r="B674" s="3" t="s">
        <v>1278</v>
      </c>
      <c r="C674" s="3" t="str">
        <f t="shared" si="22"/>
        <v>2022-07-06</v>
      </c>
      <c r="D674" s="3" t="s">
        <v>9</v>
      </c>
      <c r="E674" s="3" t="s">
        <v>5</v>
      </c>
      <c r="F674" s="3" t="s">
        <v>12</v>
      </c>
      <c r="G674" s="3" t="s">
        <v>1279</v>
      </c>
      <c r="H674" s="3" t="s">
        <v>1280</v>
      </c>
      <c r="I674" s="5">
        <v>3499</v>
      </c>
      <c r="J674" s="3" t="s">
        <v>11</v>
      </c>
      <c r="K674">
        <f>MATCH(A674,Database!$A$2:$A$948,0)</f>
        <v>282</v>
      </c>
      <c r="L674">
        <f>VLOOKUP(A674,Database!$A$2:$I$948,4,0)</f>
        <v>3499</v>
      </c>
      <c r="M674" t="b">
        <f t="shared" si="23"/>
        <v>1</v>
      </c>
      <c r="N674">
        <f>VLOOKUP(A674,Database!$A$2:$I$948,5,0)</f>
        <v>1</v>
      </c>
    </row>
    <row r="675" spans="1:14" hidden="1" x14ac:dyDescent="0.35">
      <c r="A675" s="3">
        <v>103408314</v>
      </c>
      <c r="B675" s="3" t="s">
        <v>1278</v>
      </c>
      <c r="C675" s="3" t="str">
        <f t="shared" si="22"/>
        <v>2022-07-06</v>
      </c>
      <c r="D675" s="3" t="s">
        <v>9</v>
      </c>
      <c r="E675" s="3" t="s">
        <v>5</v>
      </c>
      <c r="F675" s="3" t="s">
        <v>10</v>
      </c>
      <c r="G675" s="3" t="s">
        <v>1281</v>
      </c>
      <c r="H675" s="3" t="s">
        <v>1282</v>
      </c>
      <c r="I675" s="5">
        <v>2699</v>
      </c>
      <c r="J675" s="3" t="s">
        <v>11</v>
      </c>
      <c r="K675">
        <f>MATCH(A675,Database!$A$2:$A$948,0)</f>
        <v>294</v>
      </c>
      <c r="L675">
        <f>VLOOKUP(A675,Database!$A$2:$I$948,4,0)</f>
        <v>2699</v>
      </c>
      <c r="M675" t="b">
        <f t="shared" si="23"/>
        <v>1</v>
      </c>
      <c r="N675">
        <f>VLOOKUP(A675,Database!$A$2:$I$948,5,0)</f>
        <v>1</v>
      </c>
    </row>
    <row r="676" spans="1:14" hidden="1" x14ac:dyDescent="0.35">
      <c r="A676" s="3">
        <v>103408312</v>
      </c>
      <c r="B676" s="3" t="s">
        <v>1283</v>
      </c>
      <c r="C676" s="3" t="str">
        <f t="shared" si="22"/>
        <v>2022-07-06</v>
      </c>
      <c r="D676" s="3" t="s">
        <v>9</v>
      </c>
      <c r="E676" s="3" t="s">
        <v>5</v>
      </c>
      <c r="F676" s="3" t="s">
        <v>10</v>
      </c>
      <c r="G676" s="3" t="s">
        <v>1284</v>
      </c>
      <c r="H676" s="3" t="s">
        <v>1285</v>
      </c>
      <c r="I676" s="4">
        <v>3419.14</v>
      </c>
      <c r="J676" s="3" t="s">
        <v>11</v>
      </c>
      <c r="K676">
        <f>MATCH(A676,Database!$A$2:$A$948,0)</f>
        <v>293</v>
      </c>
      <c r="L676">
        <f>VLOOKUP(A676,Database!$A$2:$I$948,4,0)</f>
        <v>3419.14</v>
      </c>
      <c r="M676" t="b">
        <f t="shared" si="23"/>
        <v>1</v>
      </c>
      <c r="N676">
        <f>VLOOKUP(A676,Database!$A$2:$I$948,5,0)</f>
        <v>1</v>
      </c>
    </row>
    <row r="677" spans="1:14" hidden="1" x14ac:dyDescent="0.35">
      <c r="A677" s="3">
        <v>103408259</v>
      </c>
      <c r="B677" s="3" t="s">
        <v>1286</v>
      </c>
      <c r="C677" s="3" t="str">
        <f t="shared" si="22"/>
        <v>2022-07-06</v>
      </c>
      <c r="D677" s="3" t="s">
        <v>9</v>
      </c>
      <c r="E677" s="3" t="s">
        <v>5</v>
      </c>
      <c r="F677" s="3" t="s">
        <v>10</v>
      </c>
      <c r="G677" s="3" t="s">
        <v>340</v>
      </c>
      <c r="H677" s="3" t="s">
        <v>341</v>
      </c>
      <c r="I677" s="3">
        <v>351.07</v>
      </c>
      <c r="J677" s="3" t="s">
        <v>11</v>
      </c>
      <c r="K677">
        <f>MATCH(A677,Database!$A$2:$A$948,0)</f>
        <v>281</v>
      </c>
      <c r="L677">
        <f>VLOOKUP(A677,Database!$A$2:$I$948,4,0)</f>
        <v>351.07</v>
      </c>
      <c r="M677" t="b">
        <f t="shared" si="23"/>
        <v>1</v>
      </c>
      <c r="N677">
        <f>VLOOKUP(A677,Database!$A$2:$I$948,5,0)</f>
        <v>1</v>
      </c>
    </row>
    <row r="678" spans="1:14" hidden="1" x14ac:dyDescent="0.35">
      <c r="A678" s="3">
        <v>103408258</v>
      </c>
      <c r="B678" s="3" t="s">
        <v>1287</v>
      </c>
      <c r="C678" s="3" t="str">
        <f t="shared" si="22"/>
        <v>2022-07-06</v>
      </c>
      <c r="D678" s="3" t="s">
        <v>9</v>
      </c>
      <c r="E678" s="3" t="s">
        <v>5</v>
      </c>
      <c r="F678" s="3" t="s">
        <v>12</v>
      </c>
      <c r="G678" s="3" t="s">
        <v>1288</v>
      </c>
      <c r="H678" s="3" t="s">
        <v>1289</v>
      </c>
      <c r="I678" s="3">
        <v>899</v>
      </c>
      <c r="J678" s="3" t="s">
        <v>11</v>
      </c>
      <c r="K678">
        <f>MATCH(A678,Database!$A$2:$A$948,0)</f>
        <v>280</v>
      </c>
      <c r="L678">
        <f>VLOOKUP(A678,Database!$A$2:$I$948,4,0)</f>
        <v>899</v>
      </c>
      <c r="M678" t="b">
        <f t="shared" si="23"/>
        <v>1</v>
      </c>
      <c r="N678">
        <f>VLOOKUP(A678,Database!$A$2:$I$948,5,0)</f>
        <v>1</v>
      </c>
    </row>
    <row r="679" spans="1:14" hidden="1" x14ac:dyDescent="0.35">
      <c r="A679" s="3">
        <v>103408257</v>
      </c>
      <c r="B679" s="3" t="s">
        <v>1290</v>
      </c>
      <c r="C679" s="3" t="str">
        <f t="shared" si="22"/>
        <v>2022-07-06</v>
      </c>
      <c r="D679" s="3" t="s">
        <v>9</v>
      </c>
      <c r="E679" s="3" t="s">
        <v>5</v>
      </c>
      <c r="F679" s="3" t="s">
        <v>10</v>
      </c>
      <c r="G679" s="3" t="s">
        <v>1291</v>
      </c>
      <c r="H679" s="3" t="s">
        <v>1292</v>
      </c>
      <c r="I679" s="5">
        <v>4549</v>
      </c>
      <c r="J679" s="3" t="s">
        <v>11</v>
      </c>
      <c r="K679">
        <f>MATCH(A679,Database!$A$2:$A$948,0)</f>
        <v>279</v>
      </c>
      <c r="L679">
        <f>VLOOKUP(A679,Database!$A$2:$I$948,4,0)</f>
        <v>4549</v>
      </c>
      <c r="M679" t="b">
        <f t="shared" si="23"/>
        <v>1</v>
      </c>
      <c r="N679">
        <f>VLOOKUP(A679,Database!$A$2:$I$948,5,0)</f>
        <v>1</v>
      </c>
    </row>
    <row r="680" spans="1:14" hidden="1" x14ac:dyDescent="0.35">
      <c r="A680" s="3">
        <v>103408246</v>
      </c>
      <c r="B680" s="3" t="s">
        <v>1293</v>
      </c>
      <c r="C680" s="3" t="str">
        <f t="shared" si="22"/>
        <v>2022-07-06</v>
      </c>
      <c r="D680" s="3" t="s">
        <v>9</v>
      </c>
      <c r="E680" s="3" t="s">
        <v>5</v>
      </c>
      <c r="F680" s="3" t="s">
        <v>10</v>
      </c>
      <c r="G680" s="3" t="s">
        <v>1294</v>
      </c>
      <c r="H680" s="3" t="s">
        <v>1295</v>
      </c>
      <c r="I680" s="4">
        <v>3239.1</v>
      </c>
      <c r="J680" s="3" t="s">
        <v>11</v>
      </c>
      <c r="K680">
        <f>MATCH(A680,Database!$A$2:$A$948,0)</f>
        <v>278</v>
      </c>
      <c r="L680">
        <f>VLOOKUP(A680,Database!$A$2:$I$948,4,0)</f>
        <v>3239.1</v>
      </c>
      <c r="M680" t="b">
        <f t="shared" si="23"/>
        <v>1</v>
      </c>
      <c r="N680">
        <f>VLOOKUP(A680,Database!$A$2:$I$948,5,0)</f>
        <v>1</v>
      </c>
    </row>
    <row r="681" spans="1:14" hidden="1" x14ac:dyDescent="0.35">
      <c r="A681" s="3">
        <v>103408301</v>
      </c>
      <c r="B681" s="3" t="s">
        <v>1296</v>
      </c>
      <c r="C681" s="3" t="str">
        <f t="shared" si="22"/>
        <v>2022-07-06</v>
      </c>
      <c r="D681" s="3" t="s">
        <v>9</v>
      </c>
      <c r="E681" s="3" t="s">
        <v>5</v>
      </c>
      <c r="F681" s="3" t="s">
        <v>12</v>
      </c>
      <c r="G681" s="3" t="s">
        <v>1297</v>
      </c>
      <c r="H681" s="3" t="s">
        <v>1298</v>
      </c>
      <c r="I681" s="4">
        <v>2773.05</v>
      </c>
      <c r="J681" s="3" t="s">
        <v>11</v>
      </c>
      <c r="K681">
        <f>MATCH(A681,Database!$A$2:$A$948,0)</f>
        <v>292</v>
      </c>
      <c r="L681">
        <f>VLOOKUP(A681,Database!$A$2:$I$948,4,0)</f>
        <v>2773.05</v>
      </c>
      <c r="M681" t="b">
        <f t="shared" si="23"/>
        <v>1</v>
      </c>
      <c r="N681">
        <f>VLOOKUP(A681,Database!$A$2:$I$948,5,0)</f>
        <v>1</v>
      </c>
    </row>
    <row r="682" spans="1:14" hidden="1" x14ac:dyDescent="0.35">
      <c r="A682" s="3">
        <v>103408240</v>
      </c>
      <c r="B682" s="3" t="s">
        <v>1299</v>
      </c>
      <c r="C682" s="3" t="str">
        <f t="shared" si="22"/>
        <v>2022-07-06</v>
      </c>
      <c r="D682" s="3" t="s">
        <v>9</v>
      </c>
      <c r="E682" s="3" t="s">
        <v>5</v>
      </c>
      <c r="F682" s="3" t="s">
        <v>10</v>
      </c>
      <c r="G682" s="3" t="s">
        <v>1300</v>
      </c>
      <c r="H682" s="3" t="s">
        <v>1301</v>
      </c>
      <c r="I682" s="4">
        <v>1566.55</v>
      </c>
      <c r="J682" s="3" t="s">
        <v>11</v>
      </c>
      <c r="K682">
        <f>MATCH(A682,Database!$A$2:$A$948,0)</f>
        <v>277</v>
      </c>
      <c r="L682">
        <f>VLOOKUP(A682,Database!$A$2:$I$948,4,0)</f>
        <v>1566.55</v>
      </c>
      <c r="M682" t="b">
        <f t="shared" si="23"/>
        <v>1</v>
      </c>
      <c r="N682">
        <f>VLOOKUP(A682,Database!$A$2:$I$948,5,0)</f>
        <v>1</v>
      </c>
    </row>
    <row r="683" spans="1:14" hidden="1" x14ac:dyDescent="0.35">
      <c r="A683" s="3">
        <v>103408297</v>
      </c>
      <c r="B683" s="3" t="s">
        <v>1302</v>
      </c>
      <c r="C683" s="3" t="str">
        <f t="shared" si="22"/>
        <v>2022-07-06</v>
      </c>
      <c r="D683" s="3" t="s">
        <v>9</v>
      </c>
      <c r="E683" s="3" t="s">
        <v>5</v>
      </c>
      <c r="F683" s="3" t="s">
        <v>10</v>
      </c>
      <c r="G683" s="3" t="s">
        <v>1303</v>
      </c>
      <c r="H683" s="3" t="s">
        <v>1304</v>
      </c>
      <c r="I683" s="3">
        <v>987.05</v>
      </c>
      <c r="J683" s="3" t="s">
        <v>11</v>
      </c>
      <c r="K683">
        <f>MATCH(A683,Database!$A$2:$A$948,0)</f>
        <v>291</v>
      </c>
      <c r="L683">
        <f>VLOOKUP(A683,Database!$A$2:$I$948,4,0)</f>
        <v>987.05</v>
      </c>
      <c r="M683" t="b">
        <f t="shared" si="23"/>
        <v>1</v>
      </c>
      <c r="N683">
        <f>VLOOKUP(A683,Database!$A$2:$I$948,5,0)</f>
        <v>1</v>
      </c>
    </row>
    <row r="684" spans="1:14" hidden="1" x14ac:dyDescent="0.35">
      <c r="A684" s="3">
        <v>103408236</v>
      </c>
      <c r="B684" s="3" t="s">
        <v>1305</v>
      </c>
      <c r="C684" s="3" t="str">
        <f t="shared" si="22"/>
        <v>2022-07-06</v>
      </c>
      <c r="D684" s="3" t="s">
        <v>9</v>
      </c>
      <c r="E684" s="3" t="s">
        <v>5</v>
      </c>
      <c r="F684" s="3" t="s">
        <v>10</v>
      </c>
      <c r="G684" s="3" t="s">
        <v>1306</v>
      </c>
      <c r="H684" s="3" t="s">
        <v>1307</v>
      </c>
      <c r="I684" s="4">
        <v>1661.55</v>
      </c>
      <c r="J684" s="3" t="s">
        <v>11</v>
      </c>
      <c r="K684">
        <f>MATCH(A684,Database!$A$2:$A$948,0)</f>
        <v>276</v>
      </c>
      <c r="L684">
        <f>VLOOKUP(A684,Database!$A$2:$I$948,4,0)</f>
        <v>1661.55</v>
      </c>
      <c r="M684" t="b">
        <f t="shared" si="23"/>
        <v>1</v>
      </c>
      <c r="N684">
        <f>VLOOKUP(A684,Database!$A$2:$I$948,5,0)</f>
        <v>1</v>
      </c>
    </row>
    <row r="685" spans="1:14" hidden="1" x14ac:dyDescent="0.35">
      <c r="A685" s="3">
        <v>103408232</v>
      </c>
      <c r="B685" s="3" t="s">
        <v>1308</v>
      </c>
      <c r="C685" s="3" t="str">
        <f t="shared" si="22"/>
        <v>2022-07-06</v>
      </c>
      <c r="D685" s="3" t="s">
        <v>9</v>
      </c>
      <c r="E685" s="3" t="s">
        <v>5</v>
      </c>
      <c r="F685" s="3" t="s">
        <v>10</v>
      </c>
      <c r="G685" s="3" t="s">
        <v>1309</v>
      </c>
      <c r="H685" s="3" t="s">
        <v>1310</v>
      </c>
      <c r="I685" s="5">
        <v>4199</v>
      </c>
      <c r="J685" s="3" t="s">
        <v>11</v>
      </c>
      <c r="K685">
        <f>MATCH(A685,Database!$A$2:$A$948,0)</f>
        <v>275</v>
      </c>
      <c r="L685">
        <f>VLOOKUP(A685,Database!$A$2:$I$948,4,0)</f>
        <v>4199</v>
      </c>
      <c r="M685" t="b">
        <f t="shared" si="23"/>
        <v>1</v>
      </c>
      <c r="N685">
        <f>VLOOKUP(A685,Database!$A$2:$I$948,5,0)</f>
        <v>1</v>
      </c>
    </row>
    <row r="686" spans="1:14" hidden="1" x14ac:dyDescent="0.35">
      <c r="A686" s="3">
        <v>103408229</v>
      </c>
      <c r="B686" s="3" t="s">
        <v>1311</v>
      </c>
      <c r="C686" s="3" t="str">
        <f t="shared" si="22"/>
        <v>2022-07-06</v>
      </c>
      <c r="D686" s="3" t="s">
        <v>9</v>
      </c>
      <c r="E686" s="3" t="s">
        <v>5</v>
      </c>
      <c r="F686" s="3" t="s">
        <v>10</v>
      </c>
      <c r="G686" s="3" t="s">
        <v>1312</v>
      </c>
      <c r="H686" s="3" t="s">
        <v>1313</v>
      </c>
      <c r="I686" s="3">
        <v>999</v>
      </c>
      <c r="J686" s="3" t="s">
        <v>11</v>
      </c>
      <c r="K686">
        <f>MATCH(A686,Database!$A$2:$A$948,0)</f>
        <v>274</v>
      </c>
      <c r="L686">
        <f>VLOOKUP(A686,Database!$A$2:$I$948,4,0)</f>
        <v>999</v>
      </c>
      <c r="M686" t="b">
        <f t="shared" si="23"/>
        <v>1</v>
      </c>
      <c r="N686">
        <f>VLOOKUP(A686,Database!$A$2:$I$948,5,0)</f>
        <v>1</v>
      </c>
    </row>
    <row r="687" spans="1:14" hidden="1" x14ac:dyDescent="0.35">
      <c r="A687" s="3">
        <v>103408294</v>
      </c>
      <c r="B687" s="3" t="s">
        <v>1314</v>
      </c>
      <c r="C687" s="3" t="str">
        <f t="shared" si="22"/>
        <v>2022-07-06</v>
      </c>
      <c r="D687" s="3" t="s">
        <v>9</v>
      </c>
      <c r="E687" s="3" t="s">
        <v>5</v>
      </c>
      <c r="F687" s="3" t="s">
        <v>10</v>
      </c>
      <c r="G687" s="3" t="s">
        <v>1315</v>
      </c>
      <c r="H687" s="3" t="s">
        <v>1316</v>
      </c>
      <c r="I687" s="4">
        <v>1837.39</v>
      </c>
      <c r="J687" s="3" t="s">
        <v>11</v>
      </c>
      <c r="K687">
        <f>MATCH(A687,Database!$A$2:$A$948,0)</f>
        <v>290</v>
      </c>
      <c r="L687">
        <f>VLOOKUP(A687,Database!$A$2:$I$948,4,0)</f>
        <v>1837.39</v>
      </c>
      <c r="M687" t="b">
        <f t="shared" si="23"/>
        <v>1</v>
      </c>
      <c r="N687">
        <f>VLOOKUP(A687,Database!$A$2:$I$948,5,0)</f>
        <v>1</v>
      </c>
    </row>
    <row r="688" spans="1:14" hidden="1" x14ac:dyDescent="0.35">
      <c r="A688" s="3">
        <v>103408228</v>
      </c>
      <c r="B688" s="3" t="s">
        <v>1317</v>
      </c>
      <c r="C688" s="3" t="str">
        <f t="shared" si="22"/>
        <v>2022-07-06</v>
      </c>
      <c r="D688" s="3" t="s">
        <v>9</v>
      </c>
      <c r="E688" s="3" t="s">
        <v>5</v>
      </c>
      <c r="F688" s="3" t="s">
        <v>10</v>
      </c>
      <c r="G688" s="3" t="s">
        <v>1318</v>
      </c>
      <c r="H688" s="3" t="s">
        <v>1319</v>
      </c>
      <c r="I688" s="5">
        <v>4799</v>
      </c>
      <c r="J688" s="3" t="s">
        <v>11</v>
      </c>
      <c r="K688">
        <f>MATCH(A688,Database!$A$2:$A$948,0)</f>
        <v>273</v>
      </c>
      <c r="L688">
        <f>VLOOKUP(A688,Database!$A$2:$I$948,4,0)</f>
        <v>4799</v>
      </c>
      <c r="M688" t="b">
        <f t="shared" si="23"/>
        <v>1</v>
      </c>
      <c r="N688">
        <f>VLOOKUP(A688,Database!$A$2:$I$948,5,0)</f>
        <v>1</v>
      </c>
    </row>
    <row r="689" spans="1:14" hidden="1" x14ac:dyDescent="0.35">
      <c r="A689" s="3">
        <v>103408227</v>
      </c>
      <c r="B689" s="3" t="s">
        <v>1320</v>
      </c>
      <c r="C689" s="3" t="str">
        <f t="shared" si="22"/>
        <v>2022-07-06</v>
      </c>
      <c r="D689" s="3" t="s">
        <v>9</v>
      </c>
      <c r="E689" s="3" t="s">
        <v>5</v>
      </c>
      <c r="F689" s="3" t="s">
        <v>10</v>
      </c>
      <c r="G689" s="3" t="s">
        <v>17</v>
      </c>
      <c r="H689" s="3" t="s">
        <v>18</v>
      </c>
      <c r="I689" s="4">
        <v>1110.55</v>
      </c>
      <c r="J689" s="3" t="s">
        <v>11</v>
      </c>
      <c r="K689">
        <f>MATCH(A689,Database!$A$2:$A$948,0)</f>
        <v>272</v>
      </c>
      <c r="L689">
        <f>VLOOKUP(A689,Database!$A$2:$I$948,4,0)</f>
        <v>1110.55</v>
      </c>
      <c r="M689" t="b">
        <f t="shared" si="23"/>
        <v>1</v>
      </c>
      <c r="N689">
        <f>VLOOKUP(A689,Database!$A$2:$I$948,5,0)</f>
        <v>1</v>
      </c>
    </row>
    <row r="690" spans="1:14" hidden="1" x14ac:dyDescent="0.35">
      <c r="A690" s="3">
        <v>103408226</v>
      </c>
      <c r="B690" s="3" t="s">
        <v>1321</v>
      </c>
      <c r="C690" s="3" t="str">
        <f t="shared" si="22"/>
        <v>2022-07-06</v>
      </c>
      <c r="D690" s="3" t="s">
        <v>9</v>
      </c>
      <c r="E690" s="3" t="s">
        <v>5</v>
      </c>
      <c r="F690" s="3" t="s">
        <v>10</v>
      </c>
      <c r="G690" s="3" t="s">
        <v>1322</v>
      </c>
      <c r="H690" s="3" t="s">
        <v>1323</v>
      </c>
      <c r="I690" s="5">
        <v>1558</v>
      </c>
      <c r="J690" s="3" t="s">
        <v>11</v>
      </c>
      <c r="K690">
        <f>MATCH(A690,Database!$A$2:$A$948,0)</f>
        <v>271</v>
      </c>
      <c r="L690">
        <f>VLOOKUP(A690,Database!$A$2:$I$948,4,0)</f>
        <v>1558</v>
      </c>
      <c r="M690" t="b">
        <f t="shared" si="23"/>
        <v>1</v>
      </c>
      <c r="N690">
        <f>VLOOKUP(A690,Database!$A$2:$I$948,5,0)</f>
        <v>2</v>
      </c>
    </row>
    <row r="691" spans="1:14" hidden="1" x14ac:dyDescent="0.35">
      <c r="A691" s="3">
        <v>103408291</v>
      </c>
      <c r="B691" s="3" t="s">
        <v>1324</v>
      </c>
      <c r="C691" s="3" t="str">
        <f t="shared" si="22"/>
        <v>2022-07-06</v>
      </c>
      <c r="D691" s="3" t="s">
        <v>9</v>
      </c>
      <c r="E691" s="3" t="s">
        <v>5</v>
      </c>
      <c r="F691" s="3" t="s">
        <v>10</v>
      </c>
      <c r="G691" s="3" t="s">
        <v>1325</v>
      </c>
      <c r="H691" s="3" t="s">
        <v>1326</v>
      </c>
      <c r="I691" s="4">
        <v>3419.05</v>
      </c>
      <c r="J691" s="3" t="s">
        <v>11</v>
      </c>
      <c r="K691">
        <f>MATCH(A691,Database!$A$2:$A$948,0)</f>
        <v>289</v>
      </c>
      <c r="L691">
        <f>VLOOKUP(A691,Database!$A$2:$I$948,4,0)</f>
        <v>3419.05</v>
      </c>
      <c r="M691" t="b">
        <f t="shared" si="23"/>
        <v>1</v>
      </c>
      <c r="N691">
        <f>VLOOKUP(A691,Database!$A$2:$I$948,5,0)</f>
        <v>1</v>
      </c>
    </row>
    <row r="692" spans="1:14" hidden="1" x14ac:dyDescent="0.35">
      <c r="A692" s="3">
        <v>103408290</v>
      </c>
      <c r="B692" s="3" t="s">
        <v>1327</v>
      </c>
      <c r="C692" s="3" t="str">
        <f t="shared" si="22"/>
        <v>2022-07-06</v>
      </c>
      <c r="D692" s="3" t="s">
        <v>9</v>
      </c>
      <c r="E692" s="3" t="s">
        <v>5</v>
      </c>
      <c r="F692" s="3" t="s">
        <v>12</v>
      </c>
      <c r="G692" s="3" t="s">
        <v>1328</v>
      </c>
      <c r="H692" s="3" t="s">
        <v>1329</v>
      </c>
      <c r="I692" s="5">
        <v>2449</v>
      </c>
      <c r="J692" s="3" t="s">
        <v>11</v>
      </c>
      <c r="K692" t="e">
        <f>MATCH(A692,Database!$A$2:$A$948,0)</f>
        <v>#N/A</v>
      </c>
      <c r="L692" t="e">
        <f>VLOOKUP(A692,Database!$A$2:$I$948,4,0)</f>
        <v>#N/A</v>
      </c>
      <c r="M692" t="e">
        <f t="shared" si="23"/>
        <v>#N/A</v>
      </c>
      <c r="N692" t="e">
        <f>VLOOKUP(A692,Database!$A$2:$I$948,5,0)</f>
        <v>#N/A</v>
      </c>
    </row>
    <row r="693" spans="1:14" hidden="1" x14ac:dyDescent="0.35">
      <c r="A693" s="3">
        <v>103408225</v>
      </c>
      <c r="B693" s="3" t="s">
        <v>1330</v>
      </c>
      <c r="C693" s="3" t="str">
        <f t="shared" si="22"/>
        <v>2022-07-06</v>
      </c>
      <c r="D693" s="3" t="s">
        <v>9</v>
      </c>
      <c r="E693" s="3" t="s">
        <v>5</v>
      </c>
      <c r="F693" s="3" t="s">
        <v>10</v>
      </c>
      <c r="G693" s="3" t="s">
        <v>1331</v>
      </c>
      <c r="H693" s="3" t="s">
        <v>1332</v>
      </c>
      <c r="I693" s="4">
        <v>2350.39</v>
      </c>
      <c r="J693" s="3" t="s">
        <v>11</v>
      </c>
      <c r="K693">
        <f>MATCH(A693,Database!$A$2:$A$948,0)</f>
        <v>270</v>
      </c>
      <c r="L693">
        <f>VLOOKUP(A693,Database!$A$2:$I$948,4,0)</f>
        <v>2350.39</v>
      </c>
      <c r="M693" t="b">
        <f t="shared" si="23"/>
        <v>1</v>
      </c>
      <c r="N693">
        <f>VLOOKUP(A693,Database!$A$2:$I$948,5,0)</f>
        <v>1</v>
      </c>
    </row>
    <row r="694" spans="1:14" hidden="1" x14ac:dyDescent="0.35">
      <c r="A694" s="3">
        <v>103408289</v>
      </c>
      <c r="B694" s="3" t="s">
        <v>1333</v>
      </c>
      <c r="C694" s="3" t="str">
        <f t="shared" si="22"/>
        <v>2022-07-06</v>
      </c>
      <c r="D694" s="3" t="s">
        <v>9</v>
      </c>
      <c r="E694" s="3" t="s">
        <v>5</v>
      </c>
      <c r="F694" s="3" t="s">
        <v>10</v>
      </c>
      <c r="G694" s="3" t="s">
        <v>1334</v>
      </c>
      <c r="H694" s="3" t="s">
        <v>1335</v>
      </c>
      <c r="I694" s="4">
        <v>2564.14</v>
      </c>
      <c r="J694" s="3" t="s">
        <v>11</v>
      </c>
      <c r="K694" t="e">
        <f>MATCH(A694,Database!$A$2:$A$948,0)</f>
        <v>#N/A</v>
      </c>
      <c r="L694" t="e">
        <f>VLOOKUP(A694,Database!$A$2:$I$948,4,0)</f>
        <v>#N/A</v>
      </c>
      <c r="M694" t="e">
        <f t="shared" si="23"/>
        <v>#N/A</v>
      </c>
      <c r="N694" t="e">
        <f>VLOOKUP(A694,Database!$A$2:$I$948,5,0)</f>
        <v>#N/A</v>
      </c>
    </row>
    <row r="695" spans="1:14" hidden="1" x14ac:dyDescent="0.35">
      <c r="A695" s="3">
        <v>103408287</v>
      </c>
      <c r="B695" s="3" t="s">
        <v>1336</v>
      </c>
      <c r="C695" s="3" t="str">
        <f t="shared" si="22"/>
        <v>2022-07-06</v>
      </c>
      <c r="D695" s="3" t="s">
        <v>9</v>
      </c>
      <c r="E695" s="3" t="s">
        <v>5</v>
      </c>
      <c r="F695" s="3" t="s">
        <v>10</v>
      </c>
      <c r="G695" s="3" t="s">
        <v>1337</v>
      </c>
      <c r="H695" s="3" t="s">
        <v>1338</v>
      </c>
      <c r="I695" s="5">
        <v>4799</v>
      </c>
      <c r="J695" s="3" t="s">
        <v>11</v>
      </c>
      <c r="K695">
        <f>MATCH(A695,Database!$A$2:$A$948,0)</f>
        <v>288</v>
      </c>
      <c r="L695">
        <f>VLOOKUP(A695,Database!$A$2:$I$948,4,0)</f>
        <v>4799</v>
      </c>
      <c r="M695" t="b">
        <f t="shared" si="23"/>
        <v>1</v>
      </c>
      <c r="N695">
        <f>VLOOKUP(A695,Database!$A$2:$I$948,5,0)</f>
        <v>1</v>
      </c>
    </row>
    <row r="696" spans="1:14" hidden="1" x14ac:dyDescent="0.35">
      <c r="A696" s="3">
        <v>103408217</v>
      </c>
      <c r="B696" s="3" t="s">
        <v>1339</v>
      </c>
      <c r="C696" s="3" t="str">
        <f t="shared" si="22"/>
        <v>2022-07-06</v>
      </c>
      <c r="D696" s="3" t="s">
        <v>9</v>
      </c>
      <c r="E696" s="3" t="s">
        <v>5</v>
      </c>
      <c r="F696" s="3" t="s">
        <v>10</v>
      </c>
      <c r="G696" s="3" t="s">
        <v>1340</v>
      </c>
      <c r="H696" s="3" t="s">
        <v>1341</v>
      </c>
      <c r="I696" s="3">
        <v>571.99</v>
      </c>
      <c r="J696" s="3" t="s">
        <v>11</v>
      </c>
      <c r="K696">
        <f>MATCH(A696,Database!$A$2:$A$948,0)</f>
        <v>269</v>
      </c>
      <c r="L696">
        <f>VLOOKUP(A696,Database!$A$2:$I$948,4,0)</f>
        <v>571.99</v>
      </c>
      <c r="M696" t="b">
        <f t="shared" si="23"/>
        <v>1</v>
      </c>
      <c r="N696">
        <f>VLOOKUP(A696,Database!$A$2:$I$948,5,0)</f>
        <v>1</v>
      </c>
    </row>
    <row r="697" spans="1:14" hidden="1" x14ac:dyDescent="0.35">
      <c r="A697" s="3">
        <v>103408278</v>
      </c>
      <c r="B697" s="3" t="s">
        <v>1342</v>
      </c>
      <c r="C697" s="3" t="str">
        <f t="shared" si="22"/>
        <v>2022-07-06</v>
      </c>
      <c r="D697" s="3" t="s">
        <v>9</v>
      </c>
      <c r="E697" s="3" t="s">
        <v>5</v>
      </c>
      <c r="F697" s="3" t="s">
        <v>10</v>
      </c>
      <c r="G697" s="3" t="s">
        <v>1343</v>
      </c>
      <c r="H697" s="3" t="s">
        <v>1344</v>
      </c>
      <c r="I697" s="5">
        <v>1599</v>
      </c>
      <c r="J697" s="3" t="s">
        <v>11</v>
      </c>
      <c r="K697">
        <f>MATCH(A697,Database!$A$2:$A$948,0)</f>
        <v>287</v>
      </c>
      <c r="L697">
        <f>VLOOKUP(A697,Database!$A$2:$I$948,4,0)</f>
        <v>1599</v>
      </c>
      <c r="M697" t="b">
        <f t="shared" si="23"/>
        <v>1</v>
      </c>
      <c r="N697">
        <f>VLOOKUP(A697,Database!$A$2:$I$948,5,0)</f>
        <v>1</v>
      </c>
    </row>
    <row r="698" spans="1:14" hidden="1" x14ac:dyDescent="0.35">
      <c r="A698" s="3">
        <v>103408215</v>
      </c>
      <c r="B698" s="3" t="s">
        <v>1345</v>
      </c>
      <c r="C698" s="3" t="str">
        <f t="shared" si="22"/>
        <v>2022-07-06</v>
      </c>
      <c r="D698" s="3" t="s">
        <v>9</v>
      </c>
      <c r="E698" s="3" t="s">
        <v>5</v>
      </c>
      <c r="F698" s="3" t="s">
        <v>10</v>
      </c>
      <c r="G698" s="3" t="s">
        <v>1346</v>
      </c>
      <c r="H698" s="3" t="s">
        <v>1347</v>
      </c>
      <c r="I698" s="4">
        <v>2960.2</v>
      </c>
      <c r="J698" s="3" t="s">
        <v>11</v>
      </c>
      <c r="K698">
        <f>MATCH(A698,Database!$A$2:$A$948,0)</f>
        <v>268</v>
      </c>
      <c r="L698">
        <f>VLOOKUP(A698,Database!$A$2:$I$948,4,0)</f>
        <v>2960.2</v>
      </c>
      <c r="M698" t="b">
        <f t="shared" si="23"/>
        <v>1</v>
      </c>
      <c r="N698">
        <f>VLOOKUP(A698,Database!$A$2:$I$948,5,0)</f>
        <v>4</v>
      </c>
    </row>
    <row r="699" spans="1:14" hidden="1" x14ac:dyDescent="0.35">
      <c r="A699" s="3">
        <v>103408274</v>
      </c>
      <c r="B699" s="3" t="s">
        <v>1348</v>
      </c>
      <c r="C699" s="3" t="str">
        <f t="shared" si="22"/>
        <v>2022-07-06</v>
      </c>
      <c r="D699" s="3" t="s">
        <v>9</v>
      </c>
      <c r="E699" s="3" t="s">
        <v>5</v>
      </c>
      <c r="F699" s="3" t="s">
        <v>10</v>
      </c>
      <c r="G699" s="3" t="s">
        <v>1349</v>
      </c>
      <c r="H699" s="3" t="s">
        <v>1350</v>
      </c>
      <c r="I699" s="5">
        <v>4949</v>
      </c>
      <c r="J699" s="3" t="s">
        <v>11</v>
      </c>
      <c r="K699" t="e">
        <f>MATCH(A699,Database!$A$2:$A$948,0)</f>
        <v>#N/A</v>
      </c>
      <c r="L699" t="e">
        <f>VLOOKUP(A699,Database!$A$2:$I$948,4,0)</f>
        <v>#N/A</v>
      </c>
      <c r="M699" t="e">
        <f t="shared" si="23"/>
        <v>#N/A</v>
      </c>
      <c r="N699" t="e">
        <f>VLOOKUP(A699,Database!$A$2:$I$948,5,0)</f>
        <v>#N/A</v>
      </c>
    </row>
    <row r="700" spans="1:14" hidden="1" x14ac:dyDescent="0.35">
      <c r="A700" s="3">
        <v>103408272</v>
      </c>
      <c r="B700" s="3" t="s">
        <v>1351</v>
      </c>
      <c r="C700" s="3" t="str">
        <f t="shared" si="22"/>
        <v>2022-07-06</v>
      </c>
      <c r="D700" s="3" t="s">
        <v>9</v>
      </c>
      <c r="E700" s="3" t="s">
        <v>5</v>
      </c>
      <c r="F700" s="3" t="s">
        <v>10</v>
      </c>
      <c r="G700" s="3" t="s">
        <v>1352</v>
      </c>
      <c r="H700" s="3" t="s">
        <v>1353</v>
      </c>
      <c r="I700" s="4">
        <v>2699.1</v>
      </c>
      <c r="J700" s="3" t="s">
        <v>11</v>
      </c>
      <c r="K700">
        <f>MATCH(A700,Database!$A$2:$A$948,0)</f>
        <v>286</v>
      </c>
      <c r="L700">
        <f>VLOOKUP(A700,Database!$A$2:$I$948,4,0)</f>
        <v>2699.1</v>
      </c>
      <c r="M700" t="b">
        <f t="shared" si="23"/>
        <v>1</v>
      </c>
      <c r="N700">
        <f>VLOOKUP(A700,Database!$A$2:$I$948,5,0)</f>
        <v>1</v>
      </c>
    </row>
    <row r="701" spans="1:14" hidden="1" x14ac:dyDescent="0.35">
      <c r="A701" s="3">
        <v>103408267</v>
      </c>
      <c r="B701" s="3" t="s">
        <v>1354</v>
      </c>
      <c r="C701" s="3" t="str">
        <f t="shared" si="22"/>
        <v>2022-07-06</v>
      </c>
      <c r="D701" s="3" t="s">
        <v>9</v>
      </c>
      <c r="E701" s="3" t="s">
        <v>5</v>
      </c>
      <c r="F701" s="3" t="s">
        <v>10</v>
      </c>
      <c r="G701" s="3" t="s">
        <v>1355</v>
      </c>
      <c r="H701" s="3" t="s">
        <v>1356</v>
      </c>
      <c r="I701" s="5">
        <v>1599</v>
      </c>
      <c r="J701" s="3" t="s">
        <v>11</v>
      </c>
      <c r="K701">
        <f>MATCH(A701,Database!$A$2:$A$948,0)</f>
        <v>285</v>
      </c>
      <c r="L701">
        <f>VLOOKUP(A701,Database!$A$2:$I$948,4,0)</f>
        <v>1599</v>
      </c>
      <c r="M701" t="b">
        <f t="shared" si="23"/>
        <v>1</v>
      </c>
      <c r="N701">
        <f>VLOOKUP(A701,Database!$A$2:$I$948,5,0)</f>
        <v>1</v>
      </c>
    </row>
    <row r="702" spans="1:14" hidden="1" x14ac:dyDescent="0.35">
      <c r="A702" s="3">
        <v>103408266</v>
      </c>
      <c r="B702" s="3" t="s">
        <v>1357</v>
      </c>
      <c r="C702" s="3" t="str">
        <f t="shared" si="22"/>
        <v>2022-07-06</v>
      </c>
      <c r="D702" s="3" t="s">
        <v>9</v>
      </c>
      <c r="E702" s="3" t="s">
        <v>5</v>
      </c>
      <c r="F702" s="3" t="s">
        <v>10</v>
      </c>
      <c r="G702" s="3" t="s">
        <v>1358</v>
      </c>
      <c r="H702" s="3" t="s">
        <v>1359</v>
      </c>
      <c r="I702" s="4">
        <v>2136.5500000000002</v>
      </c>
      <c r="J702" s="3" t="s">
        <v>11</v>
      </c>
      <c r="K702">
        <f>MATCH(A702,Database!$A$2:$A$948,0)</f>
        <v>284</v>
      </c>
      <c r="L702">
        <f>VLOOKUP(A702,Database!$A$2:$I$948,4,0)</f>
        <v>2136.5500000000002</v>
      </c>
      <c r="M702" t="b">
        <f t="shared" si="23"/>
        <v>1</v>
      </c>
      <c r="N702">
        <f>VLOOKUP(A702,Database!$A$2:$I$948,5,0)</f>
        <v>1</v>
      </c>
    </row>
    <row r="703" spans="1:14" hidden="1" x14ac:dyDescent="0.35">
      <c r="A703" s="3">
        <v>103408265</v>
      </c>
      <c r="B703" s="3" t="s">
        <v>1360</v>
      </c>
      <c r="C703" s="3" t="str">
        <f t="shared" si="22"/>
        <v>2022-07-06</v>
      </c>
      <c r="D703" s="3" t="s">
        <v>9</v>
      </c>
      <c r="E703" s="3" t="s">
        <v>5</v>
      </c>
      <c r="F703" s="3" t="s">
        <v>10</v>
      </c>
      <c r="G703" s="3" t="s">
        <v>1361</v>
      </c>
      <c r="H703" s="3" t="s">
        <v>1362</v>
      </c>
      <c r="I703" s="5">
        <v>2197</v>
      </c>
      <c r="J703" s="3" t="s">
        <v>11</v>
      </c>
      <c r="K703">
        <f>MATCH(A703,Database!$A$2:$A$948,0)</f>
        <v>283</v>
      </c>
      <c r="L703">
        <f>VLOOKUP(A703,Database!$A$2:$I$948,4,0)</f>
        <v>2197</v>
      </c>
      <c r="M703" t="b">
        <f t="shared" si="23"/>
        <v>1</v>
      </c>
      <c r="N703">
        <f>VLOOKUP(A703,Database!$A$2:$I$948,5,0)</f>
        <v>3</v>
      </c>
    </row>
    <row r="704" spans="1:14" hidden="1" x14ac:dyDescent="0.35">
      <c r="A704" s="3">
        <v>103408202</v>
      </c>
      <c r="B704" s="3" t="s">
        <v>1363</v>
      </c>
      <c r="C704" s="3" t="str">
        <f t="shared" si="22"/>
        <v>2022-07-06</v>
      </c>
      <c r="D704" s="3" t="s">
        <v>9</v>
      </c>
      <c r="E704" s="3" t="s">
        <v>5</v>
      </c>
      <c r="F704" s="3" t="s">
        <v>10</v>
      </c>
      <c r="G704" s="3" t="s">
        <v>1364</v>
      </c>
      <c r="H704" s="3" t="s">
        <v>1365</v>
      </c>
      <c r="I704" s="4">
        <v>2611.5500000000002</v>
      </c>
      <c r="J704" s="3" t="s">
        <v>11</v>
      </c>
      <c r="K704">
        <f>MATCH(A704,Database!$A$2:$A$948,0)</f>
        <v>267</v>
      </c>
      <c r="L704">
        <f>VLOOKUP(A704,Database!$A$2:$I$948,4,0)</f>
        <v>2611.5500000000002</v>
      </c>
      <c r="M704" t="b">
        <f t="shared" si="23"/>
        <v>1</v>
      </c>
      <c r="N704">
        <f>VLOOKUP(A704,Database!$A$2:$I$948,5,0)</f>
        <v>1</v>
      </c>
    </row>
    <row r="705" spans="1:14" hidden="1" x14ac:dyDescent="0.35">
      <c r="A705" s="3">
        <v>103408201</v>
      </c>
      <c r="B705" s="3" t="s">
        <v>1366</v>
      </c>
      <c r="C705" s="3" t="str">
        <f t="shared" si="22"/>
        <v>2022-07-06</v>
      </c>
      <c r="D705" s="3" t="s">
        <v>9</v>
      </c>
      <c r="E705" s="3" t="s">
        <v>5</v>
      </c>
      <c r="F705" s="3" t="s">
        <v>10</v>
      </c>
      <c r="G705" s="3" t="s">
        <v>1367</v>
      </c>
      <c r="H705" s="3" t="s">
        <v>1368</v>
      </c>
      <c r="I705" s="4">
        <v>2495.7399999999998</v>
      </c>
      <c r="J705" s="3" t="s">
        <v>11</v>
      </c>
      <c r="K705">
        <f>MATCH(A705,Database!$A$2:$A$948,0)</f>
        <v>266</v>
      </c>
      <c r="L705">
        <f>VLOOKUP(A705,Database!$A$2:$I$948,4,0)</f>
        <v>2495.7399999999998</v>
      </c>
      <c r="M705" t="b">
        <f t="shared" si="23"/>
        <v>1</v>
      </c>
      <c r="N705">
        <f>VLOOKUP(A705,Database!$A$2:$I$948,5,0)</f>
        <v>1</v>
      </c>
    </row>
    <row r="706" spans="1:14" hidden="1" x14ac:dyDescent="0.35">
      <c r="A706" s="3">
        <v>103408198</v>
      </c>
      <c r="B706" s="3" t="s">
        <v>1369</v>
      </c>
      <c r="C706" s="3" t="str">
        <f t="shared" si="22"/>
        <v>2022-07-06</v>
      </c>
      <c r="D706" s="3" t="s">
        <v>9</v>
      </c>
      <c r="E706" s="3" t="s">
        <v>5</v>
      </c>
      <c r="F706" s="3" t="s">
        <v>10</v>
      </c>
      <c r="G706" s="3" t="s">
        <v>1370</v>
      </c>
      <c r="H706" s="3" t="s">
        <v>1371</v>
      </c>
      <c r="I706" s="5">
        <v>2099</v>
      </c>
      <c r="J706" s="3" t="s">
        <v>11</v>
      </c>
      <c r="K706">
        <f>MATCH(A706,Database!$A$2:$A$948,0)</f>
        <v>265</v>
      </c>
      <c r="L706">
        <f>VLOOKUP(A706,Database!$A$2:$I$948,4,0)</f>
        <v>2099</v>
      </c>
      <c r="M706" t="b">
        <f t="shared" si="23"/>
        <v>1</v>
      </c>
      <c r="N706">
        <f>VLOOKUP(A706,Database!$A$2:$I$948,5,0)</f>
        <v>1</v>
      </c>
    </row>
    <row r="707" spans="1:14" hidden="1" x14ac:dyDescent="0.35">
      <c r="A707" s="3">
        <v>103408156</v>
      </c>
      <c r="B707" s="3" t="s">
        <v>1372</v>
      </c>
      <c r="C707" s="3" t="str">
        <f t="shared" ref="C707:C770" si="24">LEFT(B707,FIND("T",B707)-1)</f>
        <v>2022-07-06</v>
      </c>
      <c r="D707" s="3" t="s">
        <v>9</v>
      </c>
      <c r="E707" s="3" t="s">
        <v>5</v>
      </c>
      <c r="F707" s="3" t="s">
        <v>10</v>
      </c>
      <c r="G707" s="3" t="s">
        <v>1373</v>
      </c>
      <c r="H707" s="3" t="s">
        <v>1374</v>
      </c>
      <c r="I707" s="4">
        <v>2849.05</v>
      </c>
      <c r="J707" s="3" t="s">
        <v>11</v>
      </c>
      <c r="K707" t="e">
        <f>MATCH(A707,Database!$A$2:$A$948,0)</f>
        <v>#N/A</v>
      </c>
      <c r="L707" t="e">
        <f>VLOOKUP(A707,Database!$A$2:$I$948,4,0)</f>
        <v>#N/A</v>
      </c>
      <c r="M707" t="e">
        <f t="shared" si="23"/>
        <v>#N/A</v>
      </c>
      <c r="N707" t="e">
        <f>VLOOKUP(A707,Database!$A$2:$I$948,5,0)</f>
        <v>#N/A</v>
      </c>
    </row>
    <row r="708" spans="1:14" hidden="1" x14ac:dyDescent="0.35">
      <c r="A708" s="3">
        <v>103408157</v>
      </c>
      <c r="B708" s="3" t="s">
        <v>1372</v>
      </c>
      <c r="C708" s="3" t="str">
        <f t="shared" si="24"/>
        <v>2022-07-06</v>
      </c>
      <c r="D708" s="3" t="s">
        <v>9</v>
      </c>
      <c r="E708" s="3" t="s">
        <v>5</v>
      </c>
      <c r="F708" s="3" t="s">
        <v>10</v>
      </c>
      <c r="G708" s="3" t="s">
        <v>694</v>
      </c>
      <c r="H708" s="3" t="s">
        <v>1375</v>
      </c>
      <c r="I708" s="5">
        <v>1569</v>
      </c>
      <c r="J708" s="3" t="s">
        <v>11</v>
      </c>
      <c r="K708">
        <f>MATCH(A708,Database!$A$2:$A$948,0)</f>
        <v>253</v>
      </c>
      <c r="L708">
        <f>VLOOKUP(A708,Database!$A$2:$I$948,4,0)</f>
        <v>1569</v>
      </c>
      <c r="M708" t="b">
        <f t="shared" si="23"/>
        <v>1</v>
      </c>
      <c r="N708">
        <f>VLOOKUP(A708,Database!$A$2:$I$948,5,0)</f>
        <v>1</v>
      </c>
    </row>
    <row r="709" spans="1:14" hidden="1" x14ac:dyDescent="0.35">
      <c r="A709" s="3">
        <v>103408154</v>
      </c>
      <c r="B709" s="3" t="s">
        <v>1376</v>
      </c>
      <c r="C709" s="3" t="str">
        <f t="shared" si="24"/>
        <v>2022-07-06</v>
      </c>
      <c r="D709" s="3" t="s">
        <v>9</v>
      </c>
      <c r="E709" s="3" t="s">
        <v>5</v>
      </c>
      <c r="F709" s="3" t="s">
        <v>10</v>
      </c>
      <c r="G709" s="3" t="s">
        <v>1377</v>
      </c>
      <c r="H709" s="3" t="s">
        <v>1378</v>
      </c>
      <c r="I709" s="4">
        <v>2488.0500000000002</v>
      </c>
      <c r="J709" s="3" t="s">
        <v>11</v>
      </c>
      <c r="K709">
        <f>MATCH(A709,Database!$A$2:$A$948,0)</f>
        <v>252</v>
      </c>
      <c r="L709">
        <f>VLOOKUP(A709,Database!$A$2:$I$948,4,0)</f>
        <v>2488.0500000000002</v>
      </c>
      <c r="M709" t="b">
        <f t="shared" si="23"/>
        <v>1</v>
      </c>
      <c r="N709">
        <f>VLOOKUP(A709,Database!$A$2:$I$948,5,0)</f>
        <v>1</v>
      </c>
    </row>
    <row r="710" spans="1:14" hidden="1" x14ac:dyDescent="0.35">
      <c r="A710" s="3">
        <v>103408153</v>
      </c>
      <c r="B710" s="3" t="s">
        <v>1379</v>
      </c>
      <c r="C710" s="3" t="str">
        <f t="shared" si="24"/>
        <v>2022-07-06</v>
      </c>
      <c r="D710" s="3" t="s">
        <v>9</v>
      </c>
      <c r="E710" s="3" t="s">
        <v>5</v>
      </c>
      <c r="F710" s="3" t="s">
        <v>10</v>
      </c>
      <c r="G710" s="3" t="s">
        <v>1380</v>
      </c>
      <c r="H710" s="3" t="s">
        <v>1381</v>
      </c>
      <c r="I710" s="4">
        <v>1799.1</v>
      </c>
      <c r="J710" s="3" t="s">
        <v>11</v>
      </c>
      <c r="K710">
        <f>MATCH(A710,Database!$A$2:$A$948,0)</f>
        <v>251</v>
      </c>
      <c r="L710">
        <f>VLOOKUP(A710,Database!$A$2:$I$948,4,0)</f>
        <v>1799.1</v>
      </c>
      <c r="M710" t="b">
        <f t="shared" si="23"/>
        <v>1</v>
      </c>
      <c r="N710">
        <f>VLOOKUP(A710,Database!$A$2:$I$948,5,0)</f>
        <v>1</v>
      </c>
    </row>
    <row r="711" spans="1:14" hidden="1" x14ac:dyDescent="0.35">
      <c r="A711" s="3">
        <v>103408148</v>
      </c>
      <c r="B711" s="3" t="s">
        <v>1382</v>
      </c>
      <c r="C711" s="3" t="str">
        <f t="shared" si="24"/>
        <v>2022-07-06</v>
      </c>
      <c r="D711" s="3" t="s">
        <v>9</v>
      </c>
      <c r="E711" s="3" t="s">
        <v>5</v>
      </c>
      <c r="F711" s="3" t="s">
        <v>10</v>
      </c>
      <c r="G711" s="3" t="s">
        <v>1383</v>
      </c>
      <c r="H711" s="3" t="s">
        <v>1384</v>
      </c>
      <c r="I711" s="5">
        <v>3599</v>
      </c>
      <c r="J711" s="3" t="s">
        <v>11</v>
      </c>
      <c r="K711">
        <f>MATCH(A711,Database!$A$2:$A$948,0)</f>
        <v>250</v>
      </c>
      <c r="L711">
        <f>VLOOKUP(A711,Database!$A$2:$I$948,4,0)</f>
        <v>3599</v>
      </c>
      <c r="M711" t="b">
        <f t="shared" si="23"/>
        <v>1</v>
      </c>
      <c r="N711">
        <f>VLOOKUP(A711,Database!$A$2:$I$948,5,0)</f>
        <v>1</v>
      </c>
    </row>
    <row r="712" spans="1:14" hidden="1" x14ac:dyDescent="0.35">
      <c r="A712" s="3">
        <v>103408144</v>
      </c>
      <c r="B712" s="3" t="s">
        <v>1385</v>
      </c>
      <c r="C712" s="3" t="str">
        <f t="shared" si="24"/>
        <v>2022-07-06</v>
      </c>
      <c r="D712" s="3" t="s">
        <v>9</v>
      </c>
      <c r="E712" s="3" t="s">
        <v>5</v>
      </c>
      <c r="F712" s="3" t="s">
        <v>10</v>
      </c>
      <c r="G712" s="3" t="s">
        <v>1386</v>
      </c>
      <c r="H712" s="3" t="s">
        <v>1387</v>
      </c>
      <c r="I712" s="4">
        <v>3411.75</v>
      </c>
      <c r="J712" s="3" t="s">
        <v>11</v>
      </c>
      <c r="K712">
        <f>MATCH(A712,Database!$A$2:$A$948,0)</f>
        <v>249</v>
      </c>
      <c r="L712">
        <f>VLOOKUP(A712,Database!$A$2:$I$948,4,0)</f>
        <v>3411.75</v>
      </c>
      <c r="M712" t="b">
        <f t="shared" si="23"/>
        <v>1</v>
      </c>
      <c r="N712">
        <f>VLOOKUP(A712,Database!$A$2:$I$948,5,0)</f>
        <v>1</v>
      </c>
    </row>
    <row r="713" spans="1:14" hidden="1" x14ac:dyDescent="0.35">
      <c r="A713" s="3">
        <v>103408143</v>
      </c>
      <c r="B713" s="3" t="s">
        <v>1388</v>
      </c>
      <c r="C713" s="3" t="str">
        <f t="shared" si="24"/>
        <v>2022-07-06</v>
      </c>
      <c r="D713" s="3" t="s">
        <v>9</v>
      </c>
      <c r="E713" s="3" t="s">
        <v>5</v>
      </c>
      <c r="F713" s="3" t="s">
        <v>10</v>
      </c>
      <c r="G713" s="3" t="s">
        <v>1267</v>
      </c>
      <c r="H713" s="3" t="s">
        <v>1268</v>
      </c>
      <c r="I713" s="5">
        <v>4799</v>
      </c>
      <c r="J713" s="3" t="s">
        <v>11</v>
      </c>
      <c r="K713">
        <f>MATCH(A713,Database!$A$2:$A$948,0)</f>
        <v>248</v>
      </c>
      <c r="L713">
        <f>VLOOKUP(A713,Database!$A$2:$I$948,4,0)</f>
        <v>4799</v>
      </c>
      <c r="M713" t="b">
        <f t="shared" si="23"/>
        <v>1</v>
      </c>
      <c r="N713">
        <f>VLOOKUP(A713,Database!$A$2:$I$948,5,0)</f>
        <v>1</v>
      </c>
    </row>
    <row r="714" spans="1:14" hidden="1" x14ac:dyDescent="0.35">
      <c r="A714" s="3">
        <v>103408184</v>
      </c>
      <c r="B714" s="3" t="s">
        <v>1389</v>
      </c>
      <c r="C714" s="3" t="str">
        <f t="shared" si="24"/>
        <v>2022-07-06</v>
      </c>
      <c r="D714" s="3" t="s">
        <v>9</v>
      </c>
      <c r="E714" s="3" t="s">
        <v>5</v>
      </c>
      <c r="F714" s="3" t="s">
        <v>10</v>
      </c>
      <c r="G714" s="3" t="s">
        <v>1390</v>
      </c>
      <c r="H714" s="3" t="s">
        <v>1391</v>
      </c>
      <c r="I714" s="4">
        <v>1329.05</v>
      </c>
      <c r="J714" s="3" t="s">
        <v>11</v>
      </c>
      <c r="K714">
        <f>MATCH(A714,Database!$A$2:$A$948,0)</f>
        <v>264</v>
      </c>
      <c r="L714">
        <f>VLOOKUP(A714,Database!$A$2:$I$948,4,0)</f>
        <v>1329.05</v>
      </c>
      <c r="M714" t="b">
        <f t="shared" si="23"/>
        <v>1</v>
      </c>
      <c r="N714">
        <f>VLOOKUP(A714,Database!$A$2:$I$948,5,0)</f>
        <v>1</v>
      </c>
    </row>
    <row r="715" spans="1:14" hidden="1" x14ac:dyDescent="0.35">
      <c r="A715" s="3">
        <v>103408140</v>
      </c>
      <c r="B715" s="3" t="s">
        <v>1392</v>
      </c>
      <c r="C715" s="3" t="str">
        <f t="shared" si="24"/>
        <v>2022-07-06</v>
      </c>
      <c r="D715" s="3" t="s">
        <v>9</v>
      </c>
      <c r="E715" s="3" t="s">
        <v>5</v>
      </c>
      <c r="F715" s="3" t="s">
        <v>12</v>
      </c>
      <c r="G715" s="3" t="s">
        <v>1393</v>
      </c>
      <c r="H715" s="3" t="s">
        <v>1394</v>
      </c>
      <c r="I715" s="3">
        <v>899</v>
      </c>
      <c r="J715" s="3" t="s">
        <v>11</v>
      </c>
      <c r="K715">
        <f>MATCH(A715,Database!$A$2:$A$948,0)</f>
        <v>247</v>
      </c>
      <c r="L715">
        <f>VLOOKUP(A715,Database!$A$2:$I$948,4,0)</f>
        <v>899</v>
      </c>
      <c r="M715" t="b">
        <f t="shared" si="23"/>
        <v>1</v>
      </c>
      <c r="N715">
        <f>VLOOKUP(A715,Database!$A$2:$I$948,5,0)</f>
        <v>1</v>
      </c>
    </row>
    <row r="716" spans="1:14" hidden="1" x14ac:dyDescent="0.35">
      <c r="A716" s="3">
        <v>103408183</v>
      </c>
      <c r="B716" s="3" t="s">
        <v>1395</v>
      </c>
      <c r="C716" s="3" t="str">
        <f t="shared" si="24"/>
        <v>2022-07-06</v>
      </c>
      <c r="D716" s="3" t="s">
        <v>9</v>
      </c>
      <c r="E716" s="3" t="s">
        <v>5</v>
      </c>
      <c r="F716" s="3" t="s">
        <v>10</v>
      </c>
      <c r="G716" s="3" t="s">
        <v>1396</v>
      </c>
      <c r="H716" s="3" t="s">
        <v>1397</v>
      </c>
      <c r="I716" s="4">
        <v>1640.74</v>
      </c>
      <c r="J716" s="3" t="s">
        <v>11</v>
      </c>
      <c r="K716">
        <f>MATCH(A716,Database!$A$2:$A$948,0)</f>
        <v>263</v>
      </c>
      <c r="L716">
        <f>VLOOKUP(A716,Database!$A$2:$I$948,4,0)</f>
        <v>1640.74</v>
      </c>
      <c r="M716" t="b">
        <f t="shared" ref="M716:M779" si="25">I716=L716</f>
        <v>1</v>
      </c>
      <c r="N716">
        <f>VLOOKUP(A716,Database!$A$2:$I$948,5,0)</f>
        <v>1</v>
      </c>
    </row>
    <row r="717" spans="1:14" hidden="1" x14ac:dyDescent="0.35">
      <c r="A717" s="3">
        <v>103408139</v>
      </c>
      <c r="B717" s="3" t="s">
        <v>1398</v>
      </c>
      <c r="C717" s="3" t="str">
        <f t="shared" si="24"/>
        <v>2022-07-06</v>
      </c>
      <c r="D717" s="3" t="s">
        <v>9</v>
      </c>
      <c r="E717" s="3" t="s">
        <v>5</v>
      </c>
      <c r="F717" s="3" t="s">
        <v>10</v>
      </c>
      <c r="G717" s="3" t="s">
        <v>1399</v>
      </c>
      <c r="H717" s="3" t="s">
        <v>1400</v>
      </c>
      <c r="I717" s="3">
        <v>768.55</v>
      </c>
      <c r="J717" s="3" t="s">
        <v>11</v>
      </c>
      <c r="K717">
        <f>MATCH(A717,Database!$A$2:$A$948,0)</f>
        <v>246</v>
      </c>
      <c r="L717">
        <f>VLOOKUP(A717,Database!$A$2:$I$948,4,0)</f>
        <v>768.55</v>
      </c>
      <c r="M717" t="b">
        <f t="shared" si="25"/>
        <v>1</v>
      </c>
      <c r="N717">
        <f>VLOOKUP(A717,Database!$A$2:$I$948,5,0)</f>
        <v>1</v>
      </c>
    </row>
    <row r="718" spans="1:14" hidden="1" x14ac:dyDescent="0.35">
      <c r="A718" s="3">
        <v>103408138</v>
      </c>
      <c r="B718" s="3" t="s">
        <v>1401</v>
      </c>
      <c r="C718" s="3" t="str">
        <f t="shared" si="24"/>
        <v>2022-07-06</v>
      </c>
      <c r="D718" s="3" t="s">
        <v>9</v>
      </c>
      <c r="E718" s="3" t="s">
        <v>5</v>
      </c>
      <c r="F718" s="3" t="s">
        <v>10</v>
      </c>
      <c r="G718" s="3" t="s">
        <v>1402</v>
      </c>
      <c r="H718" s="3" t="s">
        <v>1403</v>
      </c>
      <c r="I718" s="4">
        <v>5556.55</v>
      </c>
      <c r="J718" s="3" t="s">
        <v>11</v>
      </c>
      <c r="K718">
        <f>MATCH(A718,Database!$A$2:$A$948,0)</f>
        <v>245</v>
      </c>
      <c r="L718">
        <f>VLOOKUP(A718,Database!$A$2:$I$948,4,0)</f>
        <v>5556.55</v>
      </c>
      <c r="M718" t="b">
        <f t="shared" si="25"/>
        <v>1</v>
      </c>
      <c r="N718">
        <f>VLOOKUP(A718,Database!$A$2:$I$948,5,0)</f>
        <v>1</v>
      </c>
    </row>
    <row r="719" spans="1:14" hidden="1" x14ac:dyDescent="0.35">
      <c r="A719" s="3">
        <v>103408137</v>
      </c>
      <c r="B719" s="3" t="s">
        <v>1404</v>
      </c>
      <c r="C719" s="3" t="str">
        <f t="shared" si="24"/>
        <v>2022-07-06</v>
      </c>
      <c r="D719" s="3" t="s">
        <v>9</v>
      </c>
      <c r="E719" s="3" t="s">
        <v>5</v>
      </c>
      <c r="F719" s="3" t="s">
        <v>10</v>
      </c>
      <c r="G719" s="3" t="s">
        <v>1405</v>
      </c>
      <c r="H719" s="3" t="s">
        <v>1406</v>
      </c>
      <c r="I719" s="5">
        <v>2099</v>
      </c>
      <c r="J719" s="3" t="s">
        <v>11</v>
      </c>
      <c r="K719">
        <f>MATCH(A719,Database!$A$2:$A$948,0)</f>
        <v>244</v>
      </c>
      <c r="L719">
        <f>VLOOKUP(A719,Database!$A$2:$I$948,4,0)</f>
        <v>2099</v>
      </c>
      <c r="M719" t="b">
        <f t="shared" si="25"/>
        <v>1</v>
      </c>
      <c r="N719">
        <f>VLOOKUP(A719,Database!$A$2:$I$948,5,0)</f>
        <v>1</v>
      </c>
    </row>
    <row r="720" spans="1:14" hidden="1" x14ac:dyDescent="0.35">
      <c r="A720" s="3">
        <v>103408179</v>
      </c>
      <c r="B720" s="3" t="s">
        <v>1407</v>
      </c>
      <c r="C720" s="3" t="str">
        <f t="shared" si="24"/>
        <v>2022-07-06</v>
      </c>
      <c r="D720" s="3" t="s">
        <v>9</v>
      </c>
      <c r="E720" s="3" t="s">
        <v>5</v>
      </c>
      <c r="F720" s="3" t="s">
        <v>10</v>
      </c>
      <c r="G720" s="3" t="s">
        <v>1370</v>
      </c>
      <c r="H720" s="3" t="s">
        <v>1371</v>
      </c>
      <c r="I720" s="5">
        <v>2099</v>
      </c>
      <c r="J720" s="3" t="s">
        <v>11</v>
      </c>
      <c r="K720">
        <f>MATCH(A720,Database!$A$2:$A$948,0)</f>
        <v>262</v>
      </c>
      <c r="L720">
        <f>VLOOKUP(A720,Database!$A$2:$I$948,4,0)</f>
        <v>2099</v>
      </c>
      <c r="M720" t="b">
        <f t="shared" si="25"/>
        <v>1</v>
      </c>
      <c r="N720">
        <f>VLOOKUP(A720,Database!$A$2:$I$948,5,0)</f>
        <v>1</v>
      </c>
    </row>
    <row r="721" spans="1:14" hidden="1" x14ac:dyDescent="0.35">
      <c r="A721" s="3">
        <v>103408178</v>
      </c>
      <c r="B721" s="3" t="s">
        <v>1408</v>
      </c>
      <c r="C721" s="3" t="str">
        <f t="shared" si="24"/>
        <v>2022-07-06</v>
      </c>
      <c r="D721" s="3" t="s">
        <v>9</v>
      </c>
      <c r="E721" s="3" t="s">
        <v>5</v>
      </c>
      <c r="F721" s="3" t="s">
        <v>10</v>
      </c>
      <c r="G721" s="3" t="s">
        <v>1322</v>
      </c>
      <c r="H721" s="3" t="s">
        <v>1323</v>
      </c>
      <c r="I721" s="4">
        <v>1196.05</v>
      </c>
      <c r="J721" s="3" t="s">
        <v>11</v>
      </c>
      <c r="K721">
        <f>MATCH(A721,Database!$A$2:$A$948,0)</f>
        <v>261</v>
      </c>
      <c r="L721">
        <f>VLOOKUP(A721,Database!$A$2:$I$948,4,0)</f>
        <v>1196.05</v>
      </c>
      <c r="M721" t="b">
        <f t="shared" si="25"/>
        <v>1</v>
      </c>
      <c r="N721">
        <f>VLOOKUP(A721,Database!$A$2:$I$948,5,0)</f>
        <v>1</v>
      </c>
    </row>
    <row r="722" spans="1:14" hidden="1" x14ac:dyDescent="0.35">
      <c r="A722" s="3">
        <v>103408176</v>
      </c>
      <c r="B722" s="3" t="s">
        <v>1409</v>
      </c>
      <c r="C722" s="3" t="str">
        <f t="shared" si="24"/>
        <v>2022-07-06</v>
      </c>
      <c r="D722" s="3" t="s">
        <v>9</v>
      </c>
      <c r="E722" s="3" t="s">
        <v>5</v>
      </c>
      <c r="F722" s="3" t="s">
        <v>10</v>
      </c>
      <c r="G722" s="3" t="s">
        <v>1410</v>
      </c>
      <c r="H722" s="3" t="s">
        <v>1411</v>
      </c>
      <c r="I722" s="4">
        <v>4511.6000000000004</v>
      </c>
      <c r="J722" s="3" t="s">
        <v>11</v>
      </c>
      <c r="K722">
        <f>MATCH(A722,Database!$A$2:$A$948,0)</f>
        <v>260</v>
      </c>
      <c r="L722">
        <f>VLOOKUP(A722,Database!$A$2:$I$948,4,0)</f>
        <v>4511.6000000000004</v>
      </c>
      <c r="M722" t="b">
        <f t="shared" si="25"/>
        <v>1</v>
      </c>
      <c r="N722">
        <f>VLOOKUP(A722,Database!$A$2:$I$948,5,0)</f>
        <v>1</v>
      </c>
    </row>
    <row r="723" spans="1:14" hidden="1" x14ac:dyDescent="0.35">
      <c r="A723" s="3">
        <v>103408175</v>
      </c>
      <c r="B723" s="3" t="s">
        <v>1412</v>
      </c>
      <c r="C723" s="3" t="str">
        <f t="shared" si="24"/>
        <v>2022-07-06</v>
      </c>
      <c r="D723" s="3" t="s">
        <v>9</v>
      </c>
      <c r="E723" s="3" t="s">
        <v>5</v>
      </c>
      <c r="F723" s="3" t="s">
        <v>10</v>
      </c>
      <c r="G723" s="3" t="s">
        <v>1413</v>
      </c>
      <c r="H723" s="3" t="s">
        <v>1414</v>
      </c>
      <c r="I723" s="4">
        <v>3419.05</v>
      </c>
      <c r="J723" s="3" t="s">
        <v>11</v>
      </c>
      <c r="K723">
        <f>MATCH(A723,Database!$A$2:$A$948,0)</f>
        <v>259</v>
      </c>
      <c r="L723">
        <f>VLOOKUP(A723,Database!$A$2:$I$948,4,0)</f>
        <v>3419.05</v>
      </c>
      <c r="M723" t="b">
        <f t="shared" si="25"/>
        <v>1</v>
      </c>
      <c r="N723">
        <f>VLOOKUP(A723,Database!$A$2:$I$948,5,0)</f>
        <v>1</v>
      </c>
    </row>
    <row r="724" spans="1:14" hidden="1" x14ac:dyDescent="0.35">
      <c r="A724" s="3">
        <v>103408133</v>
      </c>
      <c r="B724" s="3" t="s">
        <v>1415</v>
      </c>
      <c r="C724" s="3" t="str">
        <f t="shared" si="24"/>
        <v>2022-07-06</v>
      </c>
      <c r="D724" s="3" t="s">
        <v>9</v>
      </c>
      <c r="E724" s="3" t="s">
        <v>5</v>
      </c>
      <c r="F724" s="3" t="s">
        <v>10</v>
      </c>
      <c r="G724" s="3" t="s">
        <v>1416</v>
      </c>
      <c r="H724" s="3" t="s">
        <v>1417</v>
      </c>
      <c r="I724" s="5">
        <v>2398</v>
      </c>
      <c r="J724" s="3" t="s">
        <v>11</v>
      </c>
      <c r="K724">
        <f>MATCH(A724,Database!$A$2:$A$948,0)</f>
        <v>243</v>
      </c>
      <c r="L724">
        <f>VLOOKUP(A724,Database!$A$2:$I$948,4,0)</f>
        <v>2398</v>
      </c>
      <c r="M724" t="b">
        <f t="shared" si="25"/>
        <v>1</v>
      </c>
      <c r="N724">
        <f>VLOOKUP(A724,Database!$A$2:$I$948,5,0)</f>
        <v>2</v>
      </c>
    </row>
    <row r="725" spans="1:14" hidden="1" x14ac:dyDescent="0.35">
      <c r="A725" s="3">
        <v>103408173</v>
      </c>
      <c r="B725" s="3" t="s">
        <v>1418</v>
      </c>
      <c r="C725" s="3" t="str">
        <f t="shared" si="24"/>
        <v>2022-07-06</v>
      </c>
      <c r="D725" s="3" t="s">
        <v>9</v>
      </c>
      <c r="E725" s="3" t="s">
        <v>5</v>
      </c>
      <c r="F725" s="3" t="s">
        <v>12</v>
      </c>
      <c r="G725" s="3" t="s">
        <v>1419</v>
      </c>
      <c r="H725" s="3" t="s">
        <v>1420</v>
      </c>
      <c r="I725" s="4">
        <v>2849.05</v>
      </c>
      <c r="J725" s="3" t="s">
        <v>11</v>
      </c>
      <c r="K725">
        <f>MATCH(A725,Database!$A$2:$A$948,0)</f>
        <v>258</v>
      </c>
      <c r="L725">
        <f>VLOOKUP(A725,Database!$A$2:$I$948,4,0)</f>
        <v>2849.05</v>
      </c>
      <c r="M725" t="b">
        <f t="shared" si="25"/>
        <v>1</v>
      </c>
      <c r="N725">
        <f>VLOOKUP(A725,Database!$A$2:$I$948,5,0)</f>
        <v>1</v>
      </c>
    </row>
    <row r="726" spans="1:14" hidden="1" x14ac:dyDescent="0.35">
      <c r="A726" s="3">
        <v>103408170</v>
      </c>
      <c r="B726" s="3" t="s">
        <v>4774</v>
      </c>
      <c r="C726" s="3" t="str">
        <f t="shared" si="24"/>
        <v>2022-07-06</v>
      </c>
      <c r="D726" s="3" t="s">
        <v>9</v>
      </c>
      <c r="E726" s="3" t="s">
        <v>5</v>
      </c>
      <c r="F726" s="3" t="s">
        <v>10</v>
      </c>
      <c r="G726" s="3" t="s">
        <v>4775</v>
      </c>
      <c r="H726" s="3" t="s">
        <v>4776</v>
      </c>
      <c r="I726" s="4">
        <v>2469.0500000000002</v>
      </c>
      <c r="J726" s="3" t="s">
        <v>13</v>
      </c>
      <c r="K726">
        <f>MATCH(A726,Database!$A$2:$A$948,0)</f>
        <v>257</v>
      </c>
      <c r="L726">
        <f>VLOOKUP(A726,Database!$A$2:$I$948,4,0)</f>
        <v>2469.0500000000002</v>
      </c>
      <c r="M726" t="b">
        <f t="shared" si="25"/>
        <v>1</v>
      </c>
      <c r="N726">
        <f>VLOOKUP(A726,Database!$A$2:$I$948,5,0)</f>
        <v>1</v>
      </c>
    </row>
    <row r="727" spans="1:14" hidden="1" x14ac:dyDescent="0.35">
      <c r="A727" s="3">
        <v>103408169</v>
      </c>
      <c r="B727" s="3" t="s">
        <v>1421</v>
      </c>
      <c r="C727" s="3" t="str">
        <f t="shared" si="24"/>
        <v>2022-07-06</v>
      </c>
      <c r="D727" s="3" t="s">
        <v>9</v>
      </c>
      <c r="E727" s="3" t="s">
        <v>5</v>
      </c>
      <c r="F727" s="3" t="s">
        <v>10</v>
      </c>
      <c r="G727" s="3" t="s">
        <v>1422</v>
      </c>
      <c r="H727" s="3" t="s">
        <v>1423</v>
      </c>
      <c r="I727" s="3">
        <v>479</v>
      </c>
      <c r="J727" s="3" t="s">
        <v>11</v>
      </c>
      <c r="K727">
        <f>MATCH(A727,Database!$A$2:$A$948,0)</f>
        <v>256</v>
      </c>
      <c r="L727">
        <f>VLOOKUP(A727,Database!$A$2:$I$948,4,0)</f>
        <v>479</v>
      </c>
      <c r="M727" t="b">
        <f t="shared" si="25"/>
        <v>1</v>
      </c>
      <c r="N727">
        <f>VLOOKUP(A727,Database!$A$2:$I$948,5,0)</f>
        <v>1</v>
      </c>
    </row>
    <row r="728" spans="1:14" hidden="1" x14ac:dyDescent="0.35">
      <c r="A728" s="3">
        <v>103408168</v>
      </c>
      <c r="B728" s="3" t="s">
        <v>1424</v>
      </c>
      <c r="C728" s="3" t="str">
        <f t="shared" si="24"/>
        <v>2022-07-06</v>
      </c>
      <c r="D728" s="3" t="s">
        <v>9</v>
      </c>
      <c r="E728" s="3" t="s">
        <v>5</v>
      </c>
      <c r="F728" s="3" t="s">
        <v>10</v>
      </c>
      <c r="G728" s="3" t="s">
        <v>1425</v>
      </c>
      <c r="H728" s="3" t="s">
        <v>1426</v>
      </c>
      <c r="I728" s="3">
        <v>742.99</v>
      </c>
      <c r="J728" s="3" t="s">
        <v>11</v>
      </c>
      <c r="K728">
        <f>MATCH(A728,Database!$A$2:$A$948,0)</f>
        <v>255</v>
      </c>
      <c r="L728">
        <f>VLOOKUP(A728,Database!$A$2:$I$948,4,0)</f>
        <v>742.99</v>
      </c>
      <c r="M728" t="b">
        <f t="shared" si="25"/>
        <v>1</v>
      </c>
      <c r="N728">
        <f>VLOOKUP(A728,Database!$A$2:$I$948,5,0)</f>
        <v>1</v>
      </c>
    </row>
    <row r="729" spans="1:14" hidden="1" x14ac:dyDescent="0.35">
      <c r="A729" s="3">
        <v>103408166</v>
      </c>
      <c r="B729" s="3" t="s">
        <v>1427</v>
      </c>
      <c r="C729" s="3" t="str">
        <f t="shared" si="24"/>
        <v>2022-07-06</v>
      </c>
      <c r="D729" s="3" t="s">
        <v>9</v>
      </c>
      <c r="E729" s="3" t="s">
        <v>5</v>
      </c>
      <c r="F729" s="3" t="s">
        <v>10</v>
      </c>
      <c r="G729" s="3" t="s">
        <v>1428</v>
      </c>
      <c r="H729" s="3" t="s">
        <v>1429</v>
      </c>
      <c r="I729" s="3">
        <v>999.49</v>
      </c>
      <c r="J729" s="3" t="s">
        <v>11</v>
      </c>
      <c r="K729">
        <f>MATCH(A729,Database!$A$2:$A$948,0)</f>
        <v>254</v>
      </c>
      <c r="L729">
        <f>VLOOKUP(A729,Database!$A$2:$I$948,4,0)</f>
        <v>999.49</v>
      </c>
      <c r="M729" t="b">
        <f t="shared" si="25"/>
        <v>1</v>
      </c>
      <c r="N729">
        <f>VLOOKUP(A729,Database!$A$2:$I$948,5,0)</f>
        <v>1</v>
      </c>
    </row>
    <row r="730" spans="1:14" hidden="1" x14ac:dyDescent="0.35">
      <c r="A730" s="3">
        <v>103408125</v>
      </c>
      <c r="B730" s="3" t="s">
        <v>1430</v>
      </c>
      <c r="C730" s="3" t="str">
        <f t="shared" si="24"/>
        <v>2022-07-06</v>
      </c>
      <c r="D730" s="3" t="s">
        <v>9</v>
      </c>
      <c r="E730" s="3" t="s">
        <v>5</v>
      </c>
      <c r="F730" s="3" t="s">
        <v>10</v>
      </c>
      <c r="G730" s="3" t="s">
        <v>1431</v>
      </c>
      <c r="H730" s="3" t="s">
        <v>1432</v>
      </c>
      <c r="I730" s="3">
        <v>468.4</v>
      </c>
      <c r="J730" s="3" t="s">
        <v>11</v>
      </c>
      <c r="K730">
        <f>MATCH(A730,Database!$A$2:$A$948,0)</f>
        <v>242</v>
      </c>
      <c r="L730">
        <f>VLOOKUP(A730,Database!$A$2:$I$948,4,0)</f>
        <v>468.4</v>
      </c>
      <c r="M730" t="b">
        <f t="shared" si="25"/>
        <v>1</v>
      </c>
      <c r="N730">
        <f>VLOOKUP(A730,Database!$A$2:$I$948,5,0)</f>
        <v>1</v>
      </c>
    </row>
    <row r="731" spans="1:14" hidden="1" x14ac:dyDescent="0.35">
      <c r="A731" s="3">
        <v>103408124</v>
      </c>
      <c r="B731" s="3" t="s">
        <v>1433</v>
      </c>
      <c r="C731" s="3" t="str">
        <f t="shared" si="24"/>
        <v>2022-07-06</v>
      </c>
      <c r="D731" s="3" t="s">
        <v>9</v>
      </c>
      <c r="E731" s="3" t="s">
        <v>5</v>
      </c>
      <c r="F731" s="3" t="s">
        <v>12</v>
      </c>
      <c r="G731" s="3" t="s">
        <v>1434</v>
      </c>
      <c r="H731" s="3" t="s">
        <v>1435</v>
      </c>
      <c r="I731" s="4">
        <v>2526.0500000000002</v>
      </c>
      <c r="J731" s="3" t="s">
        <v>11</v>
      </c>
      <c r="K731">
        <f>MATCH(A731,Database!$A$2:$A$948,0)</f>
        <v>241</v>
      </c>
      <c r="L731">
        <f>VLOOKUP(A731,Database!$A$2:$I$948,4,0)</f>
        <v>2526.0500000000002</v>
      </c>
      <c r="M731" t="b">
        <f t="shared" si="25"/>
        <v>1</v>
      </c>
      <c r="N731">
        <f>VLOOKUP(A731,Database!$A$2:$I$948,5,0)</f>
        <v>1</v>
      </c>
    </row>
    <row r="732" spans="1:14" hidden="1" x14ac:dyDescent="0.35">
      <c r="A732" s="3">
        <v>103408123</v>
      </c>
      <c r="B732" s="3" t="s">
        <v>1436</v>
      </c>
      <c r="C732" s="3" t="str">
        <f t="shared" si="24"/>
        <v>2022-07-06</v>
      </c>
      <c r="D732" s="3" t="s">
        <v>9</v>
      </c>
      <c r="E732" s="3" t="s">
        <v>5</v>
      </c>
      <c r="F732" s="3" t="s">
        <v>10</v>
      </c>
      <c r="G732" s="3" t="s">
        <v>1437</v>
      </c>
      <c r="H732" s="3" t="s">
        <v>1438</v>
      </c>
      <c r="I732" s="4">
        <v>2849.05</v>
      </c>
      <c r="J732" s="3" t="s">
        <v>11</v>
      </c>
      <c r="K732">
        <f>MATCH(A732,Database!$A$2:$A$948,0)</f>
        <v>240</v>
      </c>
      <c r="L732">
        <f>VLOOKUP(A732,Database!$A$2:$I$948,4,0)</f>
        <v>2849.05</v>
      </c>
      <c r="M732" t="b">
        <f t="shared" si="25"/>
        <v>1</v>
      </c>
      <c r="N732">
        <f>VLOOKUP(A732,Database!$A$2:$I$948,5,0)</f>
        <v>1</v>
      </c>
    </row>
    <row r="733" spans="1:14" hidden="1" x14ac:dyDescent="0.35">
      <c r="A733" s="3">
        <v>103408122</v>
      </c>
      <c r="B733" s="3" t="s">
        <v>1439</v>
      </c>
      <c r="C733" s="3" t="str">
        <f t="shared" si="24"/>
        <v>2022-07-06</v>
      </c>
      <c r="D733" s="3" t="s">
        <v>9</v>
      </c>
      <c r="E733" s="3" t="s">
        <v>5</v>
      </c>
      <c r="F733" s="3" t="s">
        <v>10</v>
      </c>
      <c r="G733" s="3" t="s">
        <v>1440</v>
      </c>
      <c r="H733" s="3" t="s">
        <v>1441</v>
      </c>
      <c r="I733" s="4">
        <v>4094.1</v>
      </c>
      <c r="J733" s="3" t="s">
        <v>11</v>
      </c>
      <c r="K733">
        <f>MATCH(A733,Database!$A$2:$A$948,0)</f>
        <v>239</v>
      </c>
      <c r="L733">
        <f>VLOOKUP(A733,Database!$A$2:$I$948,4,0)</f>
        <v>4094.1</v>
      </c>
      <c r="M733" t="b">
        <f t="shared" si="25"/>
        <v>1</v>
      </c>
      <c r="N733">
        <f>VLOOKUP(A733,Database!$A$2:$I$948,5,0)</f>
        <v>1</v>
      </c>
    </row>
    <row r="734" spans="1:14" hidden="1" x14ac:dyDescent="0.35">
      <c r="A734" s="3">
        <v>103407964</v>
      </c>
      <c r="B734" s="3" t="s">
        <v>1442</v>
      </c>
      <c r="C734" s="3" t="str">
        <f t="shared" si="24"/>
        <v>2022-07-06</v>
      </c>
      <c r="D734" s="3" t="s">
        <v>9</v>
      </c>
      <c r="E734" s="3" t="s">
        <v>5</v>
      </c>
      <c r="F734" s="3" t="s">
        <v>12</v>
      </c>
      <c r="G734" s="3" t="s">
        <v>1443</v>
      </c>
      <c r="H734" s="3" t="s">
        <v>1444</v>
      </c>
      <c r="I734" s="3">
        <v>969</v>
      </c>
      <c r="J734" s="3" t="s">
        <v>11</v>
      </c>
      <c r="K734">
        <f>MATCH(A734,Database!$A$2:$A$948,0)</f>
        <v>211</v>
      </c>
      <c r="L734">
        <f>VLOOKUP(A734,Database!$A$2:$I$948,4,0)</f>
        <v>969</v>
      </c>
      <c r="M734" t="b">
        <f t="shared" si="25"/>
        <v>1</v>
      </c>
      <c r="N734">
        <f>VLOOKUP(A734,Database!$A$2:$I$948,5,0)</f>
        <v>1</v>
      </c>
    </row>
    <row r="735" spans="1:14" hidden="1" x14ac:dyDescent="0.35">
      <c r="A735" s="3">
        <v>103408119</v>
      </c>
      <c r="B735" s="3" t="s">
        <v>1445</v>
      </c>
      <c r="C735" s="3" t="str">
        <f t="shared" si="24"/>
        <v>2022-07-06</v>
      </c>
      <c r="D735" s="3" t="s">
        <v>9</v>
      </c>
      <c r="E735" s="3" t="s">
        <v>5</v>
      </c>
      <c r="F735" s="3" t="s">
        <v>12</v>
      </c>
      <c r="G735" s="3" t="s">
        <v>1446</v>
      </c>
      <c r="H735" s="3" t="s">
        <v>1447</v>
      </c>
      <c r="I735" s="5">
        <v>1499</v>
      </c>
      <c r="J735" s="3" t="s">
        <v>11</v>
      </c>
      <c r="K735">
        <f>MATCH(A735,Database!$A$2:$A$948,0)</f>
        <v>238</v>
      </c>
      <c r="L735">
        <f>VLOOKUP(A735,Database!$A$2:$I$948,4,0)</f>
        <v>1499</v>
      </c>
      <c r="M735" t="b">
        <f t="shared" si="25"/>
        <v>1</v>
      </c>
      <c r="N735">
        <f>VLOOKUP(A735,Database!$A$2:$I$948,5,0)</f>
        <v>1</v>
      </c>
    </row>
    <row r="736" spans="1:14" hidden="1" x14ac:dyDescent="0.35">
      <c r="A736" s="3">
        <v>103407963</v>
      </c>
      <c r="B736" s="3" t="s">
        <v>1448</v>
      </c>
      <c r="C736" s="3" t="str">
        <f t="shared" si="24"/>
        <v>2022-07-06</v>
      </c>
      <c r="D736" s="3" t="s">
        <v>9</v>
      </c>
      <c r="E736" s="3" t="s">
        <v>5</v>
      </c>
      <c r="F736" s="3" t="s">
        <v>10</v>
      </c>
      <c r="G736" s="3" t="s">
        <v>1449</v>
      </c>
      <c r="H736" s="3" t="s">
        <v>1450</v>
      </c>
      <c r="I736" s="5">
        <v>1999</v>
      </c>
      <c r="J736" s="3" t="s">
        <v>11</v>
      </c>
      <c r="K736">
        <f>MATCH(A736,Database!$A$2:$A$948,0)</f>
        <v>210</v>
      </c>
      <c r="L736">
        <f>VLOOKUP(A736,Database!$A$2:$I$948,4,0)</f>
        <v>1999</v>
      </c>
      <c r="M736" t="b">
        <f t="shared" si="25"/>
        <v>1</v>
      </c>
      <c r="N736">
        <f>VLOOKUP(A736,Database!$A$2:$I$948,5,0)</f>
        <v>1</v>
      </c>
    </row>
    <row r="737" spans="1:14" hidden="1" x14ac:dyDescent="0.35">
      <c r="A737" s="3">
        <v>103408116</v>
      </c>
      <c r="B737" s="3" t="s">
        <v>1451</v>
      </c>
      <c r="C737" s="3" t="str">
        <f t="shared" si="24"/>
        <v>2022-07-06</v>
      </c>
      <c r="D737" s="3" t="s">
        <v>9</v>
      </c>
      <c r="E737" s="3" t="s">
        <v>5</v>
      </c>
      <c r="F737" s="3" t="s">
        <v>10</v>
      </c>
      <c r="G737" s="3" t="s">
        <v>1267</v>
      </c>
      <c r="H737" s="3" t="s">
        <v>1268</v>
      </c>
      <c r="I737" s="5">
        <v>3569</v>
      </c>
      <c r="J737" s="3" t="s">
        <v>11</v>
      </c>
      <c r="K737" t="e">
        <f>MATCH(A737,Database!$A$2:$A$948,0)</f>
        <v>#N/A</v>
      </c>
      <c r="L737" t="e">
        <f>VLOOKUP(A737,Database!$A$2:$I$948,4,0)</f>
        <v>#N/A</v>
      </c>
      <c r="M737" t="e">
        <f t="shared" si="25"/>
        <v>#N/A</v>
      </c>
      <c r="N737" t="e">
        <f>VLOOKUP(A737,Database!$A$2:$I$948,5,0)</f>
        <v>#N/A</v>
      </c>
    </row>
    <row r="738" spans="1:14" hidden="1" x14ac:dyDescent="0.35">
      <c r="A738" s="3">
        <v>103408115</v>
      </c>
      <c r="B738" s="3" t="s">
        <v>1452</v>
      </c>
      <c r="C738" s="3" t="str">
        <f t="shared" si="24"/>
        <v>2022-07-06</v>
      </c>
      <c r="D738" s="3" t="s">
        <v>9</v>
      </c>
      <c r="E738" s="3" t="s">
        <v>5</v>
      </c>
      <c r="F738" s="3" t="s">
        <v>10</v>
      </c>
      <c r="G738" s="3" t="s">
        <v>1431</v>
      </c>
      <c r="H738" s="3" t="s">
        <v>1432</v>
      </c>
      <c r="I738" s="4">
        <v>1216.57</v>
      </c>
      <c r="J738" s="3" t="s">
        <v>11</v>
      </c>
      <c r="K738">
        <f>MATCH(A738,Database!$A$2:$A$948,0)</f>
        <v>237</v>
      </c>
      <c r="L738">
        <f>VLOOKUP(A738,Database!$A$2:$I$948,4,0)</f>
        <v>1216.57</v>
      </c>
      <c r="M738" t="b">
        <f t="shared" si="25"/>
        <v>1</v>
      </c>
      <c r="N738">
        <f>VLOOKUP(A738,Database!$A$2:$I$948,5,0)</f>
        <v>2</v>
      </c>
    </row>
    <row r="739" spans="1:14" hidden="1" x14ac:dyDescent="0.35">
      <c r="A739" s="3">
        <v>103407958</v>
      </c>
      <c r="B739" s="3" t="s">
        <v>1453</v>
      </c>
      <c r="C739" s="3" t="str">
        <f t="shared" si="24"/>
        <v>2022-07-06</v>
      </c>
      <c r="D739" s="3" t="s">
        <v>9</v>
      </c>
      <c r="E739" s="3" t="s">
        <v>5</v>
      </c>
      <c r="F739" s="3" t="s">
        <v>10</v>
      </c>
      <c r="G739" s="3" t="s">
        <v>1454</v>
      </c>
      <c r="H739" s="3" t="s">
        <v>1455</v>
      </c>
      <c r="I739" s="4">
        <v>1651.1</v>
      </c>
      <c r="J739" s="3" t="s">
        <v>11</v>
      </c>
      <c r="K739" t="e">
        <f>MATCH(A739,Database!$A$2:$A$948,0)</f>
        <v>#N/A</v>
      </c>
      <c r="L739" t="e">
        <f>VLOOKUP(A739,Database!$A$2:$I$948,4,0)</f>
        <v>#N/A</v>
      </c>
      <c r="M739" t="e">
        <f t="shared" si="25"/>
        <v>#N/A</v>
      </c>
      <c r="N739" t="e">
        <f>VLOOKUP(A739,Database!$A$2:$I$948,5,0)</f>
        <v>#N/A</v>
      </c>
    </row>
    <row r="740" spans="1:14" hidden="1" x14ac:dyDescent="0.35">
      <c r="A740" s="3">
        <v>103407957</v>
      </c>
      <c r="B740" s="3" t="s">
        <v>1456</v>
      </c>
      <c r="C740" s="3" t="str">
        <f t="shared" si="24"/>
        <v>2022-07-06</v>
      </c>
      <c r="D740" s="3" t="s">
        <v>9</v>
      </c>
      <c r="E740" s="3" t="s">
        <v>5</v>
      </c>
      <c r="F740" s="3" t="s">
        <v>10</v>
      </c>
      <c r="G740" s="3" t="s">
        <v>1457</v>
      </c>
      <c r="H740" s="3" t="s">
        <v>1458</v>
      </c>
      <c r="I740" s="5">
        <v>3999</v>
      </c>
      <c r="J740" s="3" t="s">
        <v>11</v>
      </c>
      <c r="K740">
        <f>MATCH(A740,Database!$A$2:$A$948,0)</f>
        <v>209</v>
      </c>
      <c r="L740">
        <f>VLOOKUP(A740,Database!$A$2:$I$948,4,0)</f>
        <v>3999</v>
      </c>
      <c r="M740" t="b">
        <f t="shared" si="25"/>
        <v>1</v>
      </c>
      <c r="N740">
        <f>VLOOKUP(A740,Database!$A$2:$I$948,5,0)</f>
        <v>1</v>
      </c>
    </row>
    <row r="741" spans="1:14" hidden="1" x14ac:dyDescent="0.35">
      <c r="A741" s="3">
        <v>103408113</v>
      </c>
      <c r="B741" s="3" t="s">
        <v>1459</v>
      </c>
      <c r="C741" s="3" t="str">
        <f t="shared" si="24"/>
        <v>2022-07-06</v>
      </c>
      <c r="D741" s="3" t="s">
        <v>9</v>
      </c>
      <c r="E741" s="3" t="s">
        <v>5</v>
      </c>
      <c r="F741" s="3" t="s">
        <v>10</v>
      </c>
      <c r="G741" s="3" t="s">
        <v>1460</v>
      </c>
      <c r="H741" s="3" t="s">
        <v>1461</v>
      </c>
      <c r="I741" s="4">
        <v>3704.05</v>
      </c>
      <c r="J741" s="3" t="s">
        <v>11</v>
      </c>
      <c r="K741">
        <f>MATCH(A741,Database!$A$2:$A$948,0)</f>
        <v>236</v>
      </c>
      <c r="L741">
        <f>VLOOKUP(A741,Database!$A$2:$I$948,4,0)</f>
        <v>3704.05</v>
      </c>
      <c r="M741" t="b">
        <f t="shared" si="25"/>
        <v>1</v>
      </c>
      <c r="N741">
        <f>VLOOKUP(A741,Database!$A$2:$I$948,5,0)</f>
        <v>1</v>
      </c>
    </row>
    <row r="742" spans="1:14" hidden="1" x14ac:dyDescent="0.35">
      <c r="A742" s="3">
        <v>103407955</v>
      </c>
      <c r="B742" s="3" t="s">
        <v>1462</v>
      </c>
      <c r="C742" s="3" t="str">
        <f t="shared" si="24"/>
        <v>2022-07-06</v>
      </c>
      <c r="D742" s="3" t="s">
        <v>9</v>
      </c>
      <c r="E742" s="3" t="s">
        <v>5</v>
      </c>
      <c r="F742" s="3" t="s">
        <v>10</v>
      </c>
      <c r="G742" s="3" t="s">
        <v>1463</v>
      </c>
      <c r="H742" s="3" t="s">
        <v>1464</v>
      </c>
      <c r="I742" s="3">
        <v>979</v>
      </c>
      <c r="J742" s="3" t="s">
        <v>11</v>
      </c>
      <c r="K742">
        <f>MATCH(A742,Database!$A$2:$A$948,0)</f>
        <v>208</v>
      </c>
      <c r="L742">
        <f>VLOOKUP(A742,Database!$A$2:$I$948,4,0)</f>
        <v>979</v>
      </c>
      <c r="M742" t="b">
        <f t="shared" si="25"/>
        <v>1</v>
      </c>
      <c r="N742">
        <f>VLOOKUP(A742,Database!$A$2:$I$948,5,0)</f>
        <v>1</v>
      </c>
    </row>
    <row r="743" spans="1:14" hidden="1" x14ac:dyDescent="0.35">
      <c r="A743" s="3">
        <v>103408111</v>
      </c>
      <c r="B743" s="3" t="s">
        <v>1465</v>
      </c>
      <c r="C743" s="3" t="str">
        <f t="shared" si="24"/>
        <v>2022-07-06</v>
      </c>
      <c r="D743" s="3" t="s">
        <v>9</v>
      </c>
      <c r="E743" s="3" t="s">
        <v>5</v>
      </c>
      <c r="F743" s="3" t="s">
        <v>10</v>
      </c>
      <c r="G743" s="3" t="s">
        <v>1466</v>
      </c>
      <c r="H743" s="3" t="s">
        <v>1467</v>
      </c>
      <c r="I743" s="4">
        <v>7075.6</v>
      </c>
      <c r="J743" s="3" t="s">
        <v>11</v>
      </c>
      <c r="K743" t="e">
        <f>MATCH(A743,Database!$A$2:$A$948,0)</f>
        <v>#N/A</v>
      </c>
      <c r="L743" t="e">
        <f>VLOOKUP(A743,Database!$A$2:$I$948,4,0)</f>
        <v>#N/A</v>
      </c>
      <c r="M743" t="e">
        <f t="shared" si="25"/>
        <v>#N/A</v>
      </c>
      <c r="N743" t="e">
        <f>VLOOKUP(A743,Database!$A$2:$I$948,5,0)</f>
        <v>#N/A</v>
      </c>
    </row>
    <row r="744" spans="1:14" hidden="1" x14ac:dyDescent="0.35">
      <c r="A744" s="3">
        <v>103407952</v>
      </c>
      <c r="B744" s="3" t="s">
        <v>1468</v>
      </c>
      <c r="C744" s="3" t="str">
        <f t="shared" si="24"/>
        <v>2022-07-06</v>
      </c>
      <c r="D744" s="3" t="s">
        <v>9</v>
      </c>
      <c r="E744" s="3" t="s">
        <v>5</v>
      </c>
      <c r="F744" s="3" t="s">
        <v>10</v>
      </c>
      <c r="G744" s="3" t="s">
        <v>1469</v>
      </c>
      <c r="H744" s="3" t="s">
        <v>1470</v>
      </c>
      <c r="I744" s="3">
        <v>691.69</v>
      </c>
      <c r="J744" s="3" t="s">
        <v>11</v>
      </c>
      <c r="K744">
        <f>MATCH(A744,Database!$A$2:$A$948,0)</f>
        <v>207</v>
      </c>
      <c r="L744">
        <f>VLOOKUP(A744,Database!$A$2:$I$948,4,0)</f>
        <v>691.69</v>
      </c>
      <c r="M744" t="b">
        <f t="shared" si="25"/>
        <v>1</v>
      </c>
      <c r="N744">
        <f>VLOOKUP(A744,Database!$A$2:$I$948,5,0)</f>
        <v>1</v>
      </c>
    </row>
    <row r="745" spans="1:14" hidden="1" x14ac:dyDescent="0.35">
      <c r="A745" s="3">
        <v>103408104</v>
      </c>
      <c r="B745" s="3" t="s">
        <v>1471</v>
      </c>
      <c r="C745" s="3" t="str">
        <f t="shared" si="24"/>
        <v>2022-07-06</v>
      </c>
      <c r="D745" s="3" t="s">
        <v>9</v>
      </c>
      <c r="E745" s="3" t="s">
        <v>5</v>
      </c>
      <c r="F745" s="3" t="s">
        <v>10</v>
      </c>
      <c r="G745" s="3" t="s">
        <v>1472</v>
      </c>
      <c r="H745" s="3" t="s">
        <v>1473</v>
      </c>
      <c r="I745" s="3">
        <v>910.1</v>
      </c>
      <c r="J745" s="3" t="s">
        <v>11</v>
      </c>
      <c r="K745">
        <f>MATCH(A745,Database!$A$2:$A$948,0)</f>
        <v>235</v>
      </c>
      <c r="L745">
        <f>VLOOKUP(A745,Database!$A$2:$I$948,4,0)</f>
        <v>455.05</v>
      </c>
      <c r="M745" t="b">
        <f t="shared" si="25"/>
        <v>0</v>
      </c>
      <c r="N745">
        <f>VLOOKUP(A745,Database!$A$2:$I$948,5,0)</f>
        <v>1</v>
      </c>
    </row>
    <row r="746" spans="1:14" hidden="1" x14ac:dyDescent="0.35">
      <c r="A746" s="3">
        <v>103407947</v>
      </c>
      <c r="B746" s="3" t="s">
        <v>1474</v>
      </c>
      <c r="C746" s="3" t="str">
        <f t="shared" si="24"/>
        <v>2022-07-06</v>
      </c>
      <c r="D746" s="3" t="s">
        <v>9</v>
      </c>
      <c r="E746" s="3" t="s">
        <v>5</v>
      </c>
      <c r="F746" s="3" t="s">
        <v>10</v>
      </c>
      <c r="G746" s="3" t="s">
        <v>1475</v>
      </c>
      <c r="H746" s="3" t="s">
        <v>1476</v>
      </c>
      <c r="I746" s="3">
        <v>669</v>
      </c>
      <c r="J746" s="3" t="s">
        <v>11</v>
      </c>
      <c r="K746">
        <f>MATCH(A746,Database!$A$2:$A$948,0)</f>
        <v>206</v>
      </c>
      <c r="L746">
        <f>VLOOKUP(A746,Database!$A$2:$I$948,4,0)</f>
        <v>669</v>
      </c>
      <c r="M746" t="b">
        <f t="shared" si="25"/>
        <v>1</v>
      </c>
      <c r="N746">
        <f>VLOOKUP(A746,Database!$A$2:$I$948,5,0)</f>
        <v>1</v>
      </c>
    </row>
    <row r="747" spans="1:14" hidden="1" x14ac:dyDescent="0.35">
      <c r="A747" s="3">
        <v>103408096</v>
      </c>
      <c r="B747" s="3" t="s">
        <v>1477</v>
      </c>
      <c r="C747" s="3" t="str">
        <f t="shared" si="24"/>
        <v>2022-07-06</v>
      </c>
      <c r="D747" s="3" t="s">
        <v>9</v>
      </c>
      <c r="E747" s="3" t="s">
        <v>5</v>
      </c>
      <c r="F747" s="3" t="s">
        <v>10</v>
      </c>
      <c r="G747" s="3" t="s">
        <v>1478</v>
      </c>
      <c r="H747" s="3" t="s">
        <v>1479</v>
      </c>
      <c r="I747" s="3">
        <v>521.54999999999995</v>
      </c>
      <c r="J747" s="3" t="s">
        <v>11</v>
      </c>
      <c r="K747">
        <f>MATCH(A747,Database!$A$2:$A$948,0)</f>
        <v>234</v>
      </c>
      <c r="L747">
        <f>VLOOKUP(A747,Database!$A$2:$I$948,4,0)</f>
        <v>521.54999999999995</v>
      </c>
      <c r="M747" t="b">
        <f t="shared" si="25"/>
        <v>1</v>
      </c>
      <c r="N747">
        <f>VLOOKUP(A747,Database!$A$2:$I$948,5,0)</f>
        <v>1</v>
      </c>
    </row>
    <row r="748" spans="1:14" hidden="1" x14ac:dyDescent="0.35">
      <c r="A748" s="3">
        <v>103407940</v>
      </c>
      <c r="B748" s="3" t="s">
        <v>1480</v>
      </c>
      <c r="C748" s="3" t="str">
        <f t="shared" si="24"/>
        <v>2022-07-06</v>
      </c>
      <c r="D748" s="3" t="s">
        <v>9</v>
      </c>
      <c r="E748" s="3" t="s">
        <v>5</v>
      </c>
      <c r="F748" s="3" t="s">
        <v>10</v>
      </c>
      <c r="G748" s="3" t="s">
        <v>1481</v>
      </c>
      <c r="H748" s="3" t="s">
        <v>1482</v>
      </c>
      <c r="I748" s="5">
        <v>1499</v>
      </c>
      <c r="J748" s="3" t="s">
        <v>11</v>
      </c>
      <c r="K748">
        <f>MATCH(A748,Database!$A$2:$A$948,0)</f>
        <v>205</v>
      </c>
      <c r="L748">
        <f>VLOOKUP(A748,Database!$A$2:$I$948,4,0)</f>
        <v>1499</v>
      </c>
      <c r="M748" t="b">
        <f t="shared" si="25"/>
        <v>1</v>
      </c>
      <c r="N748">
        <f>VLOOKUP(A748,Database!$A$2:$I$948,5,0)</f>
        <v>1</v>
      </c>
    </row>
    <row r="749" spans="1:14" hidden="1" x14ac:dyDescent="0.35">
      <c r="A749" s="3">
        <v>103407939</v>
      </c>
      <c r="B749" s="3" t="s">
        <v>1483</v>
      </c>
      <c r="C749" s="3" t="str">
        <f t="shared" si="24"/>
        <v>2022-07-06</v>
      </c>
      <c r="D749" s="3" t="s">
        <v>9</v>
      </c>
      <c r="E749" s="3" t="s">
        <v>5</v>
      </c>
      <c r="F749" s="3" t="s">
        <v>10</v>
      </c>
      <c r="G749" s="3" t="s">
        <v>1484</v>
      </c>
      <c r="H749" s="3" t="s">
        <v>1485</v>
      </c>
      <c r="I749" s="4">
        <v>3989.05</v>
      </c>
      <c r="J749" s="3" t="s">
        <v>11</v>
      </c>
      <c r="K749">
        <f>MATCH(A749,Database!$A$2:$A$948,0)</f>
        <v>204</v>
      </c>
      <c r="L749">
        <f>VLOOKUP(A749,Database!$A$2:$I$948,4,0)</f>
        <v>3989.05</v>
      </c>
      <c r="M749" t="b">
        <f t="shared" si="25"/>
        <v>1</v>
      </c>
      <c r="N749">
        <f>VLOOKUP(A749,Database!$A$2:$I$948,5,0)</f>
        <v>1</v>
      </c>
    </row>
    <row r="750" spans="1:14" hidden="1" x14ac:dyDescent="0.35">
      <c r="A750" s="3">
        <v>103407938</v>
      </c>
      <c r="B750" s="3" t="s">
        <v>1486</v>
      </c>
      <c r="C750" s="3" t="str">
        <f t="shared" si="24"/>
        <v>2022-07-06</v>
      </c>
      <c r="D750" s="3" t="s">
        <v>9</v>
      </c>
      <c r="E750" s="3" t="s">
        <v>5</v>
      </c>
      <c r="F750" s="3" t="s">
        <v>10</v>
      </c>
      <c r="G750" s="3" t="s">
        <v>1487</v>
      </c>
      <c r="H750" s="3" t="s">
        <v>1488</v>
      </c>
      <c r="I750" s="5">
        <v>1949</v>
      </c>
      <c r="J750" s="3" t="s">
        <v>11</v>
      </c>
      <c r="K750">
        <f>MATCH(A750,Database!$A$2:$A$948,0)</f>
        <v>203</v>
      </c>
      <c r="L750">
        <f>VLOOKUP(A750,Database!$A$2:$I$948,4,0)</f>
        <v>1949</v>
      </c>
      <c r="M750" t="b">
        <f t="shared" si="25"/>
        <v>1</v>
      </c>
      <c r="N750">
        <f>VLOOKUP(A750,Database!$A$2:$I$948,5,0)</f>
        <v>1</v>
      </c>
    </row>
    <row r="751" spans="1:14" hidden="1" x14ac:dyDescent="0.35">
      <c r="A751" s="3">
        <v>103408080</v>
      </c>
      <c r="B751" s="3" t="s">
        <v>1489</v>
      </c>
      <c r="C751" s="3" t="str">
        <f t="shared" si="24"/>
        <v>2022-07-06</v>
      </c>
      <c r="D751" s="3" t="s">
        <v>9</v>
      </c>
      <c r="E751" s="3" t="s">
        <v>5</v>
      </c>
      <c r="F751" s="3" t="s">
        <v>10</v>
      </c>
      <c r="G751" s="3" t="s">
        <v>1490</v>
      </c>
      <c r="H751" s="3" t="s">
        <v>1491</v>
      </c>
      <c r="I751" s="5">
        <v>3207</v>
      </c>
      <c r="J751" s="3" t="s">
        <v>11</v>
      </c>
      <c r="K751">
        <f>MATCH(A751,Database!$A$2:$A$948,0)</f>
        <v>233</v>
      </c>
      <c r="L751">
        <f>VLOOKUP(A751,Database!$A$2:$I$948,4,0)</f>
        <v>3207</v>
      </c>
      <c r="M751" t="b">
        <f t="shared" si="25"/>
        <v>1</v>
      </c>
      <c r="N751">
        <f>VLOOKUP(A751,Database!$A$2:$I$948,5,0)</f>
        <v>3</v>
      </c>
    </row>
    <row r="752" spans="1:14" hidden="1" x14ac:dyDescent="0.35">
      <c r="A752" s="3">
        <v>103408078</v>
      </c>
      <c r="B752" s="3" t="s">
        <v>1492</v>
      </c>
      <c r="C752" s="3" t="str">
        <f t="shared" si="24"/>
        <v>2022-07-06</v>
      </c>
      <c r="D752" s="3" t="s">
        <v>9</v>
      </c>
      <c r="E752" s="3" t="s">
        <v>5</v>
      </c>
      <c r="F752" s="3" t="s">
        <v>10</v>
      </c>
      <c r="G752" s="3" t="s">
        <v>1493</v>
      </c>
      <c r="H752" s="3" t="s">
        <v>1494</v>
      </c>
      <c r="I752" s="4">
        <v>1775.55</v>
      </c>
      <c r="J752" s="3" t="s">
        <v>11</v>
      </c>
      <c r="K752">
        <f>MATCH(A752,Database!$A$2:$A$948,0)</f>
        <v>232</v>
      </c>
      <c r="L752">
        <f>VLOOKUP(A752,Database!$A$2:$I$948,4,0)</f>
        <v>1775.55</v>
      </c>
      <c r="M752" t="b">
        <f t="shared" si="25"/>
        <v>1</v>
      </c>
      <c r="N752">
        <f>VLOOKUP(A752,Database!$A$2:$I$948,5,0)</f>
        <v>1</v>
      </c>
    </row>
    <row r="753" spans="1:14" hidden="1" x14ac:dyDescent="0.35">
      <c r="A753" s="3">
        <v>103408073</v>
      </c>
      <c r="B753" s="3" t="s">
        <v>1495</v>
      </c>
      <c r="C753" s="3" t="str">
        <f t="shared" si="24"/>
        <v>2022-07-06</v>
      </c>
      <c r="D753" s="3" t="s">
        <v>9</v>
      </c>
      <c r="E753" s="3" t="s">
        <v>5</v>
      </c>
      <c r="F753" s="3" t="s">
        <v>10</v>
      </c>
      <c r="G753" s="3" t="s">
        <v>1496</v>
      </c>
      <c r="H753" s="3" t="s">
        <v>1497</v>
      </c>
      <c r="I753" s="4">
        <v>1994.05</v>
      </c>
      <c r="J753" s="3" t="s">
        <v>11</v>
      </c>
      <c r="K753">
        <f>MATCH(A753,Database!$A$2:$A$948,0)</f>
        <v>231</v>
      </c>
      <c r="L753">
        <f>VLOOKUP(A753,Database!$A$2:$I$948,4,0)</f>
        <v>1994.05</v>
      </c>
      <c r="M753" t="b">
        <f t="shared" si="25"/>
        <v>1</v>
      </c>
      <c r="N753">
        <f>VLOOKUP(A753,Database!$A$2:$I$948,5,0)</f>
        <v>1</v>
      </c>
    </row>
    <row r="754" spans="1:14" hidden="1" x14ac:dyDescent="0.35">
      <c r="A754" s="3">
        <v>103408070</v>
      </c>
      <c r="B754" s="3" t="s">
        <v>1498</v>
      </c>
      <c r="C754" s="3" t="str">
        <f t="shared" si="24"/>
        <v>2022-07-06</v>
      </c>
      <c r="D754" s="3" t="s">
        <v>9</v>
      </c>
      <c r="E754" s="3" t="s">
        <v>5</v>
      </c>
      <c r="F754" s="3" t="s">
        <v>10</v>
      </c>
      <c r="G754" s="3" t="s">
        <v>1499</v>
      </c>
      <c r="H754" s="3" t="s">
        <v>1500</v>
      </c>
      <c r="I754" s="4">
        <v>2279.0500000000002</v>
      </c>
      <c r="J754" s="3" t="s">
        <v>11</v>
      </c>
      <c r="K754">
        <f>MATCH(A754,Database!$A$2:$A$948,0)</f>
        <v>230</v>
      </c>
      <c r="L754">
        <f>VLOOKUP(A754,Database!$A$2:$I$948,4,0)</f>
        <v>2279.0500000000002</v>
      </c>
      <c r="M754" t="b">
        <f t="shared" si="25"/>
        <v>1</v>
      </c>
      <c r="N754">
        <f>VLOOKUP(A754,Database!$A$2:$I$948,5,0)</f>
        <v>1</v>
      </c>
    </row>
    <row r="755" spans="1:14" hidden="1" x14ac:dyDescent="0.35">
      <c r="A755" s="3">
        <v>103407934</v>
      </c>
      <c r="B755" s="3" t="s">
        <v>1501</v>
      </c>
      <c r="C755" s="3" t="str">
        <f t="shared" si="24"/>
        <v>2022-07-06</v>
      </c>
      <c r="D755" s="3" t="s">
        <v>9</v>
      </c>
      <c r="E755" s="3" t="s">
        <v>5</v>
      </c>
      <c r="F755" s="3" t="s">
        <v>10</v>
      </c>
      <c r="G755" s="3" t="s">
        <v>1502</v>
      </c>
      <c r="H755" s="3" t="s">
        <v>1503</v>
      </c>
      <c r="I755" s="5">
        <v>1169</v>
      </c>
      <c r="J755" s="3" t="s">
        <v>11</v>
      </c>
      <c r="K755">
        <f>MATCH(A755,Database!$A$2:$A$948,0)</f>
        <v>202</v>
      </c>
      <c r="L755">
        <f>VLOOKUP(A755,Database!$A$2:$I$948,4,0)</f>
        <v>1169</v>
      </c>
      <c r="M755" t="b">
        <f t="shared" si="25"/>
        <v>1</v>
      </c>
      <c r="N755">
        <f>VLOOKUP(A755,Database!$A$2:$I$948,5,0)</f>
        <v>1</v>
      </c>
    </row>
    <row r="756" spans="1:14" hidden="1" x14ac:dyDescent="0.35">
      <c r="A756" s="3">
        <v>103408065</v>
      </c>
      <c r="B756" s="3" t="s">
        <v>1504</v>
      </c>
      <c r="C756" s="3" t="str">
        <f t="shared" si="24"/>
        <v>2022-07-06</v>
      </c>
      <c r="D756" s="3" t="s">
        <v>9</v>
      </c>
      <c r="E756" s="3" t="s">
        <v>5</v>
      </c>
      <c r="F756" s="3" t="s">
        <v>10</v>
      </c>
      <c r="G756" s="3" t="s">
        <v>1505</v>
      </c>
      <c r="H756" s="3" t="s">
        <v>1506</v>
      </c>
      <c r="I756" s="4">
        <v>1670.1</v>
      </c>
      <c r="J756" s="3" t="s">
        <v>11</v>
      </c>
      <c r="K756">
        <f>MATCH(A756,Database!$A$2:$A$948,0)</f>
        <v>229</v>
      </c>
      <c r="L756">
        <f>VLOOKUP(A756,Database!$A$2:$I$948,4,0)</f>
        <v>1670.1</v>
      </c>
      <c r="M756" t="b">
        <f t="shared" si="25"/>
        <v>1</v>
      </c>
      <c r="N756">
        <f>VLOOKUP(A756,Database!$A$2:$I$948,5,0)</f>
        <v>2</v>
      </c>
    </row>
    <row r="757" spans="1:14" hidden="1" x14ac:dyDescent="0.35">
      <c r="A757" s="3">
        <v>103407931</v>
      </c>
      <c r="B757" s="3" t="s">
        <v>1507</v>
      </c>
      <c r="C757" s="3" t="str">
        <f t="shared" si="24"/>
        <v>2022-07-06</v>
      </c>
      <c r="D757" s="3" t="s">
        <v>9</v>
      </c>
      <c r="E757" s="3" t="s">
        <v>5</v>
      </c>
      <c r="F757" s="3" t="s">
        <v>12</v>
      </c>
      <c r="G757" s="3" t="s">
        <v>1508</v>
      </c>
      <c r="H757" s="3" t="s">
        <v>1509</v>
      </c>
      <c r="I757" s="3">
        <v>549</v>
      </c>
      <c r="J757" s="3" t="s">
        <v>11</v>
      </c>
      <c r="K757">
        <f>MATCH(A757,Database!$A$2:$A$948,0)</f>
        <v>201</v>
      </c>
      <c r="L757">
        <f>VLOOKUP(A757,Database!$A$2:$I$948,4,0)</f>
        <v>549</v>
      </c>
      <c r="M757" t="b">
        <f t="shared" si="25"/>
        <v>1</v>
      </c>
      <c r="N757">
        <f>VLOOKUP(A757,Database!$A$2:$I$948,5,0)</f>
        <v>1</v>
      </c>
    </row>
    <row r="758" spans="1:14" hidden="1" x14ac:dyDescent="0.35">
      <c r="A758" s="3">
        <v>103408059</v>
      </c>
      <c r="B758" s="3" t="s">
        <v>1510</v>
      </c>
      <c r="C758" s="3" t="str">
        <f t="shared" si="24"/>
        <v>2022-07-06</v>
      </c>
      <c r="D758" s="3" t="s">
        <v>9</v>
      </c>
      <c r="E758" s="3" t="s">
        <v>5</v>
      </c>
      <c r="F758" s="3" t="s">
        <v>10</v>
      </c>
      <c r="G758" s="3" t="s">
        <v>1511</v>
      </c>
      <c r="H758" s="3" t="s">
        <v>1512</v>
      </c>
      <c r="I758" s="4">
        <v>3324.05</v>
      </c>
      <c r="J758" s="3" t="s">
        <v>11</v>
      </c>
      <c r="K758" t="e">
        <f>MATCH(A758,Database!$A$2:$A$948,0)</f>
        <v>#N/A</v>
      </c>
      <c r="L758" t="e">
        <f>VLOOKUP(A758,Database!$A$2:$I$948,4,0)</f>
        <v>#N/A</v>
      </c>
      <c r="M758" t="e">
        <f t="shared" si="25"/>
        <v>#N/A</v>
      </c>
      <c r="N758" t="e">
        <f>VLOOKUP(A758,Database!$A$2:$I$948,5,0)</f>
        <v>#N/A</v>
      </c>
    </row>
    <row r="759" spans="1:14" hidden="1" x14ac:dyDescent="0.35">
      <c r="A759" s="3">
        <v>103407928</v>
      </c>
      <c r="B759" s="3" t="s">
        <v>1513</v>
      </c>
      <c r="C759" s="3" t="str">
        <f t="shared" si="24"/>
        <v>2022-07-06</v>
      </c>
      <c r="D759" s="3" t="s">
        <v>9</v>
      </c>
      <c r="E759" s="3" t="s">
        <v>5</v>
      </c>
      <c r="F759" s="3" t="s">
        <v>10</v>
      </c>
      <c r="G759" s="3" t="s">
        <v>1514</v>
      </c>
      <c r="H759" s="3" t="s">
        <v>1515</v>
      </c>
      <c r="I759" s="5">
        <v>2999</v>
      </c>
      <c r="J759" s="3" t="s">
        <v>11</v>
      </c>
      <c r="K759">
        <f>MATCH(A759,Database!$A$2:$A$948,0)</f>
        <v>200</v>
      </c>
      <c r="L759">
        <f>VLOOKUP(A759,Database!$A$2:$I$948,4,0)</f>
        <v>2999</v>
      </c>
      <c r="M759" t="b">
        <f t="shared" si="25"/>
        <v>1</v>
      </c>
      <c r="N759">
        <f>VLOOKUP(A759,Database!$A$2:$I$948,5,0)</f>
        <v>1</v>
      </c>
    </row>
    <row r="760" spans="1:14" hidden="1" x14ac:dyDescent="0.35">
      <c r="A760" s="3">
        <v>103407927</v>
      </c>
      <c r="B760" s="3" t="s">
        <v>1516</v>
      </c>
      <c r="C760" s="3" t="str">
        <f t="shared" si="24"/>
        <v>2022-07-06</v>
      </c>
      <c r="D760" s="3" t="s">
        <v>9</v>
      </c>
      <c r="E760" s="3" t="s">
        <v>5</v>
      </c>
      <c r="F760" s="3" t="s">
        <v>10</v>
      </c>
      <c r="G760" s="3" t="s">
        <v>1517</v>
      </c>
      <c r="H760" s="3" t="s">
        <v>1518</v>
      </c>
      <c r="I760" s="4">
        <v>4274.05</v>
      </c>
      <c r="J760" s="3" t="s">
        <v>11</v>
      </c>
      <c r="K760">
        <f>MATCH(A760,Database!$A$2:$A$948,0)</f>
        <v>199</v>
      </c>
      <c r="L760">
        <f>VLOOKUP(A760,Database!$A$2:$I$948,4,0)</f>
        <v>4274.05</v>
      </c>
      <c r="M760" t="b">
        <f t="shared" si="25"/>
        <v>1</v>
      </c>
      <c r="N760">
        <f>VLOOKUP(A760,Database!$A$2:$I$948,5,0)</f>
        <v>1</v>
      </c>
    </row>
    <row r="761" spans="1:14" hidden="1" x14ac:dyDescent="0.35">
      <c r="A761" s="3">
        <v>103407925</v>
      </c>
      <c r="B761" s="3" t="s">
        <v>1519</v>
      </c>
      <c r="C761" s="3" t="str">
        <f t="shared" si="24"/>
        <v>2022-07-06</v>
      </c>
      <c r="D761" s="3" t="s">
        <v>9</v>
      </c>
      <c r="E761" s="3" t="s">
        <v>5</v>
      </c>
      <c r="F761" s="3" t="s">
        <v>10</v>
      </c>
      <c r="G761" s="3" t="s">
        <v>1520</v>
      </c>
      <c r="H761" s="3" t="s">
        <v>1521</v>
      </c>
      <c r="I761" s="4">
        <v>3632.94</v>
      </c>
      <c r="J761" s="3" t="s">
        <v>11</v>
      </c>
      <c r="K761">
        <f>MATCH(A761,Database!$A$2:$A$948,0)</f>
        <v>198</v>
      </c>
      <c r="L761">
        <f>VLOOKUP(A761,Database!$A$2:$I$948,4,0)</f>
        <v>3632.94</v>
      </c>
      <c r="M761" t="b">
        <f t="shared" si="25"/>
        <v>1</v>
      </c>
      <c r="N761">
        <f>VLOOKUP(A761,Database!$A$2:$I$948,5,0)</f>
        <v>1</v>
      </c>
    </row>
    <row r="762" spans="1:14" hidden="1" x14ac:dyDescent="0.35">
      <c r="A762" s="3">
        <v>103408055</v>
      </c>
      <c r="B762" s="3" t="s">
        <v>1522</v>
      </c>
      <c r="C762" s="3" t="str">
        <f t="shared" si="24"/>
        <v>2022-07-06</v>
      </c>
      <c r="D762" s="3" t="s">
        <v>9</v>
      </c>
      <c r="E762" s="3" t="s">
        <v>5</v>
      </c>
      <c r="F762" s="3" t="s">
        <v>10</v>
      </c>
      <c r="G762" s="3" t="s">
        <v>1523</v>
      </c>
      <c r="H762" s="3" t="s">
        <v>1524</v>
      </c>
      <c r="I762" s="4">
        <v>1888.6</v>
      </c>
      <c r="J762" s="3" t="s">
        <v>11</v>
      </c>
      <c r="K762">
        <f>MATCH(A762,Database!$A$2:$A$948,0)</f>
        <v>228</v>
      </c>
      <c r="L762">
        <f>VLOOKUP(A762,Database!$A$2:$I$948,4,0)</f>
        <v>1888.6</v>
      </c>
      <c r="M762" t="b">
        <f t="shared" si="25"/>
        <v>1</v>
      </c>
      <c r="N762">
        <f>VLOOKUP(A762,Database!$A$2:$I$948,5,0)</f>
        <v>2</v>
      </c>
    </row>
    <row r="763" spans="1:14" hidden="1" x14ac:dyDescent="0.35">
      <c r="A763" s="3">
        <v>103407923</v>
      </c>
      <c r="B763" s="3" t="s">
        <v>1525</v>
      </c>
      <c r="C763" s="3" t="str">
        <f t="shared" si="24"/>
        <v>2022-07-06</v>
      </c>
      <c r="D763" s="3" t="s">
        <v>9</v>
      </c>
      <c r="E763" s="3" t="s">
        <v>5</v>
      </c>
      <c r="F763" s="3" t="s">
        <v>10</v>
      </c>
      <c r="G763" s="3" t="s">
        <v>1526</v>
      </c>
      <c r="H763" s="3" t="s">
        <v>1527</v>
      </c>
      <c r="I763" s="5">
        <v>2279</v>
      </c>
      <c r="J763" s="3" t="s">
        <v>11</v>
      </c>
      <c r="K763">
        <f>MATCH(A763,Database!$A$2:$A$948,0)</f>
        <v>197</v>
      </c>
      <c r="L763">
        <f>VLOOKUP(A763,Database!$A$2:$I$948,4,0)</f>
        <v>2279</v>
      </c>
      <c r="M763" t="b">
        <f t="shared" si="25"/>
        <v>1</v>
      </c>
      <c r="N763">
        <f>VLOOKUP(A763,Database!$A$2:$I$948,5,0)</f>
        <v>1</v>
      </c>
    </row>
    <row r="764" spans="1:14" hidden="1" x14ac:dyDescent="0.35">
      <c r="A764" s="3">
        <v>103408049</v>
      </c>
      <c r="B764" s="3" t="s">
        <v>1528</v>
      </c>
      <c r="C764" s="3" t="str">
        <f t="shared" si="24"/>
        <v>2022-07-06</v>
      </c>
      <c r="D764" s="3" t="s">
        <v>9</v>
      </c>
      <c r="E764" s="3" t="s">
        <v>5</v>
      </c>
      <c r="F764" s="3" t="s">
        <v>10</v>
      </c>
      <c r="G764" s="3" t="s">
        <v>1529</v>
      </c>
      <c r="H764" s="3" t="s">
        <v>1530</v>
      </c>
      <c r="I764" s="3">
        <v>455.05</v>
      </c>
      <c r="J764" s="3" t="s">
        <v>11</v>
      </c>
      <c r="K764">
        <f>MATCH(A764,Database!$A$2:$A$948,0)</f>
        <v>227</v>
      </c>
      <c r="L764">
        <f>VLOOKUP(A764,Database!$A$2:$I$948,4,0)</f>
        <v>455.05</v>
      </c>
      <c r="M764" t="b">
        <f t="shared" si="25"/>
        <v>1</v>
      </c>
      <c r="N764">
        <f>VLOOKUP(A764,Database!$A$2:$I$948,5,0)</f>
        <v>1</v>
      </c>
    </row>
    <row r="765" spans="1:14" hidden="1" x14ac:dyDescent="0.35">
      <c r="A765" s="3">
        <v>103408045</v>
      </c>
      <c r="B765" s="3" t="s">
        <v>1531</v>
      </c>
      <c r="C765" s="3" t="str">
        <f t="shared" si="24"/>
        <v>2022-07-06</v>
      </c>
      <c r="D765" s="3" t="s">
        <v>9</v>
      </c>
      <c r="E765" s="3" t="s">
        <v>5</v>
      </c>
      <c r="F765" s="3" t="s">
        <v>10</v>
      </c>
      <c r="G765" s="3" t="s">
        <v>1532</v>
      </c>
      <c r="H765" s="3" t="s">
        <v>1533</v>
      </c>
      <c r="I765" s="4">
        <v>1775.55</v>
      </c>
      <c r="J765" s="3" t="s">
        <v>11</v>
      </c>
      <c r="K765">
        <f>MATCH(A765,Database!$A$2:$A$948,0)</f>
        <v>226</v>
      </c>
      <c r="L765">
        <f>VLOOKUP(A765,Database!$A$2:$I$948,4,0)</f>
        <v>1775.55</v>
      </c>
      <c r="M765" t="b">
        <f t="shared" si="25"/>
        <v>1</v>
      </c>
      <c r="N765">
        <f>VLOOKUP(A765,Database!$A$2:$I$948,5,0)</f>
        <v>1</v>
      </c>
    </row>
    <row r="766" spans="1:14" hidden="1" x14ac:dyDescent="0.35">
      <c r="A766" s="3">
        <v>103408044</v>
      </c>
      <c r="B766" s="3" t="s">
        <v>1534</v>
      </c>
      <c r="C766" s="3" t="str">
        <f t="shared" si="24"/>
        <v>2022-07-06</v>
      </c>
      <c r="D766" s="3" t="s">
        <v>9</v>
      </c>
      <c r="E766" s="3" t="s">
        <v>5</v>
      </c>
      <c r="F766" s="3" t="s">
        <v>10</v>
      </c>
      <c r="G766" s="3" t="s">
        <v>1535</v>
      </c>
      <c r="H766" s="3" t="s">
        <v>1536</v>
      </c>
      <c r="I766" s="5">
        <v>1349</v>
      </c>
      <c r="J766" s="3" t="s">
        <v>11</v>
      </c>
      <c r="K766">
        <f>MATCH(A766,Database!$A$2:$A$948,0)</f>
        <v>225</v>
      </c>
      <c r="L766">
        <f>VLOOKUP(A766,Database!$A$2:$I$948,4,0)</f>
        <v>1349</v>
      </c>
      <c r="M766" t="b">
        <f t="shared" si="25"/>
        <v>1</v>
      </c>
      <c r="N766">
        <f>VLOOKUP(A766,Database!$A$2:$I$948,5,0)</f>
        <v>1</v>
      </c>
    </row>
    <row r="767" spans="1:14" hidden="1" x14ac:dyDescent="0.35">
      <c r="A767" s="3">
        <v>103408041</v>
      </c>
      <c r="B767" s="3" t="s">
        <v>1537</v>
      </c>
      <c r="C767" s="3" t="str">
        <f t="shared" si="24"/>
        <v>2022-07-06</v>
      </c>
      <c r="D767" s="3" t="s">
        <v>9</v>
      </c>
      <c r="E767" s="3" t="s">
        <v>5</v>
      </c>
      <c r="F767" s="3" t="s">
        <v>10</v>
      </c>
      <c r="G767" s="3" t="s">
        <v>1538</v>
      </c>
      <c r="H767" s="3" t="s">
        <v>1539</v>
      </c>
      <c r="I767" s="5">
        <v>3038</v>
      </c>
      <c r="J767" s="3" t="s">
        <v>11</v>
      </c>
      <c r="K767">
        <f>MATCH(A767,Database!$A$2:$A$948,0)</f>
        <v>224</v>
      </c>
      <c r="L767">
        <f>VLOOKUP(A767,Database!$A$2:$I$948,4,0)</f>
        <v>3038</v>
      </c>
      <c r="M767" t="b">
        <f t="shared" si="25"/>
        <v>1</v>
      </c>
      <c r="N767">
        <f>VLOOKUP(A767,Database!$A$2:$I$948,5,0)</f>
        <v>2</v>
      </c>
    </row>
    <row r="768" spans="1:14" hidden="1" x14ac:dyDescent="0.35">
      <c r="A768" s="3">
        <v>103407918</v>
      </c>
      <c r="B768" s="3" t="s">
        <v>1540</v>
      </c>
      <c r="C768" s="3" t="str">
        <f t="shared" si="24"/>
        <v>2022-07-06</v>
      </c>
      <c r="D768" s="3" t="s">
        <v>9</v>
      </c>
      <c r="E768" s="3" t="s">
        <v>5</v>
      </c>
      <c r="F768" s="3" t="s">
        <v>10</v>
      </c>
      <c r="G768" s="3" t="s">
        <v>1541</v>
      </c>
      <c r="H768" s="3" t="s">
        <v>1542</v>
      </c>
      <c r="I768" s="3">
        <v>629</v>
      </c>
      <c r="J768" s="3" t="s">
        <v>11</v>
      </c>
      <c r="K768">
        <f>MATCH(A768,Database!$A$2:$A$948,0)</f>
        <v>196</v>
      </c>
      <c r="L768">
        <f>VLOOKUP(A768,Database!$A$2:$I$948,4,0)</f>
        <v>629</v>
      </c>
      <c r="M768" t="b">
        <f t="shared" si="25"/>
        <v>1</v>
      </c>
      <c r="N768">
        <f>VLOOKUP(A768,Database!$A$2:$I$948,5,0)</f>
        <v>1</v>
      </c>
    </row>
    <row r="769" spans="1:14" hidden="1" x14ac:dyDescent="0.35">
      <c r="A769" s="3">
        <v>103408039</v>
      </c>
      <c r="B769" s="3" t="s">
        <v>1543</v>
      </c>
      <c r="C769" s="3" t="str">
        <f t="shared" si="24"/>
        <v>2022-07-06</v>
      </c>
      <c r="D769" s="3" t="s">
        <v>9</v>
      </c>
      <c r="E769" s="3" t="s">
        <v>5</v>
      </c>
      <c r="F769" s="3" t="s">
        <v>10</v>
      </c>
      <c r="G769" s="3" t="s">
        <v>1544</v>
      </c>
      <c r="H769" s="3" t="s">
        <v>1545</v>
      </c>
      <c r="I769" s="4">
        <v>3390.55</v>
      </c>
      <c r="J769" s="3" t="s">
        <v>11</v>
      </c>
      <c r="K769">
        <f>MATCH(A769,Database!$A$2:$A$948,0)</f>
        <v>223</v>
      </c>
      <c r="L769">
        <f>VLOOKUP(A769,Database!$A$2:$I$948,4,0)</f>
        <v>3390.55</v>
      </c>
      <c r="M769" t="b">
        <f t="shared" si="25"/>
        <v>1</v>
      </c>
      <c r="N769">
        <f>VLOOKUP(A769,Database!$A$2:$I$948,5,0)</f>
        <v>1</v>
      </c>
    </row>
    <row r="770" spans="1:14" hidden="1" x14ac:dyDescent="0.35">
      <c r="A770" s="3">
        <v>103408035</v>
      </c>
      <c r="B770" s="3" t="s">
        <v>1546</v>
      </c>
      <c r="C770" s="3" t="str">
        <f t="shared" si="24"/>
        <v>2022-07-06</v>
      </c>
      <c r="D770" s="3" t="s">
        <v>9</v>
      </c>
      <c r="E770" s="3" t="s">
        <v>5</v>
      </c>
      <c r="F770" s="3" t="s">
        <v>10</v>
      </c>
      <c r="G770" s="3" t="s">
        <v>1547</v>
      </c>
      <c r="H770" s="3" t="s">
        <v>1548</v>
      </c>
      <c r="I770" s="4">
        <v>2326.5500000000002</v>
      </c>
      <c r="J770" s="3" t="s">
        <v>11</v>
      </c>
      <c r="K770">
        <f>MATCH(A770,Database!$A$2:$A$948,0)</f>
        <v>222</v>
      </c>
      <c r="L770">
        <f>VLOOKUP(A770,Database!$A$2:$I$948,4,0)</f>
        <v>2326.5500000000002</v>
      </c>
      <c r="M770" t="b">
        <f t="shared" si="25"/>
        <v>1</v>
      </c>
      <c r="N770">
        <f>VLOOKUP(A770,Database!$A$2:$I$948,5,0)</f>
        <v>1</v>
      </c>
    </row>
    <row r="771" spans="1:14" hidden="1" x14ac:dyDescent="0.35">
      <c r="A771" s="3">
        <v>103407914</v>
      </c>
      <c r="B771" s="3" t="s">
        <v>1549</v>
      </c>
      <c r="C771" s="3" t="str">
        <f t="shared" ref="C771:C834" si="26">LEFT(B771,FIND("T",B771)-1)</f>
        <v>2022-07-06</v>
      </c>
      <c r="D771" s="3" t="s">
        <v>9</v>
      </c>
      <c r="E771" s="3" t="s">
        <v>5</v>
      </c>
      <c r="F771" s="3" t="s">
        <v>10</v>
      </c>
      <c r="G771" s="3" t="s">
        <v>1550</v>
      </c>
      <c r="H771" s="3" t="s">
        <v>1551</v>
      </c>
      <c r="I771" s="5">
        <v>2399</v>
      </c>
      <c r="J771" s="3" t="s">
        <v>11</v>
      </c>
      <c r="K771">
        <f>MATCH(A771,Database!$A$2:$A$948,0)</f>
        <v>195</v>
      </c>
      <c r="L771">
        <f>VLOOKUP(A771,Database!$A$2:$I$948,4,0)</f>
        <v>2399</v>
      </c>
      <c r="M771" t="b">
        <f t="shared" si="25"/>
        <v>1</v>
      </c>
      <c r="N771">
        <f>VLOOKUP(A771,Database!$A$2:$I$948,5,0)</f>
        <v>1</v>
      </c>
    </row>
    <row r="772" spans="1:14" hidden="1" x14ac:dyDescent="0.35">
      <c r="A772" s="3">
        <v>103408034</v>
      </c>
      <c r="B772" s="3" t="s">
        <v>1549</v>
      </c>
      <c r="C772" s="3" t="str">
        <f t="shared" si="26"/>
        <v>2022-07-06</v>
      </c>
      <c r="D772" s="3" t="s">
        <v>9</v>
      </c>
      <c r="E772" s="3" t="s">
        <v>5</v>
      </c>
      <c r="F772" s="3" t="s">
        <v>10</v>
      </c>
      <c r="G772" s="3" t="s">
        <v>1552</v>
      </c>
      <c r="H772" s="3" t="s">
        <v>1553</v>
      </c>
      <c r="I772" s="5">
        <v>5999</v>
      </c>
      <c r="J772" s="3" t="s">
        <v>11</v>
      </c>
      <c r="K772">
        <f>MATCH(A772,Database!$A$2:$A$948,0)</f>
        <v>221</v>
      </c>
      <c r="L772">
        <f>VLOOKUP(A772,Database!$A$2:$I$948,4,0)</f>
        <v>5999</v>
      </c>
      <c r="M772" t="b">
        <f t="shared" si="25"/>
        <v>1</v>
      </c>
      <c r="N772">
        <f>VLOOKUP(A772,Database!$A$2:$I$948,5,0)</f>
        <v>1</v>
      </c>
    </row>
    <row r="773" spans="1:14" hidden="1" x14ac:dyDescent="0.35">
      <c r="A773" s="3">
        <v>103407913</v>
      </c>
      <c r="B773" s="3" t="s">
        <v>1554</v>
      </c>
      <c r="C773" s="3" t="str">
        <f t="shared" si="26"/>
        <v>2022-07-06</v>
      </c>
      <c r="D773" s="3" t="s">
        <v>9</v>
      </c>
      <c r="E773" s="3" t="s">
        <v>5</v>
      </c>
      <c r="F773" s="3" t="s">
        <v>10</v>
      </c>
      <c r="G773" s="3" t="s">
        <v>1555</v>
      </c>
      <c r="H773" s="3" t="s">
        <v>1556</v>
      </c>
      <c r="I773" s="4">
        <v>2659.05</v>
      </c>
      <c r="J773" s="3" t="s">
        <v>11</v>
      </c>
      <c r="K773">
        <f>MATCH(A773,Database!$A$2:$A$948,0)</f>
        <v>194</v>
      </c>
      <c r="L773">
        <f>VLOOKUP(A773,Database!$A$2:$I$948,4,0)</f>
        <v>2659.05</v>
      </c>
      <c r="M773" t="b">
        <f t="shared" si="25"/>
        <v>1</v>
      </c>
      <c r="N773">
        <f>VLOOKUP(A773,Database!$A$2:$I$948,5,0)</f>
        <v>1</v>
      </c>
    </row>
    <row r="774" spans="1:14" hidden="1" x14ac:dyDescent="0.35">
      <c r="A774" s="3">
        <v>103407912</v>
      </c>
      <c r="B774" s="3" t="s">
        <v>1557</v>
      </c>
      <c r="C774" s="3" t="str">
        <f t="shared" si="26"/>
        <v>2022-07-06</v>
      </c>
      <c r="D774" s="3" t="s">
        <v>9</v>
      </c>
      <c r="E774" s="3" t="s">
        <v>5</v>
      </c>
      <c r="F774" s="3" t="s">
        <v>10</v>
      </c>
      <c r="G774" s="3" t="s">
        <v>1558</v>
      </c>
      <c r="H774" s="3" t="s">
        <v>1559</v>
      </c>
      <c r="I774" s="4">
        <v>2083.87</v>
      </c>
      <c r="J774" s="3" t="s">
        <v>11</v>
      </c>
      <c r="K774" t="e">
        <f>MATCH(A774,Database!$A$2:$A$948,0)</f>
        <v>#N/A</v>
      </c>
      <c r="L774" t="e">
        <f>VLOOKUP(A774,Database!$A$2:$I$948,4,0)</f>
        <v>#N/A</v>
      </c>
      <c r="M774" t="e">
        <f t="shared" si="25"/>
        <v>#N/A</v>
      </c>
      <c r="N774" t="e">
        <f>VLOOKUP(A774,Database!$A$2:$I$948,5,0)</f>
        <v>#N/A</v>
      </c>
    </row>
    <row r="775" spans="1:14" hidden="1" x14ac:dyDescent="0.35">
      <c r="A775" s="3">
        <v>103407910</v>
      </c>
      <c r="B775" s="3" t="s">
        <v>1560</v>
      </c>
      <c r="C775" s="3" t="str">
        <f t="shared" si="26"/>
        <v>2022-07-06</v>
      </c>
      <c r="D775" s="3" t="s">
        <v>9</v>
      </c>
      <c r="E775" s="3" t="s">
        <v>5</v>
      </c>
      <c r="F775" s="3" t="s">
        <v>10</v>
      </c>
      <c r="G775" s="3" t="s">
        <v>1561</v>
      </c>
      <c r="H775" s="3" t="s">
        <v>1562</v>
      </c>
      <c r="I775" s="4">
        <v>2991.55</v>
      </c>
      <c r="J775" s="3" t="s">
        <v>11</v>
      </c>
      <c r="K775">
        <f>MATCH(A775,Database!$A$2:$A$948,0)</f>
        <v>193</v>
      </c>
      <c r="L775">
        <f>VLOOKUP(A775,Database!$A$2:$I$948,4,0)</f>
        <v>2991.55</v>
      </c>
      <c r="M775" t="b">
        <f t="shared" si="25"/>
        <v>1</v>
      </c>
      <c r="N775">
        <f>VLOOKUP(A775,Database!$A$2:$I$948,5,0)</f>
        <v>1</v>
      </c>
    </row>
    <row r="776" spans="1:14" hidden="1" x14ac:dyDescent="0.35">
      <c r="A776" s="3">
        <v>103407909</v>
      </c>
      <c r="B776" s="3" t="s">
        <v>1563</v>
      </c>
      <c r="C776" s="3" t="str">
        <f t="shared" si="26"/>
        <v>2022-07-06</v>
      </c>
      <c r="D776" s="3" t="s">
        <v>9</v>
      </c>
      <c r="E776" s="3" t="s">
        <v>5</v>
      </c>
      <c r="F776" s="3" t="s">
        <v>12</v>
      </c>
      <c r="G776" s="3" t="s">
        <v>373</v>
      </c>
      <c r="H776" s="3" t="s">
        <v>374</v>
      </c>
      <c r="I776" s="3">
        <v>669</v>
      </c>
      <c r="J776" s="3" t="s">
        <v>11</v>
      </c>
      <c r="K776">
        <f>MATCH(A776,Database!$A$2:$A$948,0)</f>
        <v>192</v>
      </c>
      <c r="L776">
        <f>VLOOKUP(A776,Database!$A$2:$I$948,4,0)</f>
        <v>669</v>
      </c>
      <c r="M776" t="b">
        <f t="shared" si="25"/>
        <v>1</v>
      </c>
      <c r="N776">
        <f>VLOOKUP(A776,Database!$A$2:$I$948,5,0)</f>
        <v>1</v>
      </c>
    </row>
    <row r="777" spans="1:14" hidden="1" x14ac:dyDescent="0.35">
      <c r="A777" s="3">
        <v>103407908</v>
      </c>
      <c r="B777" s="3" t="s">
        <v>1564</v>
      </c>
      <c r="C777" s="3" t="str">
        <f t="shared" si="26"/>
        <v>2022-07-06</v>
      </c>
      <c r="D777" s="3" t="s">
        <v>9</v>
      </c>
      <c r="E777" s="3" t="s">
        <v>5</v>
      </c>
      <c r="F777" s="3" t="s">
        <v>10</v>
      </c>
      <c r="G777" s="3" t="s">
        <v>1565</v>
      </c>
      <c r="H777" s="3" t="s">
        <v>1566</v>
      </c>
      <c r="I777" s="4">
        <v>2773.05</v>
      </c>
      <c r="J777" s="3" t="s">
        <v>11</v>
      </c>
      <c r="K777">
        <f>MATCH(A777,Database!$A$2:$A$948,0)</f>
        <v>191</v>
      </c>
      <c r="L777">
        <f>VLOOKUP(A777,Database!$A$2:$I$948,4,0)</f>
        <v>2773.05</v>
      </c>
      <c r="M777" t="b">
        <f t="shared" si="25"/>
        <v>1</v>
      </c>
      <c r="N777">
        <f>VLOOKUP(A777,Database!$A$2:$I$948,5,0)</f>
        <v>1</v>
      </c>
    </row>
    <row r="778" spans="1:14" hidden="1" x14ac:dyDescent="0.35">
      <c r="A778" s="3">
        <v>103407906</v>
      </c>
      <c r="B778" s="3" t="s">
        <v>1567</v>
      </c>
      <c r="C778" s="3" t="str">
        <f t="shared" si="26"/>
        <v>2022-07-06</v>
      </c>
      <c r="D778" s="3" t="s">
        <v>9</v>
      </c>
      <c r="E778" s="3" t="s">
        <v>5</v>
      </c>
      <c r="F778" s="3" t="s">
        <v>10</v>
      </c>
      <c r="G778" s="3" t="s">
        <v>1568</v>
      </c>
      <c r="H778" s="3" t="s">
        <v>1569</v>
      </c>
      <c r="I778" s="4">
        <v>2339.1</v>
      </c>
      <c r="J778" s="3" t="s">
        <v>11</v>
      </c>
      <c r="K778">
        <f>MATCH(A778,Database!$A$2:$A$948,0)</f>
        <v>190</v>
      </c>
      <c r="L778">
        <f>VLOOKUP(A778,Database!$A$2:$I$948,4,0)</f>
        <v>2339.1</v>
      </c>
      <c r="M778" t="b">
        <f t="shared" si="25"/>
        <v>1</v>
      </c>
      <c r="N778">
        <f>VLOOKUP(A778,Database!$A$2:$I$948,5,0)</f>
        <v>1</v>
      </c>
    </row>
    <row r="779" spans="1:14" hidden="1" x14ac:dyDescent="0.35">
      <c r="A779" s="3">
        <v>103408028</v>
      </c>
      <c r="B779" s="3" t="s">
        <v>1570</v>
      </c>
      <c r="C779" s="3" t="str">
        <f t="shared" si="26"/>
        <v>2022-07-06</v>
      </c>
      <c r="D779" s="3" t="s">
        <v>9</v>
      </c>
      <c r="E779" s="3" t="s">
        <v>5</v>
      </c>
      <c r="F779" s="3" t="s">
        <v>10</v>
      </c>
      <c r="G779" s="3" t="s">
        <v>1571</v>
      </c>
      <c r="H779" s="3" t="s">
        <v>1572</v>
      </c>
      <c r="I779" s="4">
        <v>7294.19</v>
      </c>
      <c r="J779" s="3" t="s">
        <v>11</v>
      </c>
      <c r="K779" t="e">
        <f>MATCH(A779,Database!$A$2:$A$948,0)</f>
        <v>#N/A</v>
      </c>
      <c r="L779" t="e">
        <f>VLOOKUP(A779,Database!$A$2:$I$948,4,0)</f>
        <v>#N/A</v>
      </c>
      <c r="M779" t="e">
        <f t="shared" si="25"/>
        <v>#N/A</v>
      </c>
      <c r="N779" t="e">
        <f>VLOOKUP(A779,Database!$A$2:$I$948,5,0)</f>
        <v>#N/A</v>
      </c>
    </row>
    <row r="780" spans="1:14" hidden="1" x14ac:dyDescent="0.35">
      <c r="A780" s="3">
        <v>103408019</v>
      </c>
      <c r="B780" s="3" t="s">
        <v>1573</v>
      </c>
      <c r="C780" s="3" t="str">
        <f t="shared" si="26"/>
        <v>2022-07-06</v>
      </c>
      <c r="D780" s="3" t="s">
        <v>9</v>
      </c>
      <c r="E780" s="3" t="s">
        <v>5</v>
      </c>
      <c r="F780" s="3" t="s">
        <v>10</v>
      </c>
      <c r="G780" s="3" t="s">
        <v>1574</v>
      </c>
      <c r="H780" s="3" t="s">
        <v>1575</v>
      </c>
      <c r="I780" s="4">
        <v>1136.25</v>
      </c>
      <c r="J780" s="3" t="s">
        <v>11</v>
      </c>
      <c r="K780">
        <f>MATCH(A780,Database!$A$2:$A$948,0)</f>
        <v>220</v>
      </c>
      <c r="L780">
        <f>VLOOKUP(A780,Database!$A$2:$I$948,4,0)</f>
        <v>1136.25</v>
      </c>
      <c r="M780" t="b">
        <f t="shared" ref="M780:M843" si="27">I780=L780</f>
        <v>1</v>
      </c>
      <c r="N780">
        <f>VLOOKUP(A780,Database!$A$2:$I$948,5,0)</f>
        <v>1</v>
      </c>
    </row>
    <row r="781" spans="1:14" hidden="1" x14ac:dyDescent="0.35">
      <c r="A781" s="3">
        <v>103407905</v>
      </c>
      <c r="B781" s="3" t="s">
        <v>1576</v>
      </c>
      <c r="C781" s="3" t="str">
        <f t="shared" si="26"/>
        <v>2022-07-06</v>
      </c>
      <c r="D781" s="3" t="s">
        <v>9</v>
      </c>
      <c r="E781" s="3" t="s">
        <v>5</v>
      </c>
      <c r="F781" s="3" t="s">
        <v>10</v>
      </c>
      <c r="G781" s="3" t="s">
        <v>1577</v>
      </c>
      <c r="H781" s="3" t="s">
        <v>1578</v>
      </c>
      <c r="I781" s="5">
        <v>1599</v>
      </c>
      <c r="J781" s="3" t="s">
        <v>11</v>
      </c>
      <c r="K781">
        <f>MATCH(A781,Database!$A$2:$A$948,0)</f>
        <v>189</v>
      </c>
      <c r="L781">
        <f>VLOOKUP(A781,Database!$A$2:$I$948,4,0)</f>
        <v>1599</v>
      </c>
      <c r="M781" t="b">
        <f t="shared" si="27"/>
        <v>1</v>
      </c>
      <c r="N781">
        <f>VLOOKUP(A781,Database!$A$2:$I$948,5,0)</f>
        <v>1</v>
      </c>
    </row>
    <row r="782" spans="1:14" hidden="1" x14ac:dyDescent="0.35">
      <c r="A782" s="3">
        <v>103408018</v>
      </c>
      <c r="B782" s="3" t="s">
        <v>1579</v>
      </c>
      <c r="C782" s="3" t="str">
        <f t="shared" si="26"/>
        <v>2022-07-06</v>
      </c>
      <c r="D782" s="3" t="s">
        <v>9</v>
      </c>
      <c r="E782" s="3" t="s">
        <v>5</v>
      </c>
      <c r="F782" s="3" t="s">
        <v>10</v>
      </c>
      <c r="G782" s="3" t="s">
        <v>1580</v>
      </c>
      <c r="H782" s="3" t="s">
        <v>1581</v>
      </c>
      <c r="I782" s="4">
        <v>5984.05</v>
      </c>
      <c r="J782" s="3" t="s">
        <v>11</v>
      </c>
      <c r="K782">
        <f>MATCH(A782,Database!$A$2:$A$948,0)</f>
        <v>219</v>
      </c>
      <c r="L782">
        <f>VLOOKUP(A782,Database!$A$2:$I$948,4,0)</f>
        <v>5984.05</v>
      </c>
      <c r="M782" t="b">
        <f t="shared" si="27"/>
        <v>1</v>
      </c>
      <c r="N782">
        <f>VLOOKUP(A782,Database!$A$2:$I$948,5,0)</f>
        <v>1</v>
      </c>
    </row>
    <row r="783" spans="1:14" hidden="1" x14ac:dyDescent="0.35">
      <c r="A783" s="3">
        <v>103408015</v>
      </c>
      <c r="B783" s="3" t="s">
        <v>1582</v>
      </c>
      <c r="C783" s="3" t="str">
        <f t="shared" si="26"/>
        <v>2022-07-06</v>
      </c>
      <c r="D783" s="3" t="s">
        <v>9</v>
      </c>
      <c r="E783" s="3" t="s">
        <v>5</v>
      </c>
      <c r="F783" s="3" t="s">
        <v>10</v>
      </c>
      <c r="G783" s="3" t="s">
        <v>1583</v>
      </c>
      <c r="H783" s="3" t="s">
        <v>1584</v>
      </c>
      <c r="I783" s="4">
        <v>2469.0500000000002</v>
      </c>
      <c r="J783" s="3" t="s">
        <v>11</v>
      </c>
      <c r="K783">
        <f>MATCH(A783,Database!$A$2:$A$948,0)</f>
        <v>218</v>
      </c>
      <c r="L783">
        <f>VLOOKUP(A783,Database!$A$2:$I$948,4,0)</f>
        <v>2469.0500000000002</v>
      </c>
      <c r="M783" t="b">
        <f t="shared" si="27"/>
        <v>1</v>
      </c>
      <c r="N783">
        <f>VLOOKUP(A783,Database!$A$2:$I$948,5,0)</f>
        <v>1</v>
      </c>
    </row>
    <row r="784" spans="1:14" hidden="1" x14ac:dyDescent="0.35">
      <c r="A784" s="3">
        <v>103408006</v>
      </c>
      <c r="B784" s="3" t="s">
        <v>1585</v>
      </c>
      <c r="C784" s="3" t="str">
        <f t="shared" si="26"/>
        <v>2022-07-06</v>
      </c>
      <c r="D784" s="3" t="s">
        <v>9</v>
      </c>
      <c r="E784" s="3" t="s">
        <v>5</v>
      </c>
      <c r="F784" s="3" t="s">
        <v>12</v>
      </c>
      <c r="G784" s="3" t="s">
        <v>1586</v>
      </c>
      <c r="H784" s="3" t="s">
        <v>1587</v>
      </c>
      <c r="I784" s="5">
        <v>1528</v>
      </c>
      <c r="J784" s="3" t="s">
        <v>11</v>
      </c>
      <c r="K784">
        <f>MATCH(A784,Database!$A$2:$A$948,0)</f>
        <v>217</v>
      </c>
      <c r="L784">
        <f>VLOOKUP(A784,Database!$A$2:$I$948,4,0)</f>
        <v>1528</v>
      </c>
      <c r="M784" t="b">
        <f t="shared" si="27"/>
        <v>1</v>
      </c>
      <c r="N784">
        <f>VLOOKUP(A784,Database!$A$2:$I$948,5,0)</f>
        <v>2</v>
      </c>
    </row>
    <row r="785" spans="1:14" hidden="1" x14ac:dyDescent="0.35">
      <c r="A785" s="3">
        <v>103407898</v>
      </c>
      <c r="B785" s="3" t="s">
        <v>1588</v>
      </c>
      <c r="C785" s="3" t="str">
        <f t="shared" si="26"/>
        <v>2022-07-06</v>
      </c>
      <c r="D785" s="3" t="s">
        <v>9</v>
      </c>
      <c r="E785" s="3" t="s">
        <v>5</v>
      </c>
      <c r="F785" s="3" t="s">
        <v>10</v>
      </c>
      <c r="G785" s="3" t="s">
        <v>1589</v>
      </c>
      <c r="H785" s="3" t="s">
        <v>1590</v>
      </c>
      <c r="I785" s="5">
        <v>2199</v>
      </c>
      <c r="J785" s="3" t="s">
        <v>11</v>
      </c>
      <c r="K785">
        <f>MATCH(A785,Database!$A$2:$A$948,0)</f>
        <v>188</v>
      </c>
      <c r="L785">
        <f>VLOOKUP(A785,Database!$A$2:$I$948,4,0)</f>
        <v>2199</v>
      </c>
      <c r="M785" t="b">
        <f t="shared" si="27"/>
        <v>1</v>
      </c>
      <c r="N785">
        <f>VLOOKUP(A785,Database!$A$2:$I$948,5,0)</f>
        <v>1</v>
      </c>
    </row>
    <row r="786" spans="1:14" hidden="1" x14ac:dyDescent="0.35">
      <c r="A786" s="3">
        <v>103407897</v>
      </c>
      <c r="B786" s="3" t="s">
        <v>1591</v>
      </c>
      <c r="C786" s="3" t="str">
        <f t="shared" si="26"/>
        <v>2022-07-06</v>
      </c>
      <c r="D786" s="3" t="s">
        <v>9</v>
      </c>
      <c r="E786" s="3" t="s">
        <v>5</v>
      </c>
      <c r="F786" s="3" t="s">
        <v>10</v>
      </c>
      <c r="G786" s="3" t="s">
        <v>1592</v>
      </c>
      <c r="H786" s="3" t="s">
        <v>1593</v>
      </c>
      <c r="I786" s="5">
        <v>1119</v>
      </c>
      <c r="J786" s="3" t="s">
        <v>11</v>
      </c>
      <c r="K786">
        <f>MATCH(A786,Database!$A$2:$A$948,0)</f>
        <v>187</v>
      </c>
      <c r="L786">
        <f>VLOOKUP(A786,Database!$A$2:$I$948,4,0)</f>
        <v>1119</v>
      </c>
      <c r="M786" t="b">
        <f t="shared" si="27"/>
        <v>1</v>
      </c>
      <c r="N786">
        <f>VLOOKUP(A786,Database!$A$2:$I$948,5,0)</f>
        <v>1</v>
      </c>
    </row>
    <row r="787" spans="1:14" hidden="1" x14ac:dyDescent="0.35">
      <c r="A787" s="3">
        <v>103407982</v>
      </c>
      <c r="B787" s="3" t="s">
        <v>1594</v>
      </c>
      <c r="C787" s="3" t="str">
        <f t="shared" si="26"/>
        <v>2022-07-06</v>
      </c>
      <c r="D787" s="3" t="s">
        <v>9</v>
      </c>
      <c r="E787" s="3" t="s">
        <v>5</v>
      </c>
      <c r="F787" s="3" t="s">
        <v>10</v>
      </c>
      <c r="G787" s="3" t="s">
        <v>1595</v>
      </c>
      <c r="H787" s="3" t="s">
        <v>1596</v>
      </c>
      <c r="I787" s="3">
        <v>629</v>
      </c>
      <c r="J787" s="3" t="s">
        <v>11</v>
      </c>
      <c r="K787">
        <f>MATCH(A787,Database!$A$2:$A$948,0)</f>
        <v>216</v>
      </c>
      <c r="L787">
        <f>VLOOKUP(A787,Database!$A$2:$I$948,4,0)</f>
        <v>629</v>
      </c>
      <c r="M787" t="b">
        <f t="shared" si="27"/>
        <v>1</v>
      </c>
      <c r="N787">
        <f>VLOOKUP(A787,Database!$A$2:$I$948,5,0)</f>
        <v>1</v>
      </c>
    </row>
    <row r="788" spans="1:14" hidden="1" x14ac:dyDescent="0.35">
      <c r="A788" s="3">
        <v>103407980</v>
      </c>
      <c r="B788" s="3" t="s">
        <v>1597</v>
      </c>
      <c r="C788" s="3" t="str">
        <f t="shared" si="26"/>
        <v>2022-07-06</v>
      </c>
      <c r="D788" s="3" t="s">
        <v>9</v>
      </c>
      <c r="E788" s="3" t="s">
        <v>5</v>
      </c>
      <c r="F788" s="3" t="s">
        <v>10</v>
      </c>
      <c r="G788" s="3" t="s">
        <v>1598</v>
      </c>
      <c r="H788" s="3" t="s">
        <v>1599</v>
      </c>
      <c r="I788" s="5">
        <v>1399</v>
      </c>
      <c r="J788" s="3" t="s">
        <v>11</v>
      </c>
      <c r="K788">
        <f>MATCH(A788,Database!$A$2:$A$948,0)</f>
        <v>215</v>
      </c>
      <c r="L788">
        <f>VLOOKUP(A788,Database!$A$2:$I$948,4,0)</f>
        <v>1399</v>
      </c>
      <c r="M788" t="b">
        <f t="shared" si="27"/>
        <v>1</v>
      </c>
      <c r="N788">
        <f>VLOOKUP(A788,Database!$A$2:$I$948,5,0)</f>
        <v>1</v>
      </c>
    </row>
    <row r="789" spans="1:14" hidden="1" x14ac:dyDescent="0.35">
      <c r="A789" s="3">
        <v>103407979</v>
      </c>
      <c r="B789" s="3" t="s">
        <v>1600</v>
      </c>
      <c r="C789" s="3" t="str">
        <f t="shared" si="26"/>
        <v>2022-07-06</v>
      </c>
      <c r="D789" s="3" t="s">
        <v>9</v>
      </c>
      <c r="E789" s="3" t="s">
        <v>5</v>
      </c>
      <c r="F789" s="3" t="s">
        <v>10</v>
      </c>
      <c r="G789" s="3" t="s">
        <v>1601</v>
      </c>
      <c r="H789" s="3" t="s">
        <v>1602</v>
      </c>
      <c r="I789" s="4">
        <v>3761.14</v>
      </c>
      <c r="J789" s="3" t="s">
        <v>11</v>
      </c>
      <c r="K789">
        <f>MATCH(A789,Database!$A$2:$A$948,0)</f>
        <v>214</v>
      </c>
      <c r="L789">
        <f>VLOOKUP(A789,Database!$A$2:$I$948,4,0)</f>
        <v>3761.14</v>
      </c>
      <c r="M789" t="b">
        <f t="shared" si="27"/>
        <v>1</v>
      </c>
      <c r="N789">
        <f>VLOOKUP(A789,Database!$A$2:$I$948,5,0)</f>
        <v>1</v>
      </c>
    </row>
    <row r="790" spans="1:14" hidden="1" x14ac:dyDescent="0.35">
      <c r="A790" s="3">
        <v>103407978</v>
      </c>
      <c r="B790" s="3" t="s">
        <v>1603</v>
      </c>
      <c r="C790" s="3" t="str">
        <f t="shared" si="26"/>
        <v>2022-07-06</v>
      </c>
      <c r="D790" s="3" t="s">
        <v>9</v>
      </c>
      <c r="E790" s="3" t="s">
        <v>5</v>
      </c>
      <c r="F790" s="3" t="s">
        <v>10</v>
      </c>
      <c r="G790" s="3" t="s">
        <v>1604</v>
      </c>
      <c r="H790" s="3" t="s">
        <v>1605</v>
      </c>
      <c r="I790" s="3">
        <v>999.49</v>
      </c>
      <c r="J790" s="3" t="s">
        <v>11</v>
      </c>
      <c r="K790">
        <f>MATCH(A790,Database!$A$2:$A$948,0)</f>
        <v>213</v>
      </c>
      <c r="L790">
        <f>VLOOKUP(A790,Database!$A$2:$I$948,4,0)</f>
        <v>999.49</v>
      </c>
      <c r="M790" t="b">
        <f t="shared" si="27"/>
        <v>1</v>
      </c>
      <c r="N790">
        <f>VLOOKUP(A790,Database!$A$2:$I$948,5,0)</f>
        <v>1</v>
      </c>
    </row>
    <row r="791" spans="1:14" hidden="1" x14ac:dyDescent="0.35">
      <c r="A791" s="3">
        <v>103407891</v>
      </c>
      <c r="B791" s="3" t="s">
        <v>1606</v>
      </c>
      <c r="C791" s="3" t="str">
        <f t="shared" si="26"/>
        <v>2022-07-06</v>
      </c>
      <c r="D791" s="3" t="s">
        <v>9</v>
      </c>
      <c r="E791" s="3" t="s">
        <v>5</v>
      </c>
      <c r="F791" s="3" t="s">
        <v>10</v>
      </c>
      <c r="G791" s="3" t="s">
        <v>1607</v>
      </c>
      <c r="H791" s="3" t="s">
        <v>1608</v>
      </c>
      <c r="I791" s="4">
        <v>4939.05</v>
      </c>
      <c r="J791" s="3" t="s">
        <v>11</v>
      </c>
      <c r="K791">
        <f>MATCH(A791,Database!$A$2:$A$948,0)</f>
        <v>186</v>
      </c>
      <c r="L791">
        <f>VLOOKUP(A791,Database!$A$2:$I$948,4,0)</f>
        <v>4939.05</v>
      </c>
      <c r="M791" t="b">
        <f t="shared" si="27"/>
        <v>1</v>
      </c>
      <c r="N791">
        <f>VLOOKUP(A791,Database!$A$2:$I$948,5,0)</f>
        <v>1</v>
      </c>
    </row>
    <row r="792" spans="1:14" hidden="1" x14ac:dyDescent="0.35">
      <c r="A792" s="3">
        <v>103407890</v>
      </c>
      <c r="B792" s="3" t="s">
        <v>1609</v>
      </c>
      <c r="C792" s="3" t="str">
        <f t="shared" si="26"/>
        <v>2022-07-06</v>
      </c>
      <c r="D792" s="3" t="s">
        <v>9</v>
      </c>
      <c r="E792" s="3" t="s">
        <v>5</v>
      </c>
      <c r="F792" s="3" t="s">
        <v>12</v>
      </c>
      <c r="G792" s="3" t="s">
        <v>1610</v>
      </c>
      <c r="H792" s="3" t="s">
        <v>1611</v>
      </c>
      <c r="I792" s="4">
        <v>2666.74</v>
      </c>
      <c r="J792" s="3" t="s">
        <v>11</v>
      </c>
      <c r="K792">
        <f>MATCH(A792,Database!$A$2:$A$948,0)</f>
        <v>185</v>
      </c>
      <c r="L792">
        <f>VLOOKUP(A792,Database!$A$2:$I$948,4,0)</f>
        <v>2666.74</v>
      </c>
      <c r="M792" t="b">
        <f t="shared" si="27"/>
        <v>1</v>
      </c>
      <c r="N792">
        <f>VLOOKUP(A792,Database!$A$2:$I$948,5,0)</f>
        <v>1</v>
      </c>
    </row>
    <row r="793" spans="1:14" hidden="1" x14ac:dyDescent="0.35">
      <c r="A793" s="3">
        <v>103407969</v>
      </c>
      <c r="B793" s="3" t="s">
        <v>1612</v>
      </c>
      <c r="C793" s="3" t="str">
        <f t="shared" si="26"/>
        <v>2022-07-06</v>
      </c>
      <c r="D793" s="3" t="s">
        <v>9</v>
      </c>
      <c r="E793" s="3" t="s">
        <v>5</v>
      </c>
      <c r="F793" s="3" t="s">
        <v>10</v>
      </c>
      <c r="G793" s="3" t="s">
        <v>1613</v>
      </c>
      <c r="H793" s="3" t="s">
        <v>1614</v>
      </c>
      <c r="I793" s="3">
        <v>389</v>
      </c>
      <c r="J793" s="3" t="s">
        <v>11</v>
      </c>
      <c r="K793">
        <f>MATCH(A793,Database!$A$2:$A$948,0)</f>
        <v>212</v>
      </c>
      <c r="L793">
        <f>VLOOKUP(A793,Database!$A$2:$I$948,4,0)</f>
        <v>389</v>
      </c>
      <c r="M793" t="b">
        <f t="shared" si="27"/>
        <v>1</v>
      </c>
      <c r="N793">
        <f>VLOOKUP(A793,Database!$A$2:$I$948,5,0)</f>
        <v>1</v>
      </c>
    </row>
    <row r="794" spans="1:14" hidden="1" x14ac:dyDescent="0.35">
      <c r="A794" s="3">
        <v>103407861</v>
      </c>
      <c r="B794" s="3" t="s">
        <v>1615</v>
      </c>
      <c r="C794" s="3" t="str">
        <f t="shared" si="26"/>
        <v>2022-07-06</v>
      </c>
      <c r="D794" s="3" t="s">
        <v>9</v>
      </c>
      <c r="E794" s="3" t="s">
        <v>5</v>
      </c>
      <c r="F794" s="3" t="s">
        <v>12</v>
      </c>
      <c r="G794" s="3" t="s">
        <v>1616</v>
      </c>
      <c r="H794" s="3" t="s">
        <v>1617</v>
      </c>
      <c r="I794" s="4">
        <v>4691.1000000000004</v>
      </c>
      <c r="J794" s="3" t="s">
        <v>11</v>
      </c>
      <c r="K794">
        <f>MATCH(A794,Database!$A$2:$A$948,0)</f>
        <v>181</v>
      </c>
      <c r="L794">
        <f>VLOOKUP(A794,Database!$A$2:$I$948,4,0)</f>
        <v>4691.1000000000004</v>
      </c>
      <c r="M794" t="b">
        <f t="shared" si="27"/>
        <v>1</v>
      </c>
      <c r="N794">
        <f>VLOOKUP(A794,Database!$A$2:$I$948,5,0)</f>
        <v>2</v>
      </c>
    </row>
    <row r="795" spans="1:14" hidden="1" x14ac:dyDescent="0.35">
      <c r="A795" s="3">
        <v>103407852</v>
      </c>
      <c r="B795" s="3" t="s">
        <v>1618</v>
      </c>
      <c r="C795" s="3" t="str">
        <f t="shared" si="26"/>
        <v>2022-07-06</v>
      </c>
      <c r="D795" s="3" t="s">
        <v>9</v>
      </c>
      <c r="E795" s="3" t="s">
        <v>5</v>
      </c>
      <c r="F795" s="3" t="s">
        <v>10</v>
      </c>
      <c r="G795" s="3" t="s">
        <v>1619</v>
      </c>
      <c r="H795" s="3" t="s">
        <v>1620</v>
      </c>
      <c r="I795" s="5">
        <v>3599</v>
      </c>
      <c r="J795" s="3" t="s">
        <v>11</v>
      </c>
      <c r="K795" t="e">
        <f>MATCH(A795,Database!$A$2:$A$948,0)</f>
        <v>#N/A</v>
      </c>
      <c r="L795" t="e">
        <f>VLOOKUP(A795,Database!$A$2:$I$948,4,0)</f>
        <v>#N/A</v>
      </c>
      <c r="M795" t="e">
        <f t="shared" si="27"/>
        <v>#N/A</v>
      </c>
      <c r="N795" t="e">
        <f>VLOOKUP(A795,Database!$A$2:$I$948,5,0)</f>
        <v>#N/A</v>
      </c>
    </row>
    <row r="796" spans="1:14" hidden="1" x14ac:dyDescent="0.35">
      <c r="A796" s="3">
        <v>103407849</v>
      </c>
      <c r="B796" s="3" t="s">
        <v>1621</v>
      </c>
      <c r="C796" s="3" t="str">
        <f t="shared" si="26"/>
        <v>2022-07-06</v>
      </c>
      <c r="D796" s="3" t="s">
        <v>9</v>
      </c>
      <c r="E796" s="3" t="s">
        <v>5</v>
      </c>
      <c r="F796" s="3" t="s">
        <v>10</v>
      </c>
      <c r="G796" s="3" t="s">
        <v>1622</v>
      </c>
      <c r="H796" s="3" t="s">
        <v>1623</v>
      </c>
      <c r="I796" s="3">
        <v>369.55</v>
      </c>
      <c r="J796" s="3" t="s">
        <v>11</v>
      </c>
      <c r="K796">
        <f>MATCH(A796,Database!$A$2:$A$948,0)</f>
        <v>180</v>
      </c>
      <c r="L796">
        <f>VLOOKUP(A796,Database!$A$2:$I$948,4,0)</f>
        <v>369.55</v>
      </c>
      <c r="M796" t="b">
        <f t="shared" si="27"/>
        <v>1</v>
      </c>
      <c r="N796">
        <f>VLOOKUP(A796,Database!$A$2:$I$948,5,0)</f>
        <v>1</v>
      </c>
    </row>
    <row r="797" spans="1:14" hidden="1" x14ac:dyDescent="0.35">
      <c r="A797" s="3">
        <v>103407848</v>
      </c>
      <c r="B797" s="3" t="s">
        <v>1624</v>
      </c>
      <c r="C797" s="3" t="str">
        <f t="shared" si="26"/>
        <v>2022-07-06</v>
      </c>
      <c r="D797" s="3" t="s">
        <v>9</v>
      </c>
      <c r="E797" s="3" t="s">
        <v>5</v>
      </c>
      <c r="F797" s="3" t="s">
        <v>10</v>
      </c>
      <c r="G797" s="3" t="s">
        <v>1625</v>
      </c>
      <c r="H797" s="3" t="s">
        <v>1626</v>
      </c>
      <c r="I797" s="4">
        <v>2469.0500000000002</v>
      </c>
      <c r="J797" s="3" t="s">
        <v>11</v>
      </c>
      <c r="K797">
        <f>MATCH(A797,Database!$A$2:$A$948,0)</f>
        <v>179</v>
      </c>
      <c r="L797">
        <f>VLOOKUP(A797,Database!$A$2:$I$948,4,0)</f>
        <v>2469.0500000000002</v>
      </c>
      <c r="M797" t="b">
        <f t="shared" si="27"/>
        <v>1</v>
      </c>
      <c r="N797">
        <f>VLOOKUP(A797,Database!$A$2:$I$948,5,0)</f>
        <v>1</v>
      </c>
    </row>
    <row r="798" spans="1:14" hidden="1" x14ac:dyDescent="0.35">
      <c r="A798" s="3">
        <v>103407846</v>
      </c>
      <c r="B798" s="3" t="s">
        <v>1627</v>
      </c>
      <c r="C798" s="3" t="str">
        <f t="shared" si="26"/>
        <v>2022-07-06</v>
      </c>
      <c r="D798" s="3" t="s">
        <v>9</v>
      </c>
      <c r="E798" s="3" t="s">
        <v>5</v>
      </c>
      <c r="F798" s="3" t="s">
        <v>10</v>
      </c>
      <c r="G798" s="3" t="s">
        <v>1628</v>
      </c>
      <c r="H798" s="3" t="s">
        <v>1629</v>
      </c>
      <c r="I798" s="4">
        <v>1424.05</v>
      </c>
      <c r="J798" s="3" t="s">
        <v>11</v>
      </c>
      <c r="K798">
        <f>MATCH(A798,Database!$A$2:$A$948,0)</f>
        <v>178</v>
      </c>
      <c r="L798">
        <f>VLOOKUP(A798,Database!$A$2:$I$948,4,0)</f>
        <v>1424.05</v>
      </c>
      <c r="M798" t="b">
        <f t="shared" si="27"/>
        <v>1</v>
      </c>
      <c r="N798">
        <f>VLOOKUP(A798,Database!$A$2:$I$948,5,0)</f>
        <v>1</v>
      </c>
    </row>
    <row r="799" spans="1:14" hidden="1" x14ac:dyDescent="0.35">
      <c r="A799" s="3">
        <v>103407843</v>
      </c>
      <c r="B799" s="3" t="s">
        <v>1630</v>
      </c>
      <c r="C799" s="3" t="str">
        <f t="shared" si="26"/>
        <v>2022-07-06</v>
      </c>
      <c r="D799" s="3" t="s">
        <v>9</v>
      </c>
      <c r="E799" s="3" t="s">
        <v>5</v>
      </c>
      <c r="F799" s="3" t="s">
        <v>10</v>
      </c>
      <c r="G799" s="3" t="s">
        <v>1631</v>
      </c>
      <c r="H799" s="3" t="s">
        <v>1632</v>
      </c>
      <c r="I799" s="5">
        <v>2919</v>
      </c>
      <c r="J799" s="3" t="s">
        <v>11</v>
      </c>
      <c r="K799">
        <f>MATCH(A799,Database!$A$2:$A$948,0)</f>
        <v>177</v>
      </c>
      <c r="L799">
        <f>VLOOKUP(A799,Database!$A$2:$I$948,4,0)</f>
        <v>2919</v>
      </c>
      <c r="M799" t="b">
        <f t="shared" si="27"/>
        <v>1</v>
      </c>
      <c r="N799">
        <f>VLOOKUP(A799,Database!$A$2:$I$948,5,0)</f>
        <v>1</v>
      </c>
    </row>
    <row r="800" spans="1:14" hidden="1" x14ac:dyDescent="0.35">
      <c r="A800" s="3">
        <v>103407841</v>
      </c>
      <c r="B800" s="3" t="s">
        <v>1633</v>
      </c>
      <c r="C800" s="3" t="str">
        <f t="shared" si="26"/>
        <v>2022-07-06</v>
      </c>
      <c r="D800" s="3" t="s">
        <v>9</v>
      </c>
      <c r="E800" s="3" t="s">
        <v>5</v>
      </c>
      <c r="F800" s="3" t="s">
        <v>10</v>
      </c>
      <c r="G800" s="3" t="s">
        <v>1634</v>
      </c>
      <c r="H800" s="3" t="s">
        <v>1635</v>
      </c>
      <c r="I800" s="5">
        <v>2249</v>
      </c>
      <c r="J800" s="3" t="s">
        <v>11</v>
      </c>
      <c r="K800" t="e">
        <f>MATCH(A800,Database!$A$2:$A$948,0)</f>
        <v>#N/A</v>
      </c>
      <c r="L800" t="e">
        <f>VLOOKUP(A800,Database!$A$2:$I$948,4,0)</f>
        <v>#N/A</v>
      </c>
      <c r="M800" t="e">
        <f t="shared" si="27"/>
        <v>#N/A</v>
      </c>
      <c r="N800" t="e">
        <f>VLOOKUP(A800,Database!$A$2:$I$948,5,0)</f>
        <v>#N/A</v>
      </c>
    </row>
    <row r="801" spans="1:14" hidden="1" x14ac:dyDescent="0.35">
      <c r="A801" s="3">
        <v>103407876</v>
      </c>
      <c r="B801" s="3" t="s">
        <v>1636</v>
      </c>
      <c r="C801" s="3" t="str">
        <f t="shared" si="26"/>
        <v>2022-07-06</v>
      </c>
      <c r="D801" s="3" t="s">
        <v>9</v>
      </c>
      <c r="E801" s="3" t="s">
        <v>5</v>
      </c>
      <c r="F801" s="3" t="s">
        <v>10</v>
      </c>
      <c r="G801" s="3" t="s">
        <v>1637</v>
      </c>
      <c r="H801" s="3" t="s">
        <v>1638</v>
      </c>
      <c r="I801" s="5">
        <v>5849</v>
      </c>
      <c r="J801" s="3" t="s">
        <v>11</v>
      </c>
      <c r="K801">
        <f>MATCH(A801,Database!$A$2:$A$948,0)</f>
        <v>184</v>
      </c>
      <c r="L801">
        <f>VLOOKUP(A801,Database!$A$2:$I$948,4,0)</f>
        <v>5849</v>
      </c>
      <c r="M801" t="b">
        <f t="shared" si="27"/>
        <v>1</v>
      </c>
      <c r="N801">
        <f>VLOOKUP(A801,Database!$A$2:$I$948,5,0)</f>
        <v>1</v>
      </c>
    </row>
    <row r="802" spans="1:14" hidden="1" x14ac:dyDescent="0.35">
      <c r="A802" s="3">
        <v>103407874</v>
      </c>
      <c r="B802" s="3" t="s">
        <v>1639</v>
      </c>
      <c r="C802" s="3" t="str">
        <f t="shared" si="26"/>
        <v>2022-07-06</v>
      </c>
      <c r="D802" s="3" t="s">
        <v>9</v>
      </c>
      <c r="E802" s="3" t="s">
        <v>5</v>
      </c>
      <c r="F802" s="3" t="s">
        <v>10</v>
      </c>
      <c r="G802" s="3" t="s">
        <v>1640</v>
      </c>
      <c r="H802" s="3" t="s">
        <v>1641</v>
      </c>
      <c r="I802" s="5">
        <v>2249</v>
      </c>
      <c r="J802" s="3" t="s">
        <v>11</v>
      </c>
      <c r="K802">
        <f>MATCH(A802,Database!$A$2:$A$948,0)</f>
        <v>183</v>
      </c>
      <c r="L802">
        <f>VLOOKUP(A802,Database!$A$2:$I$948,4,0)</f>
        <v>2249</v>
      </c>
      <c r="M802" t="b">
        <f t="shared" si="27"/>
        <v>1</v>
      </c>
      <c r="N802">
        <f>VLOOKUP(A802,Database!$A$2:$I$948,5,0)</f>
        <v>1</v>
      </c>
    </row>
    <row r="803" spans="1:14" hidden="1" x14ac:dyDescent="0.35">
      <c r="A803" s="3">
        <v>103407836</v>
      </c>
      <c r="B803" s="3" t="s">
        <v>1642</v>
      </c>
      <c r="C803" s="3" t="str">
        <f t="shared" si="26"/>
        <v>2022-07-06</v>
      </c>
      <c r="D803" s="3" t="s">
        <v>9</v>
      </c>
      <c r="E803" s="3" t="s">
        <v>5</v>
      </c>
      <c r="F803" s="3" t="s">
        <v>10</v>
      </c>
      <c r="G803" s="3" t="s">
        <v>1643</v>
      </c>
      <c r="H803" s="3" t="s">
        <v>1644</v>
      </c>
      <c r="I803" s="4">
        <v>3989.05</v>
      </c>
      <c r="J803" s="3" t="s">
        <v>11</v>
      </c>
      <c r="K803">
        <f>MATCH(A803,Database!$A$2:$A$948,0)</f>
        <v>176</v>
      </c>
      <c r="L803">
        <f>VLOOKUP(A803,Database!$A$2:$I$948,4,0)</f>
        <v>3989.05</v>
      </c>
      <c r="M803" t="b">
        <f t="shared" si="27"/>
        <v>1</v>
      </c>
      <c r="N803">
        <f>VLOOKUP(A803,Database!$A$2:$I$948,5,0)</f>
        <v>1</v>
      </c>
    </row>
    <row r="804" spans="1:14" hidden="1" x14ac:dyDescent="0.35">
      <c r="A804" s="3">
        <v>103407832</v>
      </c>
      <c r="B804" s="3" t="s">
        <v>1645</v>
      </c>
      <c r="C804" s="3" t="str">
        <f t="shared" si="26"/>
        <v>2022-07-06</v>
      </c>
      <c r="D804" s="3" t="s">
        <v>9</v>
      </c>
      <c r="E804" s="3" t="s">
        <v>5</v>
      </c>
      <c r="F804" s="3" t="s">
        <v>10</v>
      </c>
      <c r="G804" s="3" t="s">
        <v>1646</v>
      </c>
      <c r="H804" s="3" t="s">
        <v>1647</v>
      </c>
      <c r="I804" s="4">
        <v>3040.52</v>
      </c>
      <c r="J804" s="3" t="s">
        <v>11</v>
      </c>
      <c r="K804">
        <f>MATCH(A804,Database!$A$2:$A$948,0)</f>
        <v>175</v>
      </c>
      <c r="L804">
        <f>VLOOKUP(A804,Database!$A$2:$I$948,4,0)</f>
        <v>3040.52</v>
      </c>
      <c r="M804" t="b">
        <f t="shared" si="27"/>
        <v>1</v>
      </c>
      <c r="N804">
        <f>VLOOKUP(A804,Database!$A$2:$I$948,5,0)</f>
        <v>1</v>
      </c>
    </row>
    <row r="805" spans="1:14" hidden="1" x14ac:dyDescent="0.35">
      <c r="A805" s="3">
        <v>103407829</v>
      </c>
      <c r="B805" s="3" t="s">
        <v>1648</v>
      </c>
      <c r="C805" s="3" t="str">
        <f t="shared" si="26"/>
        <v>2022-07-06</v>
      </c>
      <c r="D805" s="3" t="s">
        <v>9</v>
      </c>
      <c r="E805" s="3" t="s">
        <v>5</v>
      </c>
      <c r="F805" s="3" t="s">
        <v>10</v>
      </c>
      <c r="G805" s="3" t="s">
        <v>1649</v>
      </c>
      <c r="H805" s="3" t="s">
        <v>1650</v>
      </c>
      <c r="I805" s="3">
        <v>359</v>
      </c>
      <c r="J805" s="3" t="s">
        <v>11</v>
      </c>
      <c r="K805">
        <f>MATCH(A805,Database!$A$2:$A$948,0)</f>
        <v>174</v>
      </c>
      <c r="L805">
        <f>VLOOKUP(A805,Database!$A$2:$I$948,4,0)</f>
        <v>359</v>
      </c>
      <c r="M805" t="b">
        <f t="shared" si="27"/>
        <v>1</v>
      </c>
      <c r="N805">
        <f>VLOOKUP(A805,Database!$A$2:$I$948,5,0)</f>
        <v>1</v>
      </c>
    </row>
    <row r="806" spans="1:14" hidden="1" x14ac:dyDescent="0.35">
      <c r="A806" s="3">
        <v>103407828</v>
      </c>
      <c r="B806" s="3" t="s">
        <v>1651</v>
      </c>
      <c r="C806" s="3" t="str">
        <f t="shared" si="26"/>
        <v>2022-07-06</v>
      </c>
      <c r="D806" s="3" t="s">
        <v>9</v>
      </c>
      <c r="E806" s="3" t="s">
        <v>5</v>
      </c>
      <c r="F806" s="3" t="s">
        <v>10</v>
      </c>
      <c r="G806" s="3" t="s">
        <v>1652</v>
      </c>
      <c r="H806" s="3" t="s">
        <v>1653</v>
      </c>
      <c r="I806" s="4">
        <v>5129.05</v>
      </c>
      <c r="J806" s="3" t="s">
        <v>11</v>
      </c>
      <c r="K806">
        <f>MATCH(A806,Database!$A$2:$A$948,0)</f>
        <v>173</v>
      </c>
      <c r="L806">
        <f>VLOOKUP(A806,Database!$A$2:$I$948,4,0)</f>
        <v>5129.05</v>
      </c>
      <c r="M806" t="b">
        <f t="shared" si="27"/>
        <v>1</v>
      </c>
      <c r="N806">
        <f>VLOOKUP(A806,Database!$A$2:$I$948,5,0)</f>
        <v>1</v>
      </c>
    </row>
    <row r="807" spans="1:14" hidden="1" x14ac:dyDescent="0.35">
      <c r="A807" s="3">
        <v>103407867</v>
      </c>
      <c r="B807" s="3" t="s">
        <v>1654</v>
      </c>
      <c r="C807" s="3" t="str">
        <f t="shared" si="26"/>
        <v>2022-07-06</v>
      </c>
      <c r="D807" s="3" t="s">
        <v>9</v>
      </c>
      <c r="E807" s="3" t="s">
        <v>5</v>
      </c>
      <c r="F807" s="3" t="s">
        <v>10</v>
      </c>
      <c r="G807" s="3" t="s">
        <v>1655</v>
      </c>
      <c r="H807" s="3" t="s">
        <v>1656</v>
      </c>
      <c r="I807" s="4">
        <v>1578.47</v>
      </c>
      <c r="J807" s="3" t="s">
        <v>11</v>
      </c>
      <c r="K807">
        <f>MATCH(A807,Database!$A$2:$A$948,0)</f>
        <v>182</v>
      </c>
      <c r="L807">
        <f>VLOOKUP(A807,Database!$A$2:$I$948,4,0)</f>
        <v>1578.47</v>
      </c>
      <c r="M807" t="b">
        <f t="shared" si="27"/>
        <v>1</v>
      </c>
      <c r="N807">
        <f>VLOOKUP(A807,Database!$A$2:$I$948,5,0)</f>
        <v>1</v>
      </c>
    </row>
    <row r="808" spans="1:14" hidden="1" x14ac:dyDescent="0.35">
      <c r="A808" s="3">
        <v>103407823</v>
      </c>
      <c r="B808" s="3" t="s">
        <v>1657</v>
      </c>
      <c r="C808" s="3" t="str">
        <f t="shared" si="26"/>
        <v>2022-07-06</v>
      </c>
      <c r="D808" s="3" t="s">
        <v>9</v>
      </c>
      <c r="E808" s="3" t="s">
        <v>5</v>
      </c>
      <c r="F808" s="3" t="s">
        <v>10</v>
      </c>
      <c r="G808" s="3" t="s">
        <v>1658</v>
      </c>
      <c r="H808" s="3" t="s">
        <v>1659</v>
      </c>
      <c r="I808" s="3">
        <v>350.55</v>
      </c>
      <c r="J808" s="3" t="s">
        <v>11</v>
      </c>
      <c r="K808">
        <f>MATCH(A808,Database!$A$2:$A$948,0)</f>
        <v>172</v>
      </c>
      <c r="L808">
        <f>VLOOKUP(A808,Database!$A$2:$I$948,4,0)</f>
        <v>350.55</v>
      </c>
      <c r="M808" t="b">
        <f t="shared" si="27"/>
        <v>1</v>
      </c>
      <c r="N808">
        <f>VLOOKUP(A808,Database!$A$2:$I$948,5,0)</f>
        <v>1</v>
      </c>
    </row>
    <row r="809" spans="1:14" hidden="1" x14ac:dyDescent="0.35">
      <c r="A809" s="3">
        <v>103407760</v>
      </c>
      <c r="B809" s="3" t="s">
        <v>1660</v>
      </c>
      <c r="C809" s="3" t="str">
        <f t="shared" si="26"/>
        <v>2022-07-06</v>
      </c>
      <c r="D809" s="3" t="s">
        <v>9</v>
      </c>
      <c r="E809" s="3" t="s">
        <v>5</v>
      </c>
      <c r="F809" s="3" t="s">
        <v>10</v>
      </c>
      <c r="G809" s="3" t="s">
        <v>998</v>
      </c>
      <c r="H809" s="3" t="s">
        <v>999</v>
      </c>
      <c r="I809" s="5">
        <v>5048</v>
      </c>
      <c r="J809" s="3" t="s">
        <v>11</v>
      </c>
      <c r="K809">
        <f>MATCH(A809,Database!$A$2:$A$948,0)</f>
        <v>157</v>
      </c>
      <c r="L809">
        <f>VLOOKUP(A809,Database!$A$2:$I$948,4,0)</f>
        <v>5048</v>
      </c>
      <c r="M809" t="b">
        <f t="shared" si="27"/>
        <v>1</v>
      </c>
      <c r="N809">
        <f>VLOOKUP(A809,Database!$A$2:$I$948,5,0)</f>
        <v>2</v>
      </c>
    </row>
    <row r="810" spans="1:14" hidden="1" x14ac:dyDescent="0.35">
      <c r="A810" s="3">
        <v>103407817</v>
      </c>
      <c r="B810" s="3" t="s">
        <v>1661</v>
      </c>
      <c r="C810" s="3" t="str">
        <f t="shared" si="26"/>
        <v>2022-07-06</v>
      </c>
      <c r="D810" s="3" t="s">
        <v>9</v>
      </c>
      <c r="E810" s="3" t="s">
        <v>5</v>
      </c>
      <c r="F810" s="3" t="s">
        <v>10</v>
      </c>
      <c r="G810" s="3" t="s">
        <v>1649</v>
      </c>
      <c r="H810" s="3" t="s">
        <v>1650</v>
      </c>
      <c r="I810" s="3">
        <v>758</v>
      </c>
      <c r="J810" s="3" t="s">
        <v>11</v>
      </c>
      <c r="K810">
        <f>MATCH(A810,Database!$A$2:$A$948,0)</f>
        <v>171</v>
      </c>
      <c r="L810">
        <f>VLOOKUP(A810,Database!$A$2:$I$948,4,0)</f>
        <v>758</v>
      </c>
      <c r="M810" t="b">
        <f t="shared" si="27"/>
        <v>1</v>
      </c>
      <c r="N810">
        <f>VLOOKUP(A810,Database!$A$2:$I$948,5,0)</f>
        <v>2</v>
      </c>
    </row>
    <row r="811" spans="1:14" hidden="1" x14ac:dyDescent="0.35">
      <c r="A811" s="3">
        <v>103407752</v>
      </c>
      <c r="B811" s="3" t="s">
        <v>1662</v>
      </c>
      <c r="C811" s="3" t="str">
        <f t="shared" si="26"/>
        <v>2022-07-06</v>
      </c>
      <c r="D811" s="3" t="s">
        <v>9</v>
      </c>
      <c r="E811" s="3" t="s">
        <v>5</v>
      </c>
      <c r="F811" s="3" t="s">
        <v>10</v>
      </c>
      <c r="G811" s="3" t="s">
        <v>1663</v>
      </c>
      <c r="H811" s="3" t="s">
        <v>1664</v>
      </c>
      <c r="I811" s="4">
        <v>5129.05</v>
      </c>
      <c r="J811" s="3" t="s">
        <v>11</v>
      </c>
      <c r="K811">
        <f>MATCH(A811,Database!$A$2:$A$948,0)</f>
        <v>156</v>
      </c>
      <c r="L811">
        <f>VLOOKUP(A811,Database!$A$2:$I$948,4,0)</f>
        <v>5129.05</v>
      </c>
      <c r="M811" t="b">
        <f t="shared" si="27"/>
        <v>1</v>
      </c>
      <c r="N811">
        <f>VLOOKUP(A811,Database!$A$2:$I$948,5,0)</f>
        <v>1</v>
      </c>
    </row>
    <row r="812" spans="1:14" hidden="1" x14ac:dyDescent="0.35">
      <c r="A812" s="3">
        <v>103407805</v>
      </c>
      <c r="B812" s="3" t="s">
        <v>1665</v>
      </c>
      <c r="C812" s="3" t="str">
        <f t="shared" si="26"/>
        <v>2022-07-06</v>
      </c>
      <c r="D812" s="3" t="s">
        <v>9</v>
      </c>
      <c r="E812" s="3" t="s">
        <v>5</v>
      </c>
      <c r="F812" s="3" t="s">
        <v>10</v>
      </c>
      <c r="G812" s="3" t="s">
        <v>1666</v>
      </c>
      <c r="H812" s="3" t="s">
        <v>1667</v>
      </c>
      <c r="I812" s="3">
        <v>369</v>
      </c>
      <c r="J812" s="3" t="s">
        <v>11</v>
      </c>
      <c r="K812">
        <f>MATCH(A812,Database!$A$2:$A$948,0)</f>
        <v>170</v>
      </c>
      <c r="L812">
        <f>VLOOKUP(A812,Database!$A$2:$I$948,4,0)</f>
        <v>369</v>
      </c>
      <c r="M812" t="b">
        <f t="shared" si="27"/>
        <v>1</v>
      </c>
      <c r="N812">
        <f>VLOOKUP(A812,Database!$A$2:$I$948,5,0)</f>
        <v>1</v>
      </c>
    </row>
    <row r="813" spans="1:14" hidden="1" x14ac:dyDescent="0.35">
      <c r="A813" s="3">
        <v>103407747</v>
      </c>
      <c r="B813" s="3" t="s">
        <v>1668</v>
      </c>
      <c r="C813" s="3" t="str">
        <f t="shared" si="26"/>
        <v>2022-07-06</v>
      </c>
      <c r="D813" s="3" t="s">
        <v>9</v>
      </c>
      <c r="E813" s="3" t="s">
        <v>5</v>
      </c>
      <c r="F813" s="3" t="s">
        <v>10</v>
      </c>
      <c r="G813" s="3" t="s">
        <v>1669</v>
      </c>
      <c r="H813" s="3" t="s">
        <v>1670</v>
      </c>
      <c r="I813" s="4">
        <v>3889.39</v>
      </c>
      <c r="J813" s="3" t="s">
        <v>11</v>
      </c>
      <c r="K813">
        <f>MATCH(A813,Database!$A$2:$A$948,0)</f>
        <v>155</v>
      </c>
      <c r="L813">
        <f>VLOOKUP(A813,Database!$A$2:$I$948,4,0)</f>
        <v>3889.39</v>
      </c>
      <c r="M813" t="b">
        <f t="shared" si="27"/>
        <v>1</v>
      </c>
      <c r="N813">
        <f>VLOOKUP(A813,Database!$A$2:$I$948,5,0)</f>
        <v>1</v>
      </c>
    </row>
    <row r="814" spans="1:14" hidden="1" x14ac:dyDescent="0.35">
      <c r="A814" s="3">
        <v>103407803</v>
      </c>
      <c r="B814" s="3" t="s">
        <v>1671</v>
      </c>
      <c r="C814" s="3" t="str">
        <f t="shared" si="26"/>
        <v>2022-07-06</v>
      </c>
      <c r="D814" s="3" t="s">
        <v>9</v>
      </c>
      <c r="E814" s="3" t="s">
        <v>5</v>
      </c>
      <c r="F814" s="3" t="s">
        <v>10</v>
      </c>
      <c r="G814" s="3" t="s">
        <v>1672</v>
      </c>
      <c r="H814" s="3" t="s">
        <v>1673</v>
      </c>
      <c r="I814" s="4">
        <v>1281.55</v>
      </c>
      <c r="J814" s="3" t="s">
        <v>11</v>
      </c>
      <c r="K814">
        <f>MATCH(A814,Database!$A$2:$A$948,0)</f>
        <v>169</v>
      </c>
      <c r="L814">
        <f>VLOOKUP(A814,Database!$A$2:$I$948,4,0)</f>
        <v>1281.55</v>
      </c>
      <c r="M814" t="b">
        <f t="shared" si="27"/>
        <v>1</v>
      </c>
      <c r="N814">
        <f>VLOOKUP(A814,Database!$A$2:$I$948,5,0)</f>
        <v>1</v>
      </c>
    </row>
    <row r="815" spans="1:14" hidden="1" x14ac:dyDescent="0.35">
      <c r="A815" s="3">
        <v>103407746</v>
      </c>
      <c r="B815" s="3" t="s">
        <v>1674</v>
      </c>
      <c r="C815" s="3" t="str">
        <f t="shared" si="26"/>
        <v>2022-07-06</v>
      </c>
      <c r="D815" s="3" t="s">
        <v>9</v>
      </c>
      <c r="E815" s="3" t="s">
        <v>5</v>
      </c>
      <c r="F815" s="3" t="s">
        <v>10</v>
      </c>
      <c r="G815" s="3" t="s">
        <v>1675</v>
      </c>
      <c r="H815" s="3" t="s">
        <v>1676</v>
      </c>
      <c r="I815" s="4">
        <v>2611.5500000000002</v>
      </c>
      <c r="J815" s="3" t="s">
        <v>11</v>
      </c>
      <c r="K815">
        <f>MATCH(A815,Database!$A$2:$A$948,0)</f>
        <v>154</v>
      </c>
      <c r="L815">
        <f>VLOOKUP(A815,Database!$A$2:$I$948,4,0)</f>
        <v>2611.5500000000002</v>
      </c>
      <c r="M815" t="b">
        <f t="shared" si="27"/>
        <v>1</v>
      </c>
      <c r="N815">
        <f>VLOOKUP(A815,Database!$A$2:$I$948,5,0)</f>
        <v>1</v>
      </c>
    </row>
    <row r="816" spans="1:14" hidden="1" x14ac:dyDescent="0.35">
      <c r="A816" s="3">
        <v>103407802</v>
      </c>
      <c r="B816" s="3" t="s">
        <v>1677</v>
      </c>
      <c r="C816" s="3" t="str">
        <f t="shared" si="26"/>
        <v>2022-07-06</v>
      </c>
      <c r="D816" s="3" t="s">
        <v>9</v>
      </c>
      <c r="E816" s="3" t="s">
        <v>5</v>
      </c>
      <c r="F816" s="3" t="s">
        <v>10</v>
      </c>
      <c r="G816" s="3" t="s">
        <v>1678</v>
      </c>
      <c r="H816" s="3" t="s">
        <v>1679</v>
      </c>
      <c r="I816" s="5">
        <v>4499</v>
      </c>
      <c r="J816" s="3" t="s">
        <v>11</v>
      </c>
      <c r="K816">
        <f>MATCH(A816,Database!$A$2:$A$948,0)</f>
        <v>168</v>
      </c>
      <c r="L816">
        <f>VLOOKUP(A816,Database!$A$2:$I$948,4,0)</f>
        <v>4499</v>
      </c>
      <c r="M816" t="b">
        <f t="shared" si="27"/>
        <v>1</v>
      </c>
      <c r="N816">
        <f>VLOOKUP(A816,Database!$A$2:$I$948,5,0)</f>
        <v>1</v>
      </c>
    </row>
    <row r="817" spans="1:14" hidden="1" x14ac:dyDescent="0.35">
      <c r="A817" s="3">
        <v>103407743</v>
      </c>
      <c r="B817" s="3" t="s">
        <v>1680</v>
      </c>
      <c r="C817" s="3" t="str">
        <f t="shared" si="26"/>
        <v>2022-07-06</v>
      </c>
      <c r="D817" s="3" t="s">
        <v>9</v>
      </c>
      <c r="E817" s="3" t="s">
        <v>5</v>
      </c>
      <c r="F817" s="3" t="s">
        <v>10</v>
      </c>
      <c r="G817" s="3" t="s">
        <v>1681</v>
      </c>
      <c r="H817" s="3" t="s">
        <v>1682</v>
      </c>
      <c r="I817" s="4">
        <v>3375.54</v>
      </c>
      <c r="J817" s="3" t="s">
        <v>11</v>
      </c>
      <c r="K817">
        <f>MATCH(A817,Database!$A$2:$A$948,0)</f>
        <v>153</v>
      </c>
      <c r="L817">
        <f>VLOOKUP(A817,Database!$A$2:$I$948,4,0)</f>
        <v>3375.54</v>
      </c>
      <c r="M817" t="b">
        <f t="shared" si="27"/>
        <v>1</v>
      </c>
      <c r="N817">
        <f>VLOOKUP(A817,Database!$A$2:$I$948,5,0)</f>
        <v>2</v>
      </c>
    </row>
    <row r="818" spans="1:14" hidden="1" x14ac:dyDescent="0.35">
      <c r="A818" s="3">
        <v>103407799</v>
      </c>
      <c r="B818" s="3" t="s">
        <v>1683</v>
      </c>
      <c r="C818" s="3" t="str">
        <f t="shared" si="26"/>
        <v>2022-07-06</v>
      </c>
      <c r="D818" s="3" t="s">
        <v>9</v>
      </c>
      <c r="E818" s="3" t="s">
        <v>5</v>
      </c>
      <c r="F818" s="3" t="s">
        <v>10</v>
      </c>
      <c r="G818" s="3" t="s">
        <v>1684</v>
      </c>
      <c r="H818" s="3" t="s">
        <v>1685</v>
      </c>
      <c r="I818" s="4">
        <v>3846.64</v>
      </c>
      <c r="J818" s="3" t="s">
        <v>11</v>
      </c>
      <c r="K818">
        <f>MATCH(A818,Database!$A$2:$A$948,0)</f>
        <v>167</v>
      </c>
      <c r="L818">
        <f>VLOOKUP(A818,Database!$A$2:$I$948,4,0)</f>
        <v>3846.64</v>
      </c>
      <c r="M818" t="b">
        <f t="shared" si="27"/>
        <v>1</v>
      </c>
      <c r="N818">
        <f>VLOOKUP(A818,Database!$A$2:$I$948,5,0)</f>
        <v>1</v>
      </c>
    </row>
    <row r="819" spans="1:14" hidden="1" x14ac:dyDescent="0.35">
      <c r="A819" s="3">
        <v>103407798</v>
      </c>
      <c r="B819" s="3" t="s">
        <v>1686</v>
      </c>
      <c r="C819" s="3" t="str">
        <f t="shared" si="26"/>
        <v>2022-07-06</v>
      </c>
      <c r="D819" s="3" t="s">
        <v>9</v>
      </c>
      <c r="E819" s="3" t="s">
        <v>5</v>
      </c>
      <c r="F819" s="3" t="s">
        <v>10</v>
      </c>
      <c r="G819" s="3" t="s">
        <v>1687</v>
      </c>
      <c r="H819" s="3" t="s">
        <v>1688</v>
      </c>
      <c r="I819" s="4">
        <v>1994.05</v>
      </c>
      <c r="J819" s="3" t="s">
        <v>11</v>
      </c>
      <c r="K819">
        <f>MATCH(A819,Database!$A$2:$A$948,0)</f>
        <v>166</v>
      </c>
      <c r="L819">
        <f>VLOOKUP(A819,Database!$A$2:$I$948,4,0)</f>
        <v>1994.05</v>
      </c>
      <c r="M819" t="b">
        <f t="shared" si="27"/>
        <v>1</v>
      </c>
      <c r="N819">
        <f>VLOOKUP(A819,Database!$A$2:$I$948,5,0)</f>
        <v>1</v>
      </c>
    </row>
    <row r="820" spans="1:14" hidden="1" x14ac:dyDescent="0.35">
      <c r="A820" s="3">
        <v>103407797</v>
      </c>
      <c r="B820" s="3" t="s">
        <v>1689</v>
      </c>
      <c r="C820" s="3" t="str">
        <f t="shared" si="26"/>
        <v>2022-07-06</v>
      </c>
      <c r="D820" s="3" t="s">
        <v>9</v>
      </c>
      <c r="E820" s="3" t="s">
        <v>5</v>
      </c>
      <c r="F820" s="3" t="s">
        <v>10</v>
      </c>
      <c r="G820" s="3" t="s">
        <v>1690</v>
      </c>
      <c r="H820" s="3" t="s">
        <v>1691</v>
      </c>
      <c r="I820" s="4">
        <v>1129.55</v>
      </c>
      <c r="J820" s="3" t="s">
        <v>11</v>
      </c>
      <c r="K820">
        <f>MATCH(A820,Database!$A$2:$A$948,0)</f>
        <v>165</v>
      </c>
      <c r="L820">
        <f>VLOOKUP(A820,Database!$A$2:$I$948,4,0)</f>
        <v>1129.55</v>
      </c>
      <c r="M820" t="b">
        <f t="shared" si="27"/>
        <v>1</v>
      </c>
      <c r="N820">
        <f>VLOOKUP(A820,Database!$A$2:$I$948,5,0)</f>
        <v>1</v>
      </c>
    </row>
    <row r="821" spans="1:14" hidden="1" x14ac:dyDescent="0.35">
      <c r="A821" s="3">
        <v>103407742</v>
      </c>
      <c r="B821" s="3" t="s">
        <v>1692</v>
      </c>
      <c r="C821" s="3" t="str">
        <f t="shared" si="26"/>
        <v>2022-07-06</v>
      </c>
      <c r="D821" s="3" t="s">
        <v>9</v>
      </c>
      <c r="E821" s="3" t="s">
        <v>5</v>
      </c>
      <c r="F821" s="3" t="s">
        <v>10</v>
      </c>
      <c r="G821" s="3" t="s">
        <v>1693</v>
      </c>
      <c r="H821" s="3" t="s">
        <v>1694</v>
      </c>
      <c r="I821" s="5">
        <v>2309</v>
      </c>
      <c r="J821" s="3" t="s">
        <v>11</v>
      </c>
      <c r="K821">
        <f>MATCH(A821,Database!$A$2:$A$948,0)</f>
        <v>152</v>
      </c>
      <c r="L821">
        <f>VLOOKUP(A821,Database!$A$2:$I$948,4,0)</f>
        <v>2309</v>
      </c>
      <c r="M821" t="b">
        <f t="shared" si="27"/>
        <v>1</v>
      </c>
      <c r="N821">
        <f>VLOOKUP(A821,Database!$A$2:$I$948,5,0)</f>
        <v>1</v>
      </c>
    </row>
    <row r="822" spans="1:14" hidden="1" x14ac:dyDescent="0.35">
      <c r="A822" s="3">
        <v>103407738</v>
      </c>
      <c r="B822" s="3" t="s">
        <v>1695</v>
      </c>
      <c r="C822" s="3" t="str">
        <f t="shared" si="26"/>
        <v>2022-07-06</v>
      </c>
      <c r="D822" s="3" t="s">
        <v>9</v>
      </c>
      <c r="E822" s="3" t="s">
        <v>5</v>
      </c>
      <c r="F822" s="3" t="s">
        <v>12</v>
      </c>
      <c r="G822" s="3" t="s">
        <v>1696</v>
      </c>
      <c r="H822" s="3" t="s">
        <v>1697</v>
      </c>
      <c r="I822" s="3">
        <v>999</v>
      </c>
      <c r="J822" s="3" t="s">
        <v>11</v>
      </c>
      <c r="K822" t="e">
        <f>MATCH(A822,Database!$A$2:$A$948,0)</f>
        <v>#N/A</v>
      </c>
      <c r="L822" t="e">
        <f>VLOOKUP(A822,Database!$A$2:$I$948,4,0)</f>
        <v>#N/A</v>
      </c>
      <c r="M822" t="e">
        <f t="shared" si="27"/>
        <v>#N/A</v>
      </c>
      <c r="N822" t="e">
        <f>VLOOKUP(A822,Database!$A$2:$I$948,5,0)</f>
        <v>#N/A</v>
      </c>
    </row>
    <row r="823" spans="1:14" hidden="1" x14ac:dyDescent="0.35">
      <c r="A823" s="3">
        <v>103407796</v>
      </c>
      <c r="B823" s="3" t="s">
        <v>1698</v>
      </c>
      <c r="C823" s="3" t="str">
        <f t="shared" si="26"/>
        <v>2022-07-06</v>
      </c>
      <c r="D823" s="3" t="s">
        <v>9</v>
      </c>
      <c r="E823" s="3" t="s">
        <v>5</v>
      </c>
      <c r="F823" s="3" t="s">
        <v>10</v>
      </c>
      <c r="G823" s="3" t="s">
        <v>1699</v>
      </c>
      <c r="H823" s="3" t="s">
        <v>1700</v>
      </c>
      <c r="I823" s="4">
        <v>1878.3</v>
      </c>
      <c r="J823" s="3" t="s">
        <v>11</v>
      </c>
      <c r="K823" t="e">
        <f>MATCH(A823,Database!$A$2:$A$948,0)</f>
        <v>#N/A</v>
      </c>
      <c r="L823" t="e">
        <f>VLOOKUP(A823,Database!$A$2:$I$948,4,0)</f>
        <v>#N/A</v>
      </c>
      <c r="M823" t="e">
        <f t="shared" si="27"/>
        <v>#N/A</v>
      </c>
      <c r="N823" t="e">
        <f>VLOOKUP(A823,Database!$A$2:$I$948,5,0)</f>
        <v>#N/A</v>
      </c>
    </row>
    <row r="824" spans="1:14" hidden="1" x14ac:dyDescent="0.35">
      <c r="A824" s="3">
        <v>103407735</v>
      </c>
      <c r="B824" s="3" t="s">
        <v>1701</v>
      </c>
      <c r="C824" s="3" t="str">
        <f t="shared" si="26"/>
        <v>2022-07-06</v>
      </c>
      <c r="D824" s="3" t="s">
        <v>9</v>
      </c>
      <c r="E824" s="3" t="s">
        <v>5</v>
      </c>
      <c r="F824" s="3" t="s">
        <v>10</v>
      </c>
      <c r="G824" s="3" t="s">
        <v>1702</v>
      </c>
      <c r="H824" s="3" t="s">
        <v>1703</v>
      </c>
      <c r="I824" s="4">
        <v>1758.97</v>
      </c>
      <c r="J824" s="3" t="s">
        <v>11</v>
      </c>
      <c r="K824">
        <f>MATCH(A824,Database!$A$2:$A$948,0)</f>
        <v>151</v>
      </c>
      <c r="L824">
        <f>VLOOKUP(A824,Database!$A$2:$I$948,4,0)</f>
        <v>1758.97</v>
      </c>
      <c r="M824" t="b">
        <f t="shared" si="27"/>
        <v>1</v>
      </c>
      <c r="N824">
        <f>VLOOKUP(A824,Database!$A$2:$I$948,5,0)</f>
        <v>1</v>
      </c>
    </row>
    <row r="825" spans="1:14" hidden="1" x14ac:dyDescent="0.35">
      <c r="A825" s="3">
        <v>103407790</v>
      </c>
      <c r="B825" s="3" t="s">
        <v>4777</v>
      </c>
      <c r="C825" s="3" t="str">
        <f t="shared" si="26"/>
        <v>2022-07-06</v>
      </c>
      <c r="D825" s="3" t="s">
        <v>9</v>
      </c>
      <c r="E825" s="3" t="s">
        <v>5</v>
      </c>
      <c r="F825" s="3" t="s">
        <v>10</v>
      </c>
      <c r="G825" s="3" t="s">
        <v>4778</v>
      </c>
      <c r="H825" s="3" t="s">
        <v>4779</v>
      </c>
      <c r="I825" s="3">
        <v>580.54</v>
      </c>
      <c r="J825" s="3" t="s">
        <v>13</v>
      </c>
      <c r="K825">
        <f>MATCH(A825,Database!$A$2:$A$948,0)</f>
        <v>164</v>
      </c>
      <c r="L825">
        <f>VLOOKUP(A825,Database!$A$2:$I$948,4,0)</f>
        <v>580.54</v>
      </c>
      <c r="M825" t="b">
        <f t="shared" si="27"/>
        <v>1</v>
      </c>
      <c r="N825">
        <f>VLOOKUP(A825,Database!$A$2:$I$948,5,0)</f>
        <v>1</v>
      </c>
    </row>
    <row r="826" spans="1:14" hidden="1" x14ac:dyDescent="0.35">
      <c r="A826" s="3">
        <v>103407786</v>
      </c>
      <c r="B826" s="3" t="s">
        <v>1704</v>
      </c>
      <c r="C826" s="3" t="str">
        <f t="shared" si="26"/>
        <v>2022-07-06</v>
      </c>
      <c r="D826" s="3" t="s">
        <v>9</v>
      </c>
      <c r="E826" s="3" t="s">
        <v>5</v>
      </c>
      <c r="F826" s="3" t="s">
        <v>10</v>
      </c>
      <c r="G826" s="3" t="s">
        <v>1705</v>
      </c>
      <c r="H826" s="3" t="s">
        <v>1706</v>
      </c>
      <c r="I826" s="5">
        <v>1349</v>
      </c>
      <c r="J826" s="3" t="s">
        <v>11</v>
      </c>
      <c r="K826">
        <f>MATCH(A826,Database!$A$2:$A$948,0)</f>
        <v>163</v>
      </c>
      <c r="L826">
        <f>VLOOKUP(A826,Database!$A$2:$I$948,4,0)</f>
        <v>1349</v>
      </c>
      <c r="M826" t="b">
        <f t="shared" si="27"/>
        <v>1</v>
      </c>
      <c r="N826">
        <f>VLOOKUP(A826,Database!$A$2:$I$948,5,0)</f>
        <v>1</v>
      </c>
    </row>
    <row r="827" spans="1:14" hidden="1" x14ac:dyDescent="0.35">
      <c r="A827" s="3">
        <v>103407784</v>
      </c>
      <c r="B827" s="3" t="s">
        <v>1707</v>
      </c>
      <c r="C827" s="3" t="str">
        <f t="shared" si="26"/>
        <v>2022-07-06</v>
      </c>
      <c r="D827" s="3" t="s">
        <v>9</v>
      </c>
      <c r="E827" s="3" t="s">
        <v>5</v>
      </c>
      <c r="F827" s="3" t="s">
        <v>10</v>
      </c>
      <c r="G827" s="3" t="s">
        <v>1708</v>
      </c>
      <c r="H827" s="3" t="s">
        <v>1709</v>
      </c>
      <c r="I827" s="3">
        <v>540.6</v>
      </c>
      <c r="J827" s="3" t="s">
        <v>11</v>
      </c>
      <c r="K827">
        <f>MATCH(A827,Database!$A$2:$A$948,0)</f>
        <v>162</v>
      </c>
      <c r="L827">
        <f>VLOOKUP(A827,Database!$A$2:$I$948,4,0)</f>
        <v>540.6</v>
      </c>
      <c r="M827" t="b">
        <f t="shared" si="27"/>
        <v>1</v>
      </c>
      <c r="N827">
        <f>VLOOKUP(A827,Database!$A$2:$I$948,5,0)</f>
        <v>1</v>
      </c>
    </row>
    <row r="828" spans="1:14" hidden="1" x14ac:dyDescent="0.35">
      <c r="A828" s="3">
        <v>103407730</v>
      </c>
      <c r="B828" s="3" t="s">
        <v>1710</v>
      </c>
      <c r="C828" s="3" t="str">
        <f t="shared" si="26"/>
        <v>2022-07-06</v>
      </c>
      <c r="D828" s="3" t="s">
        <v>9</v>
      </c>
      <c r="E828" s="3" t="s">
        <v>5</v>
      </c>
      <c r="F828" s="3" t="s">
        <v>10</v>
      </c>
      <c r="G828" s="3" t="s">
        <v>1711</v>
      </c>
      <c r="H828" s="3" t="s">
        <v>1712</v>
      </c>
      <c r="I828" s="5">
        <v>2999</v>
      </c>
      <c r="J828" s="3" t="s">
        <v>11</v>
      </c>
      <c r="K828">
        <f>MATCH(A828,Database!$A$2:$A$948,0)</f>
        <v>150</v>
      </c>
      <c r="L828">
        <f>VLOOKUP(A828,Database!$A$2:$I$948,4,0)</f>
        <v>2999</v>
      </c>
      <c r="M828" t="b">
        <f t="shared" si="27"/>
        <v>1</v>
      </c>
      <c r="N828">
        <f>VLOOKUP(A828,Database!$A$2:$I$948,5,0)</f>
        <v>1</v>
      </c>
    </row>
    <row r="829" spans="1:14" hidden="1" x14ac:dyDescent="0.35">
      <c r="A829" s="3">
        <v>103407728</v>
      </c>
      <c r="B829" s="3" t="s">
        <v>1713</v>
      </c>
      <c r="C829" s="3" t="str">
        <f t="shared" si="26"/>
        <v>2022-07-06</v>
      </c>
      <c r="D829" s="3" t="s">
        <v>9</v>
      </c>
      <c r="E829" s="3" t="s">
        <v>5</v>
      </c>
      <c r="F829" s="3" t="s">
        <v>10</v>
      </c>
      <c r="G829" s="3" t="s">
        <v>20</v>
      </c>
      <c r="H829" s="3" t="s">
        <v>1714</v>
      </c>
      <c r="I829" s="4">
        <v>5865.35</v>
      </c>
      <c r="J829" s="3" t="s">
        <v>11</v>
      </c>
      <c r="K829">
        <f>MATCH(A829,Database!$A$2:$A$948,0)</f>
        <v>149</v>
      </c>
      <c r="L829">
        <f>VLOOKUP(A829,Database!$A$2:$I$948,4,0)</f>
        <v>5865.35</v>
      </c>
      <c r="M829" t="b">
        <f t="shared" si="27"/>
        <v>1</v>
      </c>
      <c r="N829">
        <f>VLOOKUP(A829,Database!$A$2:$I$948,5,0)</f>
        <v>1</v>
      </c>
    </row>
    <row r="830" spans="1:14" hidden="1" x14ac:dyDescent="0.35">
      <c r="A830" s="3">
        <v>103407779</v>
      </c>
      <c r="B830" s="3" t="s">
        <v>1715</v>
      </c>
      <c r="C830" s="3" t="str">
        <f t="shared" si="26"/>
        <v>2022-07-06</v>
      </c>
      <c r="D830" s="3" t="s">
        <v>9</v>
      </c>
      <c r="E830" s="3" t="s">
        <v>5</v>
      </c>
      <c r="F830" s="3" t="s">
        <v>10</v>
      </c>
      <c r="G830" s="3" t="s">
        <v>1716</v>
      </c>
      <c r="H830" s="3" t="s">
        <v>1717</v>
      </c>
      <c r="I830" s="4">
        <v>3419.05</v>
      </c>
      <c r="J830" s="3" t="s">
        <v>11</v>
      </c>
      <c r="K830">
        <f>MATCH(A830,Database!$A$2:$A$948,0)</f>
        <v>161</v>
      </c>
      <c r="L830">
        <f>VLOOKUP(A830,Database!$A$2:$I$948,4,0)</f>
        <v>3419.05</v>
      </c>
      <c r="M830" t="b">
        <f t="shared" si="27"/>
        <v>1</v>
      </c>
      <c r="N830">
        <f>VLOOKUP(A830,Database!$A$2:$I$948,5,0)</f>
        <v>1</v>
      </c>
    </row>
    <row r="831" spans="1:14" hidden="1" x14ac:dyDescent="0.35">
      <c r="A831" s="3">
        <v>103407776</v>
      </c>
      <c r="B831" s="3" t="s">
        <v>1718</v>
      </c>
      <c r="C831" s="3" t="str">
        <f t="shared" si="26"/>
        <v>2022-07-06</v>
      </c>
      <c r="D831" s="3" t="s">
        <v>9</v>
      </c>
      <c r="E831" s="3" t="s">
        <v>5</v>
      </c>
      <c r="F831" s="3" t="s">
        <v>10</v>
      </c>
      <c r="G831" s="3" t="s">
        <v>1719</v>
      </c>
      <c r="H831" s="3" t="s">
        <v>1720</v>
      </c>
      <c r="I831" s="3">
        <v>329</v>
      </c>
      <c r="J831" s="3" t="s">
        <v>11</v>
      </c>
      <c r="K831">
        <f>MATCH(A831,Database!$A$2:$A$948,0)</f>
        <v>160</v>
      </c>
      <c r="L831">
        <f>VLOOKUP(A831,Database!$A$2:$I$948,4,0)</f>
        <v>329</v>
      </c>
      <c r="M831" t="b">
        <f t="shared" si="27"/>
        <v>1</v>
      </c>
      <c r="N831">
        <f>VLOOKUP(A831,Database!$A$2:$I$948,5,0)</f>
        <v>1</v>
      </c>
    </row>
    <row r="832" spans="1:14" hidden="1" x14ac:dyDescent="0.35">
      <c r="A832" s="3">
        <v>103407723</v>
      </c>
      <c r="B832" s="3" t="s">
        <v>1721</v>
      </c>
      <c r="C832" s="3" t="str">
        <f t="shared" si="26"/>
        <v>2022-07-06</v>
      </c>
      <c r="D832" s="3" t="s">
        <v>9</v>
      </c>
      <c r="E832" s="3" t="s">
        <v>5</v>
      </c>
      <c r="F832" s="3" t="s">
        <v>10</v>
      </c>
      <c r="G832" s="3" t="s">
        <v>1722</v>
      </c>
      <c r="H832" s="3" t="s">
        <v>1723</v>
      </c>
      <c r="I832" s="3">
        <v>626.04999999999995</v>
      </c>
      <c r="J832" s="3" t="s">
        <v>11</v>
      </c>
      <c r="K832">
        <f>MATCH(A832,Database!$A$2:$A$948,0)</f>
        <v>148</v>
      </c>
      <c r="L832">
        <f>VLOOKUP(A832,Database!$A$2:$I$948,4,0)</f>
        <v>626.04999999999995</v>
      </c>
      <c r="M832" t="b">
        <f t="shared" si="27"/>
        <v>1</v>
      </c>
      <c r="N832">
        <f>VLOOKUP(A832,Database!$A$2:$I$948,5,0)</f>
        <v>1</v>
      </c>
    </row>
    <row r="833" spans="1:14" hidden="1" x14ac:dyDescent="0.35">
      <c r="A833" s="3">
        <v>103407767</v>
      </c>
      <c r="B833" s="3" t="s">
        <v>1724</v>
      </c>
      <c r="C833" s="3" t="str">
        <f t="shared" si="26"/>
        <v>2022-07-06</v>
      </c>
      <c r="D833" s="3" t="s">
        <v>9</v>
      </c>
      <c r="E833" s="3" t="s">
        <v>5</v>
      </c>
      <c r="F833" s="3" t="s">
        <v>10</v>
      </c>
      <c r="G833" s="3" t="s">
        <v>1725</v>
      </c>
      <c r="H833" s="3" t="s">
        <v>1726</v>
      </c>
      <c r="I833" s="4">
        <v>1939.99</v>
      </c>
      <c r="J833" s="3" t="s">
        <v>11</v>
      </c>
      <c r="K833">
        <f>MATCH(A833,Database!$A$2:$A$948,0)</f>
        <v>159</v>
      </c>
      <c r="L833">
        <f>VLOOKUP(A833,Database!$A$2:$I$948,4,0)</f>
        <v>1939.99</v>
      </c>
      <c r="M833" t="b">
        <f t="shared" si="27"/>
        <v>1</v>
      </c>
      <c r="N833">
        <f>VLOOKUP(A833,Database!$A$2:$I$948,5,0)</f>
        <v>1</v>
      </c>
    </row>
    <row r="834" spans="1:14" hidden="1" x14ac:dyDescent="0.35">
      <c r="A834" s="3">
        <v>103407766</v>
      </c>
      <c r="B834" s="3" t="s">
        <v>1727</v>
      </c>
      <c r="C834" s="3" t="str">
        <f t="shared" si="26"/>
        <v>2022-07-06</v>
      </c>
      <c r="D834" s="3" t="s">
        <v>9</v>
      </c>
      <c r="E834" s="3" t="s">
        <v>5</v>
      </c>
      <c r="F834" s="3" t="s">
        <v>10</v>
      </c>
      <c r="G834" s="3" t="s">
        <v>1728</v>
      </c>
      <c r="H834" s="3" t="s">
        <v>1729</v>
      </c>
      <c r="I834" s="4">
        <v>4559.05</v>
      </c>
      <c r="J834" s="3" t="s">
        <v>11</v>
      </c>
      <c r="K834">
        <f>MATCH(A834,Database!$A$2:$A$948,0)</f>
        <v>158</v>
      </c>
      <c r="L834">
        <f>VLOOKUP(A834,Database!$A$2:$I$948,4,0)</f>
        <v>4559.05</v>
      </c>
      <c r="M834" t="b">
        <f t="shared" si="27"/>
        <v>1</v>
      </c>
      <c r="N834">
        <f>VLOOKUP(A834,Database!$A$2:$I$948,5,0)</f>
        <v>1</v>
      </c>
    </row>
    <row r="835" spans="1:14" hidden="1" x14ac:dyDescent="0.35">
      <c r="A835" s="3">
        <v>103407661</v>
      </c>
      <c r="B835" s="3" t="s">
        <v>1730</v>
      </c>
      <c r="C835" s="3" t="str">
        <f t="shared" ref="C835:C898" si="28">LEFT(B835,FIND("T",B835)-1)</f>
        <v>2022-07-06</v>
      </c>
      <c r="D835" s="3" t="s">
        <v>9</v>
      </c>
      <c r="E835" s="3" t="s">
        <v>5</v>
      </c>
      <c r="F835" s="3" t="s">
        <v>10</v>
      </c>
      <c r="G835" s="3" t="s">
        <v>1731</v>
      </c>
      <c r="H835" s="3" t="s">
        <v>1732</v>
      </c>
      <c r="I835" s="4">
        <v>1388.95</v>
      </c>
      <c r="J835" s="3" t="s">
        <v>11</v>
      </c>
      <c r="K835">
        <f>MATCH(A835,Database!$A$2:$A$948,0)</f>
        <v>135</v>
      </c>
      <c r="L835">
        <f>VLOOKUP(A835,Database!$A$2:$I$948,4,0)</f>
        <v>1388.95</v>
      </c>
      <c r="M835" t="b">
        <f t="shared" si="27"/>
        <v>1</v>
      </c>
      <c r="N835">
        <f>VLOOKUP(A835,Database!$A$2:$I$948,5,0)</f>
        <v>1</v>
      </c>
    </row>
    <row r="836" spans="1:14" hidden="1" x14ac:dyDescent="0.35">
      <c r="A836" s="3">
        <v>103407720</v>
      </c>
      <c r="B836" s="3" t="s">
        <v>1733</v>
      </c>
      <c r="C836" s="3" t="str">
        <f t="shared" si="28"/>
        <v>2022-07-06</v>
      </c>
      <c r="D836" s="3" t="s">
        <v>9</v>
      </c>
      <c r="E836" s="3" t="s">
        <v>5</v>
      </c>
      <c r="F836" s="3" t="s">
        <v>10</v>
      </c>
      <c r="G836" s="3" t="s">
        <v>1734</v>
      </c>
      <c r="H836" s="3" t="s">
        <v>1735</v>
      </c>
      <c r="I836" s="3">
        <v>599</v>
      </c>
      <c r="J836" s="3" t="s">
        <v>11</v>
      </c>
      <c r="K836">
        <f>MATCH(A836,Database!$A$2:$A$948,0)</f>
        <v>147</v>
      </c>
      <c r="L836">
        <f>VLOOKUP(A836,Database!$A$2:$I$948,4,0)</f>
        <v>599</v>
      </c>
      <c r="M836" t="b">
        <f t="shared" si="27"/>
        <v>1</v>
      </c>
      <c r="N836">
        <f>VLOOKUP(A836,Database!$A$2:$I$948,5,0)</f>
        <v>1</v>
      </c>
    </row>
    <row r="837" spans="1:14" hidden="1" x14ac:dyDescent="0.35">
      <c r="A837" s="3">
        <v>103407717</v>
      </c>
      <c r="B837" s="3" t="s">
        <v>1736</v>
      </c>
      <c r="C837" s="3" t="str">
        <f t="shared" si="28"/>
        <v>2022-07-06</v>
      </c>
      <c r="D837" s="3" t="s">
        <v>9</v>
      </c>
      <c r="E837" s="3" t="s">
        <v>5</v>
      </c>
      <c r="F837" s="3" t="s">
        <v>10</v>
      </c>
      <c r="G837" s="3" t="s">
        <v>1737</v>
      </c>
      <c r="H837" s="3" t="s">
        <v>1738</v>
      </c>
      <c r="I837" s="4">
        <v>2307.64</v>
      </c>
      <c r="J837" s="3" t="s">
        <v>11</v>
      </c>
      <c r="K837">
        <f>MATCH(A837,Database!$A$2:$A$948,0)</f>
        <v>146</v>
      </c>
      <c r="L837">
        <f>VLOOKUP(A837,Database!$A$2:$I$948,4,0)</f>
        <v>2307.64</v>
      </c>
      <c r="M837" t="b">
        <f t="shared" si="27"/>
        <v>1</v>
      </c>
      <c r="N837">
        <f>VLOOKUP(A837,Database!$A$2:$I$948,5,0)</f>
        <v>1</v>
      </c>
    </row>
    <row r="838" spans="1:14" hidden="1" x14ac:dyDescent="0.35">
      <c r="A838" s="3">
        <v>103407656</v>
      </c>
      <c r="B838" s="3" t="s">
        <v>1739</v>
      </c>
      <c r="C838" s="3" t="str">
        <f t="shared" si="28"/>
        <v>2022-07-06</v>
      </c>
      <c r="D838" s="3" t="s">
        <v>9</v>
      </c>
      <c r="E838" s="3" t="s">
        <v>5</v>
      </c>
      <c r="F838" s="3" t="s">
        <v>10</v>
      </c>
      <c r="G838" s="3" t="s">
        <v>1740</v>
      </c>
      <c r="H838" s="3" t="s">
        <v>1741</v>
      </c>
      <c r="I838" s="5">
        <v>2999</v>
      </c>
      <c r="J838" s="3" t="s">
        <v>11</v>
      </c>
      <c r="K838">
        <f>MATCH(A838,Database!$A$2:$A$948,0)</f>
        <v>134</v>
      </c>
      <c r="L838">
        <f>VLOOKUP(A838,Database!$A$2:$I$948,4,0)</f>
        <v>2999</v>
      </c>
      <c r="M838" t="b">
        <f t="shared" si="27"/>
        <v>1</v>
      </c>
      <c r="N838">
        <f>VLOOKUP(A838,Database!$A$2:$I$948,5,0)</f>
        <v>1</v>
      </c>
    </row>
    <row r="839" spans="1:14" hidden="1" x14ac:dyDescent="0.35">
      <c r="A839" s="3">
        <v>103407712</v>
      </c>
      <c r="B839" s="3" t="s">
        <v>1742</v>
      </c>
      <c r="C839" s="3" t="str">
        <f t="shared" si="28"/>
        <v>2022-07-06</v>
      </c>
      <c r="D839" s="3" t="s">
        <v>9</v>
      </c>
      <c r="E839" s="3" t="s">
        <v>5</v>
      </c>
      <c r="F839" s="3" t="s">
        <v>10</v>
      </c>
      <c r="G839" s="3" t="s">
        <v>1743</v>
      </c>
      <c r="H839" s="3" t="s">
        <v>1744</v>
      </c>
      <c r="I839" s="4">
        <v>2307.64</v>
      </c>
      <c r="J839" s="3" t="s">
        <v>11</v>
      </c>
      <c r="K839">
        <f>MATCH(A839,Database!$A$2:$A$948,0)</f>
        <v>145</v>
      </c>
      <c r="L839">
        <f>VLOOKUP(A839,Database!$A$2:$I$948,4,0)</f>
        <v>2307.64</v>
      </c>
      <c r="M839" t="b">
        <f t="shared" si="27"/>
        <v>1</v>
      </c>
      <c r="N839">
        <f>VLOOKUP(A839,Database!$A$2:$I$948,5,0)</f>
        <v>1</v>
      </c>
    </row>
    <row r="840" spans="1:14" hidden="1" x14ac:dyDescent="0.35">
      <c r="A840" s="3">
        <v>103407711</v>
      </c>
      <c r="B840" s="3" t="s">
        <v>1745</v>
      </c>
      <c r="C840" s="3" t="str">
        <f t="shared" si="28"/>
        <v>2022-07-06</v>
      </c>
      <c r="D840" s="3" t="s">
        <v>9</v>
      </c>
      <c r="E840" s="3" t="s">
        <v>5</v>
      </c>
      <c r="F840" s="3" t="s">
        <v>10</v>
      </c>
      <c r="G840" s="3" t="s">
        <v>1746</v>
      </c>
      <c r="H840" s="3" t="s">
        <v>1747</v>
      </c>
      <c r="I840" s="5">
        <v>3899</v>
      </c>
      <c r="J840" s="3" t="s">
        <v>11</v>
      </c>
      <c r="K840">
        <f>MATCH(A840,Database!$A$2:$A$948,0)</f>
        <v>144</v>
      </c>
      <c r="L840">
        <f>VLOOKUP(A840,Database!$A$2:$I$948,4,0)</f>
        <v>3899</v>
      </c>
      <c r="M840" t="b">
        <f t="shared" si="27"/>
        <v>1</v>
      </c>
      <c r="N840">
        <f>VLOOKUP(A840,Database!$A$2:$I$948,5,0)</f>
        <v>1</v>
      </c>
    </row>
    <row r="841" spans="1:14" hidden="1" x14ac:dyDescent="0.35">
      <c r="A841" s="3">
        <v>103407706</v>
      </c>
      <c r="B841" s="3" t="s">
        <v>1748</v>
      </c>
      <c r="C841" s="3" t="str">
        <f t="shared" si="28"/>
        <v>2022-07-06</v>
      </c>
      <c r="D841" s="3" t="s">
        <v>9</v>
      </c>
      <c r="E841" s="3" t="s">
        <v>5</v>
      </c>
      <c r="F841" s="3" t="s">
        <v>10</v>
      </c>
      <c r="G841" s="3" t="s">
        <v>1749</v>
      </c>
      <c r="H841" s="3" t="s">
        <v>1750</v>
      </c>
      <c r="I841" s="4">
        <v>2429.1</v>
      </c>
      <c r="J841" s="3" t="s">
        <v>11</v>
      </c>
      <c r="K841" t="e">
        <f>MATCH(A841,Database!$A$2:$A$948,0)</f>
        <v>#N/A</v>
      </c>
      <c r="L841" t="e">
        <f>VLOOKUP(A841,Database!$A$2:$I$948,4,0)</f>
        <v>#N/A</v>
      </c>
      <c r="M841" t="e">
        <f t="shared" si="27"/>
        <v>#N/A</v>
      </c>
      <c r="N841" t="e">
        <f>VLOOKUP(A841,Database!$A$2:$I$948,5,0)</f>
        <v>#N/A</v>
      </c>
    </row>
    <row r="842" spans="1:14" hidden="1" x14ac:dyDescent="0.35">
      <c r="A842" s="3">
        <v>103407650</v>
      </c>
      <c r="B842" s="3" t="s">
        <v>1751</v>
      </c>
      <c r="C842" s="3" t="str">
        <f t="shared" si="28"/>
        <v>2022-07-06</v>
      </c>
      <c r="D842" s="3" t="s">
        <v>9</v>
      </c>
      <c r="E842" s="3" t="s">
        <v>5</v>
      </c>
      <c r="F842" s="3" t="s">
        <v>10</v>
      </c>
      <c r="G842" s="3" t="s">
        <v>1752</v>
      </c>
      <c r="H842" s="3" t="s">
        <v>1753</v>
      </c>
      <c r="I842" s="4">
        <v>5699.05</v>
      </c>
      <c r="J842" s="3" t="s">
        <v>11</v>
      </c>
      <c r="K842">
        <f>MATCH(A842,Database!$A$2:$A$948,0)</f>
        <v>133</v>
      </c>
      <c r="L842">
        <f>VLOOKUP(A842,Database!$A$2:$I$948,4,0)</f>
        <v>5699.05</v>
      </c>
      <c r="M842" t="b">
        <f t="shared" si="27"/>
        <v>1</v>
      </c>
      <c r="N842">
        <f>VLOOKUP(A842,Database!$A$2:$I$948,5,0)</f>
        <v>1</v>
      </c>
    </row>
    <row r="843" spans="1:14" hidden="1" x14ac:dyDescent="0.35">
      <c r="A843" s="3">
        <v>103407701</v>
      </c>
      <c r="B843" s="3" t="s">
        <v>1754</v>
      </c>
      <c r="C843" s="3" t="str">
        <f t="shared" si="28"/>
        <v>2022-07-06</v>
      </c>
      <c r="D843" s="3" t="s">
        <v>9</v>
      </c>
      <c r="E843" s="3" t="s">
        <v>5</v>
      </c>
      <c r="F843" s="3" t="s">
        <v>10</v>
      </c>
      <c r="G843" s="3" t="s">
        <v>1755</v>
      </c>
      <c r="H843" s="3" t="s">
        <v>1756</v>
      </c>
      <c r="I843" s="3">
        <v>799</v>
      </c>
      <c r="J843" s="3" t="s">
        <v>11</v>
      </c>
      <c r="K843">
        <f>MATCH(A843,Database!$A$2:$A$948,0)</f>
        <v>143</v>
      </c>
      <c r="L843">
        <f>VLOOKUP(A843,Database!$A$2:$I$948,4,0)</f>
        <v>799</v>
      </c>
      <c r="M843" t="b">
        <f t="shared" si="27"/>
        <v>1</v>
      </c>
      <c r="N843">
        <f>VLOOKUP(A843,Database!$A$2:$I$948,5,0)</f>
        <v>1</v>
      </c>
    </row>
    <row r="844" spans="1:14" hidden="1" x14ac:dyDescent="0.35">
      <c r="A844" s="3">
        <v>103407700</v>
      </c>
      <c r="B844" s="3" t="s">
        <v>1757</v>
      </c>
      <c r="C844" s="3" t="str">
        <f t="shared" si="28"/>
        <v>2022-07-06</v>
      </c>
      <c r="D844" s="3" t="s">
        <v>9</v>
      </c>
      <c r="E844" s="3" t="s">
        <v>5</v>
      </c>
      <c r="F844" s="3" t="s">
        <v>10</v>
      </c>
      <c r="G844" s="3" t="s">
        <v>1758</v>
      </c>
      <c r="H844" s="3" t="s">
        <v>1759</v>
      </c>
      <c r="I844" s="4">
        <v>2469.0500000000002</v>
      </c>
      <c r="J844" s="3" t="s">
        <v>11</v>
      </c>
      <c r="K844">
        <f>MATCH(A844,Database!$A$2:$A$948,0)</f>
        <v>142</v>
      </c>
      <c r="L844">
        <f>VLOOKUP(A844,Database!$A$2:$I$948,4,0)</f>
        <v>2469.0500000000002</v>
      </c>
      <c r="M844" t="b">
        <f t="shared" ref="M844:M907" si="29">I844=L844</f>
        <v>1</v>
      </c>
      <c r="N844">
        <f>VLOOKUP(A844,Database!$A$2:$I$948,5,0)</f>
        <v>1</v>
      </c>
    </row>
    <row r="845" spans="1:14" hidden="1" x14ac:dyDescent="0.35">
      <c r="A845" s="3">
        <v>103407698</v>
      </c>
      <c r="B845" s="3" t="s">
        <v>1760</v>
      </c>
      <c r="C845" s="3" t="str">
        <f t="shared" si="28"/>
        <v>2022-07-06</v>
      </c>
      <c r="D845" s="3" t="s">
        <v>9</v>
      </c>
      <c r="E845" s="3" t="s">
        <v>5</v>
      </c>
      <c r="F845" s="3" t="s">
        <v>10</v>
      </c>
      <c r="G845" s="3" t="s">
        <v>1761</v>
      </c>
      <c r="H845" s="3" t="s">
        <v>1762</v>
      </c>
      <c r="I845" s="4">
        <v>5188.1400000000003</v>
      </c>
      <c r="J845" s="3" t="s">
        <v>11</v>
      </c>
      <c r="K845">
        <f>MATCH(A845,Database!$A$2:$A$948,0)</f>
        <v>141</v>
      </c>
      <c r="L845">
        <f>VLOOKUP(A845,Database!$A$2:$I$948,4,0)</f>
        <v>5188.1399999999903</v>
      </c>
      <c r="M845" t="b">
        <f t="shared" si="29"/>
        <v>0</v>
      </c>
      <c r="N845">
        <f>VLOOKUP(A845,Database!$A$2:$I$948,5,0)</f>
        <v>2</v>
      </c>
    </row>
    <row r="846" spans="1:14" hidden="1" x14ac:dyDescent="0.35">
      <c r="A846" s="3">
        <v>103407690</v>
      </c>
      <c r="B846" s="3" t="s">
        <v>1763</v>
      </c>
      <c r="C846" s="3" t="str">
        <f t="shared" si="28"/>
        <v>2022-07-06</v>
      </c>
      <c r="D846" s="3" t="s">
        <v>9</v>
      </c>
      <c r="E846" s="3" t="s">
        <v>5</v>
      </c>
      <c r="F846" s="3" t="s">
        <v>10</v>
      </c>
      <c r="G846" s="3" t="s">
        <v>1764</v>
      </c>
      <c r="H846" s="3" t="s">
        <v>1765</v>
      </c>
      <c r="I846" s="4">
        <v>2474.1</v>
      </c>
      <c r="J846" s="3" t="s">
        <v>11</v>
      </c>
      <c r="K846">
        <f>MATCH(A846,Database!$A$2:$A$948,0)</f>
        <v>140</v>
      </c>
      <c r="L846">
        <f>VLOOKUP(A846,Database!$A$2:$I$948,4,0)</f>
        <v>2474.1</v>
      </c>
      <c r="M846" t="b">
        <f t="shared" si="29"/>
        <v>1</v>
      </c>
      <c r="N846">
        <f>VLOOKUP(A846,Database!$A$2:$I$948,5,0)</f>
        <v>1</v>
      </c>
    </row>
    <row r="847" spans="1:14" hidden="1" x14ac:dyDescent="0.35">
      <c r="A847" s="3">
        <v>103407685</v>
      </c>
      <c r="B847" s="3" t="s">
        <v>1766</v>
      </c>
      <c r="C847" s="3" t="str">
        <f t="shared" si="28"/>
        <v>2022-07-06</v>
      </c>
      <c r="D847" s="3" t="s">
        <v>9</v>
      </c>
      <c r="E847" s="3" t="s">
        <v>5</v>
      </c>
      <c r="F847" s="3" t="s">
        <v>12</v>
      </c>
      <c r="G847" s="3" t="s">
        <v>1767</v>
      </c>
      <c r="H847" s="3" t="s">
        <v>1768</v>
      </c>
      <c r="I847" s="3">
        <v>959</v>
      </c>
      <c r="J847" s="3" t="s">
        <v>11</v>
      </c>
      <c r="K847">
        <f>MATCH(A847,Database!$A$2:$A$948,0)</f>
        <v>139</v>
      </c>
      <c r="L847">
        <f>VLOOKUP(A847,Database!$A$2:$I$948,4,0)</f>
        <v>959</v>
      </c>
      <c r="M847" t="b">
        <f t="shared" si="29"/>
        <v>1</v>
      </c>
      <c r="N847">
        <f>VLOOKUP(A847,Database!$A$2:$I$948,5,0)</f>
        <v>1</v>
      </c>
    </row>
    <row r="848" spans="1:14" hidden="1" x14ac:dyDescent="0.35">
      <c r="A848" s="3">
        <v>103407680</v>
      </c>
      <c r="B848" s="3" t="s">
        <v>1769</v>
      </c>
      <c r="C848" s="3" t="str">
        <f t="shared" si="28"/>
        <v>2022-07-06</v>
      </c>
      <c r="D848" s="3" t="s">
        <v>9</v>
      </c>
      <c r="E848" s="3" t="s">
        <v>5</v>
      </c>
      <c r="F848" s="3" t="s">
        <v>10</v>
      </c>
      <c r="G848" s="3" t="s">
        <v>646</v>
      </c>
      <c r="H848" s="3" t="s">
        <v>647</v>
      </c>
      <c r="I848" s="3">
        <v>740.05</v>
      </c>
      <c r="J848" s="3" t="s">
        <v>11</v>
      </c>
      <c r="K848">
        <f>MATCH(A848,Database!$A$2:$A$948,0)</f>
        <v>138</v>
      </c>
      <c r="L848">
        <f>VLOOKUP(A848,Database!$A$2:$I$948,4,0)</f>
        <v>740.05</v>
      </c>
      <c r="M848" t="b">
        <f t="shared" si="29"/>
        <v>1</v>
      </c>
      <c r="N848">
        <f>VLOOKUP(A848,Database!$A$2:$I$948,5,0)</f>
        <v>1</v>
      </c>
    </row>
    <row r="849" spans="1:14" hidden="1" x14ac:dyDescent="0.35">
      <c r="A849" s="3">
        <v>103407631</v>
      </c>
      <c r="B849" s="3" t="s">
        <v>1770</v>
      </c>
      <c r="C849" s="3" t="str">
        <f t="shared" si="28"/>
        <v>2022-07-06</v>
      </c>
      <c r="D849" s="3" t="s">
        <v>9</v>
      </c>
      <c r="E849" s="3" t="s">
        <v>5</v>
      </c>
      <c r="F849" s="3" t="s">
        <v>10</v>
      </c>
      <c r="G849" s="3" t="s">
        <v>1771</v>
      </c>
      <c r="H849" s="3" t="s">
        <v>1772</v>
      </c>
      <c r="I849" s="5">
        <v>7999</v>
      </c>
      <c r="J849" s="3" t="s">
        <v>11</v>
      </c>
      <c r="K849">
        <f>MATCH(A849,Database!$A$2:$A$948,0)</f>
        <v>132</v>
      </c>
      <c r="L849">
        <f>VLOOKUP(A849,Database!$A$2:$I$948,4,0)</f>
        <v>7999</v>
      </c>
      <c r="M849" t="b">
        <f t="shared" si="29"/>
        <v>1</v>
      </c>
      <c r="N849">
        <f>VLOOKUP(A849,Database!$A$2:$I$948,5,0)</f>
        <v>1</v>
      </c>
    </row>
    <row r="850" spans="1:14" hidden="1" x14ac:dyDescent="0.35">
      <c r="A850" s="3">
        <v>103407675</v>
      </c>
      <c r="B850" s="3" t="s">
        <v>1773</v>
      </c>
      <c r="C850" s="3" t="str">
        <f t="shared" si="28"/>
        <v>2022-07-06</v>
      </c>
      <c r="D850" s="3" t="s">
        <v>9</v>
      </c>
      <c r="E850" s="3" t="s">
        <v>5</v>
      </c>
      <c r="F850" s="3" t="s">
        <v>12</v>
      </c>
      <c r="G850" s="3" t="s">
        <v>1774</v>
      </c>
      <c r="H850" s="3" t="s">
        <v>1775</v>
      </c>
      <c r="I850" s="5">
        <v>1259</v>
      </c>
      <c r="J850" s="3" t="s">
        <v>11</v>
      </c>
      <c r="K850">
        <f>MATCH(A850,Database!$A$2:$A$948,0)</f>
        <v>137</v>
      </c>
      <c r="L850">
        <f>VLOOKUP(A850,Database!$A$2:$I$948,4,0)</f>
        <v>1259</v>
      </c>
      <c r="M850" t="b">
        <f t="shared" si="29"/>
        <v>1</v>
      </c>
      <c r="N850">
        <f>VLOOKUP(A850,Database!$A$2:$I$948,5,0)</f>
        <v>1</v>
      </c>
    </row>
    <row r="851" spans="1:14" hidden="1" x14ac:dyDescent="0.35">
      <c r="A851" s="3">
        <v>103407628</v>
      </c>
      <c r="B851" s="3" t="s">
        <v>1776</v>
      </c>
      <c r="C851" s="3" t="str">
        <f t="shared" si="28"/>
        <v>2022-07-06</v>
      </c>
      <c r="D851" s="3" t="s">
        <v>9</v>
      </c>
      <c r="E851" s="3" t="s">
        <v>5</v>
      </c>
      <c r="F851" s="3" t="s">
        <v>10</v>
      </c>
      <c r="G851" s="3" t="s">
        <v>1777</v>
      </c>
      <c r="H851" s="3" t="s">
        <v>1778</v>
      </c>
      <c r="I851" s="4">
        <v>3989.05</v>
      </c>
      <c r="J851" s="3" t="s">
        <v>11</v>
      </c>
      <c r="K851">
        <f>MATCH(A851,Database!$A$2:$A$948,0)</f>
        <v>131</v>
      </c>
      <c r="L851">
        <f>VLOOKUP(A851,Database!$A$2:$I$948,4,0)</f>
        <v>3989.05</v>
      </c>
      <c r="M851" t="b">
        <f t="shared" si="29"/>
        <v>1</v>
      </c>
      <c r="N851">
        <f>VLOOKUP(A851,Database!$A$2:$I$948,5,0)</f>
        <v>1</v>
      </c>
    </row>
    <row r="852" spans="1:14" hidden="1" x14ac:dyDescent="0.35">
      <c r="A852" s="3">
        <v>103407673</v>
      </c>
      <c r="B852" s="3" t="s">
        <v>1779</v>
      </c>
      <c r="C852" s="3" t="str">
        <f t="shared" si="28"/>
        <v>2022-07-06</v>
      </c>
      <c r="D852" s="3" t="s">
        <v>9</v>
      </c>
      <c r="E852" s="3" t="s">
        <v>5</v>
      </c>
      <c r="F852" s="3" t="s">
        <v>10</v>
      </c>
      <c r="G852" s="3" t="s">
        <v>1361</v>
      </c>
      <c r="H852" s="3" t="s">
        <v>1362</v>
      </c>
      <c r="I852" s="5">
        <v>3168</v>
      </c>
      <c r="J852" s="3" t="s">
        <v>11</v>
      </c>
      <c r="K852" t="e">
        <f>MATCH(A852,Database!$A$2:$A$948,0)</f>
        <v>#N/A</v>
      </c>
      <c r="L852" t="e">
        <f>VLOOKUP(A852,Database!$A$2:$I$948,4,0)</f>
        <v>#N/A</v>
      </c>
      <c r="M852" t="e">
        <f t="shared" si="29"/>
        <v>#N/A</v>
      </c>
      <c r="N852" t="e">
        <f>VLOOKUP(A852,Database!$A$2:$I$948,5,0)</f>
        <v>#N/A</v>
      </c>
    </row>
    <row r="853" spans="1:14" hidden="1" x14ac:dyDescent="0.35">
      <c r="A853" s="3">
        <v>103407625</v>
      </c>
      <c r="B853" s="3" t="s">
        <v>1780</v>
      </c>
      <c r="C853" s="3" t="str">
        <f t="shared" si="28"/>
        <v>2022-07-06</v>
      </c>
      <c r="D853" s="3" t="s">
        <v>9</v>
      </c>
      <c r="E853" s="3" t="s">
        <v>5</v>
      </c>
      <c r="F853" s="3" t="s">
        <v>12</v>
      </c>
      <c r="G853" s="3" t="s">
        <v>1781</v>
      </c>
      <c r="H853" s="3" t="s">
        <v>1782</v>
      </c>
      <c r="I853" s="5">
        <v>1749</v>
      </c>
      <c r="J853" s="3" t="s">
        <v>11</v>
      </c>
      <c r="K853">
        <f>MATCH(A853,Database!$A$2:$A$948,0)</f>
        <v>130</v>
      </c>
      <c r="L853">
        <f>VLOOKUP(A853,Database!$A$2:$I$948,4,0)</f>
        <v>1749</v>
      </c>
      <c r="M853" t="b">
        <f t="shared" si="29"/>
        <v>1</v>
      </c>
      <c r="N853">
        <f>VLOOKUP(A853,Database!$A$2:$I$948,5,0)</f>
        <v>1</v>
      </c>
    </row>
    <row r="854" spans="1:14" hidden="1" x14ac:dyDescent="0.35">
      <c r="A854" s="3">
        <v>103407623</v>
      </c>
      <c r="B854" s="3" t="s">
        <v>1783</v>
      </c>
      <c r="C854" s="3" t="str">
        <f t="shared" si="28"/>
        <v>2022-07-06</v>
      </c>
      <c r="D854" s="3" t="s">
        <v>9</v>
      </c>
      <c r="E854" s="3" t="s">
        <v>5</v>
      </c>
      <c r="F854" s="3" t="s">
        <v>10</v>
      </c>
      <c r="G854" s="3" t="s">
        <v>15</v>
      </c>
      <c r="H854" s="3" t="s">
        <v>16</v>
      </c>
      <c r="I854" s="4">
        <v>2436.75</v>
      </c>
      <c r="J854" s="3" t="s">
        <v>11</v>
      </c>
      <c r="K854">
        <f>MATCH(A854,Database!$A$2:$A$948,0)</f>
        <v>129</v>
      </c>
      <c r="L854">
        <f>VLOOKUP(A854,Database!$A$2:$I$948,4,0)</f>
        <v>2436.75</v>
      </c>
      <c r="M854" t="b">
        <f t="shared" si="29"/>
        <v>1</v>
      </c>
      <c r="N854">
        <f>VLOOKUP(A854,Database!$A$2:$I$948,5,0)</f>
        <v>1</v>
      </c>
    </row>
    <row r="855" spans="1:14" hidden="1" x14ac:dyDescent="0.35">
      <c r="A855" s="3">
        <v>103407622</v>
      </c>
      <c r="B855" s="3" t="s">
        <v>1784</v>
      </c>
      <c r="C855" s="3" t="str">
        <f t="shared" si="28"/>
        <v>2022-07-06</v>
      </c>
      <c r="D855" s="3" t="s">
        <v>9</v>
      </c>
      <c r="E855" s="3" t="s">
        <v>5</v>
      </c>
      <c r="F855" s="3" t="s">
        <v>10</v>
      </c>
      <c r="G855" s="3" t="s">
        <v>1785</v>
      </c>
      <c r="H855" s="3" t="s">
        <v>1786</v>
      </c>
      <c r="I855" s="4">
        <v>2469.0500000000002</v>
      </c>
      <c r="J855" s="3" t="s">
        <v>11</v>
      </c>
      <c r="K855">
        <f>MATCH(A855,Database!$A$2:$A$948,0)</f>
        <v>128</v>
      </c>
      <c r="L855">
        <f>VLOOKUP(A855,Database!$A$2:$I$948,4,0)</f>
        <v>2469.0500000000002</v>
      </c>
      <c r="M855" t="b">
        <f t="shared" si="29"/>
        <v>1</v>
      </c>
      <c r="N855">
        <f>VLOOKUP(A855,Database!$A$2:$I$948,5,0)</f>
        <v>1</v>
      </c>
    </row>
    <row r="856" spans="1:14" hidden="1" x14ac:dyDescent="0.35">
      <c r="A856" s="3">
        <v>103407621</v>
      </c>
      <c r="B856" s="3" t="s">
        <v>1787</v>
      </c>
      <c r="C856" s="3" t="str">
        <f t="shared" si="28"/>
        <v>2022-07-06</v>
      </c>
      <c r="D856" s="3" t="s">
        <v>9</v>
      </c>
      <c r="E856" s="3" t="s">
        <v>5</v>
      </c>
      <c r="F856" s="3" t="s">
        <v>10</v>
      </c>
      <c r="G856" s="3" t="s">
        <v>1788</v>
      </c>
      <c r="H856" s="3" t="s">
        <v>1789</v>
      </c>
      <c r="I856" s="5">
        <v>2799</v>
      </c>
      <c r="J856" s="3" t="s">
        <v>11</v>
      </c>
      <c r="K856">
        <f>MATCH(A856,Database!$A$2:$A$948,0)</f>
        <v>127</v>
      </c>
      <c r="L856">
        <f>VLOOKUP(A856,Database!$A$2:$I$948,4,0)</f>
        <v>2799</v>
      </c>
      <c r="M856" t="b">
        <f t="shared" si="29"/>
        <v>1</v>
      </c>
      <c r="N856">
        <f>VLOOKUP(A856,Database!$A$2:$I$948,5,0)</f>
        <v>1</v>
      </c>
    </row>
    <row r="857" spans="1:14" hidden="1" x14ac:dyDescent="0.35">
      <c r="A857" s="3">
        <v>103407613</v>
      </c>
      <c r="B857" s="3" t="s">
        <v>1790</v>
      </c>
      <c r="C857" s="3" t="str">
        <f t="shared" si="28"/>
        <v>2022-07-06</v>
      </c>
      <c r="D857" s="3" t="s">
        <v>9</v>
      </c>
      <c r="E857" s="3" t="s">
        <v>5</v>
      </c>
      <c r="F857" s="3" t="s">
        <v>10</v>
      </c>
      <c r="G857" s="3" t="s">
        <v>1791</v>
      </c>
      <c r="H857" s="3" t="s">
        <v>1792</v>
      </c>
      <c r="I857" s="4">
        <v>2849.05</v>
      </c>
      <c r="J857" s="3" t="s">
        <v>11</v>
      </c>
      <c r="K857">
        <f>MATCH(A857,Database!$A$2:$A$948,0)</f>
        <v>126</v>
      </c>
      <c r="L857">
        <f>VLOOKUP(A857,Database!$A$2:$I$948,4,0)</f>
        <v>2849.05</v>
      </c>
      <c r="M857" t="b">
        <f t="shared" si="29"/>
        <v>1</v>
      </c>
      <c r="N857">
        <f>VLOOKUP(A857,Database!$A$2:$I$948,5,0)</f>
        <v>1</v>
      </c>
    </row>
    <row r="858" spans="1:14" hidden="1" x14ac:dyDescent="0.35">
      <c r="A858" s="3">
        <v>103407607</v>
      </c>
      <c r="B858" s="3" t="s">
        <v>1793</v>
      </c>
      <c r="C858" s="3" t="str">
        <f t="shared" si="28"/>
        <v>2022-07-06</v>
      </c>
      <c r="D858" s="3" t="s">
        <v>9</v>
      </c>
      <c r="E858" s="3" t="s">
        <v>5</v>
      </c>
      <c r="F858" s="3" t="s">
        <v>10</v>
      </c>
      <c r="G858" s="3" t="s">
        <v>1794</v>
      </c>
      <c r="H858" s="3" t="s">
        <v>1795</v>
      </c>
      <c r="I858" s="4">
        <v>4787.1400000000003</v>
      </c>
      <c r="J858" s="3" t="s">
        <v>11</v>
      </c>
      <c r="K858">
        <f>MATCH(A858,Database!$A$2:$A$948,0)</f>
        <v>125</v>
      </c>
      <c r="L858">
        <f>VLOOKUP(A858,Database!$A$2:$I$948,4,0)</f>
        <v>4787.1400000000003</v>
      </c>
      <c r="M858" t="b">
        <f t="shared" si="29"/>
        <v>1</v>
      </c>
      <c r="N858">
        <f>VLOOKUP(A858,Database!$A$2:$I$948,5,0)</f>
        <v>1</v>
      </c>
    </row>
    <row r="859" spans="1:14" hidden="1" x14ac:dyDescent="0.35">
      <c r="A859" s="3">
        <v>103407665</v>
      </c>
      <c r="B859" s="3" t="s">
        <v>1796</v>
      </c>
      <c r="C859" s="3" t="str">
        <f t="shared" si="28"/>
        <v>2022-07-06</v>
      </c>
      <c r="D859" s="3" t="s">
        <v>9</v>
      </c>
      <c r="E859" s="3" t="s">
        <v>5</v>
      </c>
      <c r="F859" s="3" t="s">
        <v>10</v>
      </c>
      <c r="G859" s="3" t="s">
        <v>1797</v>
      </c>
      <c r="H859" s="3" t="s">
        <v>1798</v>
      </c>
      <c r="I859" s="4">
        <v>2991.55</v>
      </c>
      <c r="J859" s="3" t="s">
        <v>11</v>
      </c>
      <c r="K859">
        <f>MATCH(A859,Database!$A$2:$A$948,0)</f>
        <v>136</v>
      </c>
      <c r="L859">
        <f>VLOOKUP(A859,Database!$A$2:$I$948,4,0)</f>
        <v>2991.55</v>
      </c>
      <c r="M859" t="b">
        <f t="shared" si="29"/>
        <v>1</v>
      </c>
      <c r="N859">
        <f>VLOOKUP(A859,Database!$A$2:$I$948,5,0)</f>
        <v>1</v>
      </c>
    </row>
    <row r="860" spans="1:14" hidden="1" x14ac:dyDescent="0.35">
      <c r="A860" s="3">
        <v>103407603</v>
      </c>
      <c r="B860" s="3" t="s">
        <v>1799</v>
      </c>
      <c r="C860" s="3" t="str">
        <f t="shared" si="28"/>
        <v>2022-07-06</v>
      </c>
      <c r="D860" s="3" t="s">
        <v>9</v>
      </c>
      <c r="E860" s="3" t="s">
        <v>5</v>
      </c>
      <c r="F860" s="3" t="s">
        <v>10</v>
      </c>
      <c r="G860" s="3" t="s">
        <v>1800</v>
      </c>
      <c r="H860" s="3" t="s">
        <v>1801</v>
      </c>
      <c r="I860" s="4">
        <v>1110.55</v>
      </c>
      <c r="J860" s="3" t="s">
        <v>11</v>
      </c>
      <c r="K860">
        <f>MATCH(A860,Database!$A$2:$A$948,0)</f>
        <v>124</v>
      </c>
      <c r="L860">
        <f>VLOOKUP(A860,Database!$A$2:$I$948,4,0)</f>
        <v>1110.55</v>
      </c>
      <c r="M860" t="b">
        <f t="shared" si="29"/>
        <v>1</v>
      </c>
      <c r="N860">
        <f>VLOOKUP(A860,Database!$A$2:$I$948,5,0)</f>
        <v>1</v>
      </c>
    </row>
    <row r="861" spans="1:14" hidden="1" x14ac:dyDescent="0.35">
      <c r="A861" s="3">
        <v>103407598</v>
      </c>
      <c r="B861" s="3" t="s">
        <v>1802</v>
      </c>
      <c r="C861" s="3" t="str">
        <f t="shared" si="28"/>
        <v>2022-07-06</v>
      </c>
      <c r="D861" s="3" t="s">
        <v>9</v>
      </c>
      <c r="E861" s="3" t="s">
        <v>5</v>
      </c>
      <c r="F861" s="3" t="s">
        <v>10</v>
      </c>
      <c r="G861" s="3" t="s">
        <v>1803</v>
      </c>
      <c r="H861" s="3" t="s">
        <v>1804</v>
      </c>
      <c r="I861" s="3">
        <v>920.55</v>
      </c>
      <c r="J861" s="3" t="s">
        <v>11</v>
      </c>
      <c r="K861">
        <f>MATCH(A861,Database!$A$2:$A$948,0)</f>
        <v>123</v>
      </c>
      <c r="L861">
        <f>VLOOKUP(A861,Database!$A$2:$I$948,4,0)</f>
        <v>920.55</v>
      </c>
      <c r="M861" t="b">
        <f t="shared" si="29"/>
        <v>1</v>
      </c>
      <c r="N861">
        <f>VLOOKUP(A861,Database!$A$2:$I$948,5,0)</f>
        <v>1</v>
      </c>
    </row>
    <row r="862" spans="1:14" hidden="1" x14ac:dyDescent="0.35">
      <c r="A862" s="3">
        <v>103407458</v>
      </c>
      <c r="B862" s="3" t="s">
        <v>1805</v>
      </c>
      <c r="C862" s="3" t="str">
        <f t="shared" si="28"/>
        <v>2022-07-06</v>
      </c>
      <c r="D862" s="3" t="s">
        <v>9</v>
      </c>
      <c r="E862" s="3" t="s">
        <v>5</v>
      </c>
      <c r="F862" s="3" t="s">
        <v>10</v>
      </c>
      <c r="G862" s="3" t="s">
        <v>1806</v>
      </c>
      <c r="H862" s="3" t="s">
        <v>1807</v>
      </c>
      <c r="I862" s="4">
        <v>2885.15</v>
      </c>
      <c r="J862" s="3" t="s">
        <v>11</v>
      </c>
      <c r="K862" t="e">
        <f>MATCH(A862,Database!$A$2:$A$948,0)</f>
        <v>#N/A</v>
      </c>
      <c r="L862" t="e">
        <f>VLOOKUP(A862,Database!$A$2:$I$948,4,0)</f>
        <v>#N/A</v>
      </c>
      <c r="M862" t="e">
        <f t="shared" si="29"/>
        <v>#N/A</v>
      </c>
      <c r="N862" t="e">
        <f>VLOOKUP(A862,Database!$A$2:$I$948,5,0)</f>
        <v>#N/A</v>
      </c>
    </row>
    <row r="863" spans="1:14" hidden="1" x14ac:dyDescent="0.35">
      <c r="A863" s="3">
        <v>103407459</v>
      </c>
      <c r="B863" s="3" t="s">
        <v>1805</v>
      </c>
      <c r="C863" s="3" t="str">
        <f t="shared" si="28"/>
        <v>2022-07-06</v>
      </c>
      <c r="D863" s="3" t="s">
        <v>9</v>
      </c>
      <c r="E863" s="3" t="s">
        <v>5</v>
      </c>
      <c r="F863" s="3" t="s">
        <v>10</v>
      </c>
      <c r="G863" s="3" t="s">
        <v>1808</v>
      </c>
      <c r="H863" s="3" t="s">
        <v>1809</v>
      </c>
      <c r="I863" s="3">
        <v>417.05</v>
      </c>
      <c r="J863" s="3" t="s">
        <v>11</v>
      </c>
      <c r="K863">
        <f>MATCH(A863,Database!$A$2:$A$948,0)</f>
        <v>81</v>
      </c>
      <c r="L863">
        <f>VLOOKUP(A863,Database!$A$2:$I$948,4,0)</f>
        <v>417.05</v>
      </c>
      <c r="M863" t="b">
        <f t="shared" si="29"/>
        <v>1</v>
      </c>
      <c r="N863">
        <f>VLOOKUP(A863,Database!$A$2:$I$948,5,0)</f>
        <v>1</v>
      </c>
    </row>
    <row r="864" spans="1:14" hidden="1" x14ac:dyDescent="0.35">
      <c r="A864" s="3">
        <v>103407593</v>
      </c>
      <c r="B864" s="3" t="s">
        <v>1810</v>
      </c>
      <c r="C864" s="3" t="str">
        <f t="shared" si="28"/>
        <v>2022-07-06</v>
      </c>
      <c r="D864" s="3" t="s">
        <v>9</v>
      </c>
      <c r="E864" s="3" t="s">
        <v>5</v>
      </c>
      <c r="F864" s="3" t="s">
        <v>10</v>
      </c>
      <c r="G864" s="3" t="s">
        <v>1811</v>
      </c>
      <c r="H864" s="3" t="s">
        <v>1812</v>
      </c>
      <c r="I864" s="4">
        <v>1899.05</v>
      </c>
      <c r="J864" s="3" t="s">
        <v>11</v>
      </c>
      <c r="K864">
        <f>MATCH(A864,Database!$A$2:$A$948,0)</f>
        <v>122</v>
      </c>
      <c r="L864">
        <f>VLOOKUP(A864,Database!$A$2:$I$948,4,0)</f>
        <v>1899.05</v>
      </c>
      <c r="M864" t="b">
        <f t="shared" si="29"/>
        <v>1</v>
      </c>
      <c r="N864">
        <f>VLOOKUP(A864,Database!$A$2:$I$948,5,0)</f>
        <v>1</v>
      </c>
    </row>
    <row r="865" spans="1:14" hidden="1" x14ac:dyDescent="0.35">
      <c r="A865" s="3">
        <v>103407583</v>
      </c>
      <c r="B865" s="3" t="s">
        <v>1813</v>
      </c>
      <c r="C865" s="3" t="str">
        <f t="shared" si="28"/>
        <v>2022-07-06</v>
      </c>
      <c r="D865" s="3" t="s">
        <v>9</v>
      </c>
      <c r="E865" s="3" t="s">
        <v>5</v>
      </c>
      <c r="F865" s="3" t="s">
        <v>10</v>
      </c>
      <c r="G865" s="3" t="s">
        <v>1814</v>
      </c>
      <c r="H865" s="3" t="s">
        <v>1815</v>
      </c>
      <c r="I865" s="5">
        <v>2309</v>
      </c>
      <c r="J865" s="3" t="s">
        <v>11</v>
      </c>
      <c r="K865">
        <f>MATCH(A865,Database!$A$2:$A$948,0)</f>
        <v>121</v>
      </c>
      <c r="L865">
        <f>VLOOKUP(A865,Database!$A$2:$I$948,4,0)</f>
        <v>2309</v>
      </c>
      <c r="M865" t="b">
        <f t="shared" si="29"/>
        <v>1</v>
      </c>
      <c r="N865">
        <f>VLOOKUP(A865,Database!$A$2:$I$948,5,0)</f>
        <v>1</v>
      </c>
    </row>
    <row r="866" spans="1:14" hidden="1" x14ac:dyDescent="0.35">
      <c r="A866" s="3">
        <v>103407580</v>
      </c>
      <c r="B866" s="3" t="s">
        <v>1816</v>
      </c>
      <c r="C866" s="3" t="str">
        <f t="shared" si="28"/>
        <v>2022-07-06</v>
      </c>
      <c r="D866" s="3" t="s">
        <v>9</v>
      </c>
      <c r="E866" s="3" t="s">
        <v>5</v>
      </c>
      <c r="F866" s="3" t="s">
        <v>10</v>
      </c>
      <c r="G866" s="3" t="s">
        <v>1817</v>
      </c>
      <c r="H866" s="3" t="s">
        <v>1818</v>
      </c>
      <c r="I866" s="4">
        <v>2469.0500000000002</v>
      </c>
      <c r="J866" s="3" t="s">
        <v>11</v>
      </c>
      <c r="K866">
        <f>MATCH(A866,Database!$A$2:$A$948,0)</f>
        <v>120</v>
      </c>
      <c r="L866">
        <f>VLOOKUP(A866,Database!$A$2:$I$948,4,0)</f>
        <v>2469.0500000000002</v>
      </c>
      <c r="M866" t="b">
        <f t="shared" si="29"/>
        <v>1</v>
      </c>
      <c r="N866">
        <f>VLOOKUP(A866,Database!$A$2:$I$948,5,0)</f>
        <v>1</v>
      </c>
    </row>
    <row r="867" spans="1:14" hidden="1" x14ac:dyDescent="0.35">
      <c r="A867" s="3">
        <v>103407577</v>
      </c>
      <c r="B867" s="3" t="s">
        <v>1819</v>
      </c>
      <c r="C867" s="3" t="str">
        <f t="shared" si="28"/>
        <v>2022-07-06</v>
      </c>
      <c r="D867" s="3" t="s">
        <v>9</v>
      </c>
      <c r="E867" s="3" t="s">
        <v>5</v>
      </c>
      <c r="F867" s="3" t="s">
        <v>10</v>
      </c>
      <c r="G867" s="3" t="s">
        <v>1820</v>
      </c>
      <c r="H867" s="3" t="s">
        <v>1821</v>
      </c>
      <c r="I867" s="5">
        <v>2999</v>
      </c>
      <c r="J867" s="3" t="s">
        <v>11</v>
      </c>
      <c r="K867">
        <f>MATCH(A867,Database!$A$2:$A$948,0)</f>
        <v>119</v>
      </c>
      <c r="L867">
        <f>VLOOKUP(A867,Database!$A$2:$I$948,4,0)</f>
        <v>2999</v>
      </c>
      <c r="M867" t="b">
        <f t="shared" si="29"/>
        <v>1</v>
      </c>
      <c r="N867">
        <f>VLOOKUP(A867,Database!$A$2:$I$948,5,0)</f>
        <v>1</v>
      </c>
    </row>
    <row r="868" spans="1:14" hidden="1" x14ac:dyDescent="0.35">
      <c r="A868" s="3">
        <v>103407575</v>
      </c>
      <c r="B868" s="3" t="s">
        <v>1822</v>
      </c>
      <c r="C868" s="3" t="str">
        <f t="shared" si="28"/>
        <v>2022-07-06</v>
      </c>
      <c r="D868" s="3" t="s">
        <v>9</v>
      </c>
      <c r="E868" s="3" t="s">
        <v>5</v>
      </c>
      <c r="F868" s="3" t="s">
        <v>10</v>
      </c>
      <c r="G868" s="3" t="s">
        <v>1823</v>
      </c>
      <c r="H868" s="3" t="s">
        <v>1824</v>
      </c>
      <c r="I868" s="3">
        <v>521.54999999999995</v>
      </c>
      <c r="J868" s="3" t="s">
        <v>11</v>
      </c>
      <c r="K868">
        <f>MATCH(A868,Database!$A$2:$A$948,0)</f>
        <v>118</v>
      </c>
      <c r="L868">
        <f>VLOOKUP(A868,Database!$A$2:$I$948,4,0)</f>
        <v>521.54999999999995</v>
      </c>
      <c r="M868" t="b">
        <f t="shared" si="29"/>
        <v>1</v>
      </c>
      <c r="N868">
        <f>VLOOKUP(A868,Database!$A$2:$I$948,5,0)</f>
        <v>1</v>
      </c>
    </row>
    <row r="869" spans="1:14" hidden="1" x14ac:dyDescent="0.35">
      <c r="A869" s="3">
        <v>103407573</v>
      </c>
      <c r="B869" s="3" t="s">
        <v>1825</v>
      </c>
      <c r="C869" s="3" t="str">
        <f t="shared" si="28"/>
        <v>2022-07-06</v>
      </c>
      <c r="D869" s="3" t="s">
        <v>9</v>
      </c>
      <c r="E869" s="3" t="s">
        <v>5</v>
      </c>
      <c r="F869" s="3" t="s">
        <v>10</v>
      </c>
      <c r="G869" s="3" t="s">
        <v>1826</v>
      </c>
      <c r="H869" s="3" t="s">
        <v>1827</v>
      </c>
      <c r="I869" s="5">
        <v>1499</v>
      </c>
      <c r="J869" s="3" t="s">
        <v>11</v>
      </c>
      <c r="K869">
        <f>MATCH(A869,Database!$A$2:$A$948,0)</f>
        <v>117</v>
      </c>
      <c r="L869">
        <f>VLOOKUP(A869,Database!$A$2:$I$948,4,0)</f>
        <v>1499</v>
      </c>
      <c r="M869" t="b">
        <f t="shared" si="29"/>
        <v>1</v>
      </c>
      <c r="N869">
        <f>VLOOKUP(A869,Database!$A$2:$I$948,5,0)</f>
        <v>1</v>
      </c>
    </row>
    <row r="870" spans="1:14" hidden="1" x14ac:dyDescent="0.35">
      <c r="A870" s="3">
        <v>103407571</v>
      </c>
      <c r="B870" s="3" t="s">
        <v>1828</v>
      </c>
      <c r="C870" s="3" t="str">
        <f t="shared" si="28"/>
        <v>2022-07-06</v>
      </c>
      <c r="D870" s="3" t="s">
        <v>9</v>
      </c>
      <c r="E870" s="3" t="s">
        <v>5</v>
      </c>
      <c r="F870" s="3" t="s">
        <v>10</v>
      </c>
      <c r="G870" s="3" t="s">
        <v>1829</v>
      </c>
      <c r="H870" s="3" t="s">
        <v>1830</v>
      </c>
      <c r="I870" s="4">
        <v>3797.15</v>
      </c>
      <c r="J870" s="3" t="s">
        <v>11</v>
      </c>
      <c r="K870">
        <f>MATCH(A870,Database!$A$2:$A$948,0)</f>
        <v>116</v>
      </c>
      <c r="L870">
        <f>VLOOKUP(A870,Database!$A$2:$I$948,4,0)</f>
        <v>3797.1499999999901</v>
      </c>
      <c r="M870" t="b">
        <f t="shared" si="29"/>
        <v>0</v>
      </c>
      <c r="N870">
        <f>VLOOKUP(A870,Database!$A$2:$I$948,5,0)</f>
        <v>3</v>
      </c>
    </row>
    <row r="871" spans="1:14" hidden="1" x14ac:dyDescent="0.35">
      <c r="A871" s="3">
        <v>103407568</v>
      </c>
      <c r="B871" s="3" t="s">
        <v>1831</v>
      </c>
      <c r="C871" s="3" t="str">
        <f t="shared" si="28"/>
        <v>2022-07-06</v>
      </c>
      <c r="D871" s="3" t="s">
        <v>9</v>
      </c>
      <c r="E871" s="3" t="s">
        <v>5</v>
      </c>
      <c r="F871" s="3" t="s">
        <v>10</v>
      </c>
      <c r="G871" s="3" t="s">
        <v>1832</v>
      </c>
      <c r="H871" s="3" t="s">
        <v>1833</v>
      </c>
      <c r="I871" s="5">
        <v>4799</v>
      </c>
      <c r="J871" s="3" t="s">
        <v>11</v>
      </c>
      <c r="K871">
        <f>MATCH(A871,Database!$A$2:$A$948,0)</f>
        <v>115</v>
      </c>
      <c r="L871">
        <f>VLOOKUP(A871,Database!$A$2:$I$948,4,0)</f>
        <v>4799</v>
      </c>
      <c r="M871" t="b">
        <f t="shared" si="29"/>
        <v>1</v>
      </c>
      <c r="N871">
        <f>VLOOKUP(A871,Database!$A$2:$I$948,5,0)</f>
        <v>1</v>
      </c>
    </row>
    <row r="872" spans="1:14" hidden="1" x14ac:dyDescent="0.35">
      <c r="A872" s="3">
        <v>103407566</v>
      </c>
      <c r="B872" s="3" t="s">
        <v>1834</v>
      </c>
      <c r="C872" s="3" t="str">
        <f t="shared" si="28"/>
        <v>2022-07-06</v>
      </c>
      <c r="D872" s="3" t="s">
        <v>9</v>
      </c>
      <c r="E872" s="3" t="s">
        <v>5</v>
      </c>
      <c r="F872" s="3" t="s">
        <v>10</v>
      </c>
      <c r="G872" s="3" t="s">
        <v>1835</v>
      </c>
      <c r="H872" s="3" t="s">
        <v>1836</v>
      </c>
      <c r="I872" s="5">
        <v>1119</v>
      </c>
      <c r="J872" s="3" t="s">
        <v>11</v>
      </c>
      <c r="K872">
        <f>MATCH(A872,Database!$A$2:$A$948,0)</f>
        <v>114</v>
      </c>
      <c r="L872">
        <f>VLOOKUP(A872,Database!$A$2:$I$948,4,0)</f>
        <v>1119</v>
      </c>
      <c r="M872" t="b">
        <f t="shared" si="29"/>
        <v>1</v>
      </c>
      <c r="N872">
        <f>VLOOKUP(A872,Database!$A$2:$I$948,5,0)</f>
        <v>1</v>
      </c>
    </row>
    <row r="873" spans="1:14" hidden="1" x14ac:dyDescent="0.35">
      <c r="A873" s="3">
        <v>103407559</v>
      </c>
      <c r="B873" s="3" t="s">
        <v>1837</v>
      </c>
      <c r="C873" s="3" t="str">
        <f t="shared" si="28"/>
        <v>2022-07-06</v>
      </c>
      <c r="D873" s="3" t="s">
        <v>9</v>
      </c>
      <c r="E873" s="3" t="s">
        <v>5</v>
      </c>
      <c r="F873" s="3" t="s">
        <v>12</v>
      </c>
      <c r="G873" s="3" t="s">
        <v>1838</v>
      </c>
      <c r="H873" s="3" t="s">
        <v>1839</v>
      </c>
      <c r="I873" s="3">
        <v>899</v>
      </c>
      <c r="J873" s="3" t="s">
        <v>11</v>
      </c>
      <c r="K873">
        <f>MATCH(A873,Database!$A$2:$A$948,0)</f>
        <v>113</v>
      </c>
      <c r="L873">
        <f>VLOOKUP(A873,Database!$A$2:$I$948,4,0)</f>
        <v>899</v>
      </c>
      <c r="M873" t="b">
        <f t="shared" si="29"/>
        <v>1</v>
      </c>
      <c r="N873">
        <f>VLOOKUP(A873,Database!$A$2:$I$948,5,0)</f>
        <v>1</v>
      </c>
    </row>
    <row r="874" spans="1:14" hidden="1" x14ac:dyDescent="0.35">
      <c r="A874" s="3">
        <v>103407558</v>
      </c>
      <c r="B874" s="3" t="s">
        <v>1840</v>
      </c>
      <c r="C874" s="3" t="str">
        <f t="shared" si="28"/>
        <v>2022-07-06</v>
      </c>
      <c r="D874" s="3" t="s">
        <v>9</v>
      </c>
      <c r="E874" s="3" t="s">
        <v>5</v>
      </c>
      <c r="F874" s="3" t="s">
        <v>10</v>
      </c>
      <c r="G874" s="3" t="s">
        <v>1841</v>
      </c>
      <c r="H874" s="3" t="s">
        <v>1842</v>
      </c>
      <c r="I874" s="5">
        <v>3116</v>
      </c>
      <c r="J874" s="3" t="s">
        <v>11</v>
      </c>
      <c r="K874">
        <f>MATCH(A874,Database!$A$2:$A$948,0)</f>
        <v>112</v>
      </c>
      <c r="L874">
        <f>VLOOKUP(A874,Database!$A$2:$I$948,4,0)</f>
        <v>3116</v>
      </c>
      <c r="M874" t="b">
        <f t="shared" si="29"/>
        <v>1</v>
      </c>
      <c r="N874">
        <f>VLOOKUP(A874,Database!$A$2:$I$948,5,0)</f>
        <v>4</v>
      </c>
    </row>
    <row r="875" spans="1:14" hidden="1" x14ac:dyDescent="0.35">
      <c r="A875" s="3">
        <v>103407557</v>
      </c>
      <c r="B875" s="3" t="s">
        <v>1843</v>
      </c>
      <c r="C875" s="3" t="str">
        <f t="shared" si="28"/>
        <v>2022-07-06</v>
      </c>
      <c r="D875" s="3" t="s">
        <v>9</v>
      </c>
      <c r="E875" s="3" t="s">
        <v>5</v>
      </c>
      <c r="F875" s="3" t="s">
        <v>12</v>
      </c>
      <c r="G875" s="3" t="s">
        <v>1844</v>
      </c>
      <c r="H875" s="3" t="s">
        <v>1845</v>
      </c>
      <c r="I875" s="3">
        <v>759.05</v>
      </c>
      <c r="J875" s="3" t="s">
        <v>11</v>
      </c>
      <c r="K875">
        <f>MATCH(A875,Database!$A$2:$A$948,0)</f>
        <v>111</v>
      </c>
      <c r="L875">
        <f>VLOOKUP(A875,Database!$A$2:$I$948,4,0)</f>
        <v>759.05</v>
      </c>
      <c r="M875" t="b">
        <f t="shared" si="29"/>
        <v>1</v>
      </c>
      <c r="N875">
        <f>VLOOKUP(A875,Database!$A$2:$I$948,5,0)</f>
        <v>1</v>
      </c>
    </row>
    <row r="876" spans="1:14" hidden="1" x14ac:dyDescent="0.35">
      <c r="A876" s="3">
        <v>103407556</v>
      </c>
      <c r="B876" s="3" t="s">
        <v>1846</v>
      </c>
      <c r="C876" s="3" t="str">
        <f t="shared" si="28"/>
        <v>2022-07-06</v>
      </c>
      <c r="D876" s="3" t="s">
        <v>9</v>
      </c>
      <c r="E876" s="3" t="s">
        <v>5</v>
      </c>
      <c r="F876" s="3" t="s">
        <v>10</v>
      </c>
      <c r="G876" s="3" t="s">
        <v>1847</v>
      </c>
      <c r="H876" s="3" t="s">
        <v>1848</v>
      </c>
      <c r="I876" s="4">
        <v>2715.1</v>
      </c>
      <c r="J876" s="3" t="s">
        <v>11</v>
      </c>
      <c r="K876">
        <f>MATCH(A876,Database!$A$2:$A$948,0)</f>
        <v>110</v>
      </c>
      <c r="L876">
        <f>VLOOKUP(A876,Database!$A$2:$I$948,4,0)</f>
        <v>2715.1</v>
      </c>
      <c r="M876" t="b">
        <f t="shared" si="29"/>
        <v>1</v>
      </c>
      <c r="N876">
        <f>VLOOKUP(A876,Database!$A$2:$I$948,5,0)</f>
        <v>2</v>
      </c>
    </row>
    <row r="877" spans="1:14" hidden="1" x14ac:dyDescent="0.35">
      <c r="A877" s="3">
        <v>103407555</v>
      </c>
      <c r="B877" s="3" t="s">
        <v>1849</v>
      </c>
      <c r="C877" s="3" t="str">
        <f t="shared" si="28"/>
        <v>2022-07-06</v>
      </c>
      <c r="D877" s="3" t="s">
        <v>9</v>
      </c>
      <c r="E877" s="3" t="s">
        <v>5</v>
      </c>
      <c r="F877" s="3" t="s">
        <v>10</v>
      </c>
      <c r="G877" s="3" t="s">
        <v>1850</v>
      </c>
      <c r="H877" s="3" t="s">
        <v>1851</v>
      </c>
      <c r="I877" s="5">
        <v>2699</v>
      </c>
      <c r="J877" s="3" t="s">
        <v>11</v>
      </c>
      <c r="K877">
        <f>MATCH(A877,Database!$A$2:$A$948,0)</f>
        <v>109</v>
      </c>
      <c r="L877">
        <f>VLOOKUP(A877,Database!$A$2:$I$948,4,0)</f>
        <v>2699</v>
      </c>
      <c r="M877" t="b">
        <f t="shared" si="29"/>
        <v>1</v>
      </c>
      <c r="N877">
        <f>VLOOKUP(A877,Database!$A$2:$I$948,5,0)</f>
        <v>1</v>
      </c>
    </row>
    <row r="878" spans="1:14" hidden="1" x14ac:dyDescent="0.35">
      <c r="A878" s="3">
        <v>103407550</v>
      </c>
      <c r="B878" s="3" t="s">
        <v>1852</v>
      </c>
      <c r="C878" s="3" t="str">
        <f t="shared" si="28"/>
        <v>2022-07-06</v>
      </c>
      <c r="D878" s="3" t="s">
        <v>9</v>
      </c>
      <c r="E878" s="3" t="s">
        <v>5</v>
      </c>
      <c r="F878" s="3" t="s">
        <v>12</v>
      </c>
      <c r="G878" s="3" t="s">
        <v>1853</v>
      </c>
      <c r="H878" s="3" t="s">
        <v>1854</v>
      </c>
      <c r="I878" s="5">
        <v>4499</v>
      </c>
      <c r="J878" s="3" t="s">
        <v>11</v>
      </c>
      <c r="K878">
        <f>MATCH(A878,Database!$A$2:$A$948,0)</f>
        <v>108</v>
      </c>
      <c r="L878">
        <f>VLOOKUP(A878,Database!$A$2:$I$948,4,0)</f>
        <v>4499</v>
      </c>
      <c r="M878" t="b">
        <f t="shared" si="29"/>
        <v>1</v>
      </c>
      <c r="N878">
        <f>VLOOKUP(A878,Database!$A$2:$I$948,5,0)</f>
        <v>1</v>
      </c>
    </row>
    <row r="879" spans="1:14" hidden="1" x14ac:dyDescent="0.35">
      <c r="A879" s="3">
        <v>103407547</v>
      </c>
      <c r="B879" s="3" t="s">
        <v>1855</v>
      </c>
      <c r="C879" s="3" t="str">
        <f t="shared" si="28"/>
        <v>2022-07-06</v>
      </c>
      <c r="D879" s="3" t="s">
        <v>9</v>
      </c>
      <c r="E879" s="3" t="s">
        <v>5</v>
      </c>
      <c r="F879" s="3" t="s">
        <v>10</v>
      </c>
      <c r="G879" s="3" t="s">
        <v>1856</v>
      </c>
      <c r="H879" s="3" t="s">
        <v>1857</v>
      </c>
      <c r="I879" s="3">
        <v>649</v>
      </c>
      <c r="J879" s="3" t="s">
        <v>11</v>
      </c>
      <c r="K879">
        <f>MATCH(A879,Database!$A$2:$A$948,0)</f>
        <v>107</v>
      </c>
      <c r="L879">
        <f>VLOOKUP(A879,Database!$A$2:$I$948,4,0)</f>
        <v>649</v>
      </c>
      <c r="M879" t="b">
        <f t="shared" si="29"/>
        <v>1</v>
      </c>
      <c r="N879">
        <f>VLOOKUP(A879,Database!$A$2:$I$948,5,0)</f>
        <v>1</v>
      </c>
    </row>
    <row r="880" spans="1:14" hidden="1" x14ac:dyDescent="0.35">
      <c r="A880" s="3">
        <v>103407544</v>
      </c>
      <c r="B880" s="3" t="s">
        <v>1858</v>
      </c>
      <c r="C880" s="3" t="str">
        <f t="shared" si="28"/>
        <v>2022-07-06</v>
      </c>
      <c r="D880" s="3" t="s">
        <v>9</v>
      </c>
      <c r="E880" s="3" t="s">
        <v>5</v>
      </c>
      <c r="F880" s="3" t="s">
        <v>10</v>
      </c>
      <c r="G880" s="3" t="s">
        <v>1859</v>
      </c>
      <c r="H880" s="3" t="s">
        <v>1860</v>
      </c>
      <c r="I880" s="5">
        <v>1259</v>
      </c>
      <c r="J880" s="3" t="s">
        <v>11</v>
      </c>
      <c r="K880">
        <f>MATCH(A880,Database!$A$2:$A$948,0)</f>
        <v>106</v>
      </c>
      <c r="L880">
        <f>VLOOKUP(A880,Database!$A$2:$I$948,4,0)</f>
        <v>1259</v>
      </c>
      <c r="M880" t="b">
        <f t="shared" si="29"/>
        <v>1</v>
      </c>
      <c r="N880">
        <f>VLOOKUP(A880,Database!$A$2:$I$948,5,0)</f>
        <v>1</v>
      </c>
    </row>
    <row r="881" spans="1:14" hidden="1" x14ac:dyDescent="0.35">
      <c r="A881" s="3">
        <v>103407434</v>
      </c>
      <c r="B881" s="3" t="s">
        <v>1861</v>
      </c>
      <c r="C881" s="3" t="str">
        <f t="shared" si="28"/>
        <v>2022-07-06</v>
      </c>
      <c r="D881" s="3" t="s">
        <v>9</v>
      </c>
      <c r="E881" s="3" t="s">
        <v>5</v>
      </c>
      <c r="F881" s="3" t="s">
        <v>10</v>
      </c>
      <c r="G881" s="3" t="s">
        <v>1862</v>
      </c>
      <c r="H881" s="3" t="s">
        <v>1863</v>
      </c>
      <c r="I881" s="5">
        <v>3899</v>
      </c>
      <c r="J881" s="3" t="s">
        <v>11</v>
      </c>
      <c r="K881">
        <f>MATCH(A881,Database!$A$2:$A$948,0)</f>
        <v>80</v>
      </c>
      <c r="L881">
        <f>VLOOKUP(A881,Database!$A$2:$I$948,4,0)</f>
        <v>3899</v>
      </c>
      <c r="M881" t="b">
        <f t="shared" si="29"/>
        <v>1</v>
      </c>
      <c r="N881">
        <f>VLOOKUP(A881,Database!$A$2:$I$948,5,0)</f>
        <v>1</v>
      </c>
    </row>
    <row r="882" spans="1:14" hidden="1" x14ac:dyDescent="0.35">
      <c r="A882" s="3">
        <v>103407431</v>
      </c>
      <c r="B882" s="3" t="s">
        <v>1864</v>
      </c>
      <c r="C882" s="3" t="str">
        <f t="shared" si="28"/>
        <v>2022-07-06</v>
      </c>
      <c r="D882" s="3" t="s">
        <v>9</v>
      </c>
      <c r="E882" s="3" t="s">
        <v>5</v>
      </c>
      <c r="F882" s="3" t="s">
        <v>10</v>
      </c>
      <c r="G882" s="3" t="s">
        <v>1865</v>
      </c>
      <c r="H882" s="3" t="s">
        <v>1866</v>
      </c>
      <c r="I882" s="4">
        <v>1136.25</v>
      </c>
      <c r="J882" s="3" t="s">
        <v>11</v>
      </c>
      <c r="K882">
        <f>MATCH(A882,Database!$A$2:$A$948,0)</f>
        <v>79</v>
      </c>
      <c r="L882">
        <f>VLOOKUP(A882,Database!$A$2:$I$948,4,0)</f>
        <v>1136.25</v>
      </c>
      <c r="M882" t="b">
        <f t="shared" si="29"/>
        <v>1</v>
      </c>
      <c r="N882">
        <f>VLOOKUP(A882,Database!$A$2:$I$948,5,0)</f>
        <v>1</v>
      </c>
    </row>
    <row r="883" spans="1:14" hidden="1" x14ac:dyDescent="0.35">
      <c r="A883" s="3">
        <v>103407430</v>
      </c>
      <c r="B883" s="3" t="s">
        <v>1867</v>
      </c>
      <c r="C883" s="3" t="str">
        <f t="shared" si="28"/>
        <v>2022-07-06</v>
      </c>
      <c r="D883" s="3" t="s">
        <v>9</v>
      </c>
      <c r="E883" s="3" t="s">
        <v>5</v>
      </c>
      <c r="F883" s="3" t="s">
        <v>10</v>
      </c>
      <c r="G883" s="3" t="s">
        <v>1868</v>
      </c>
      <c r="H883" s="3" t="s">
        <v>1869</v>
      </c>
      <c r="I883" s="4">
        <v>1661.55</v>
      </c>
      <c r="J883" s="3" t="s">
        <v>11</v>
      </c>
      <c r="K883" t="e">
        <f>MATCH(A883,Database!$A$2:$A$948,0)</f>
        <v>#N/A</v>
      </c>
      <c r="L883" t="e">
        <f>VLOOKUP(A883,Database!$A$2:$I$948,4,0)</f>
        <v>#N/A</v>
      </c>
      <c r="M883" t="e">
        <f t="shared" si="29"/>
        <v>#N/A</v>
      </c>
      <c r="N883" t="e">
        <f>VLOOKUP(A883,Database!$A$2:$I$948,5,0)</f>
        <v>#N/A</v>
      </c>
    </row>
    <row r="884" spans="1:14" hidden="1" x14ac:dyDescent="0.35">
      <c r="A884" s="3">
        <v>103407539</v>
      </c>
      <c r="B884" s="3" t="s">
        <v>1870</v>
      </c>
      <c r="C884" s="3" t="str">
        <f t="shared" si="28"/>
        <v>2022-07-06</v>
      </c>
      <c r="D884" s="3" t="s">
        <v>9</v>
      </c>
      <c r="E884" s="3" t="s">
        <v>5</v>
      </c>
      <c r="F884" s="3" t="s">
        <v>10</v>
      </c>
      <c r="G884" s="3" t="s">
        <v>1871</v>
      </c>
      <c r="H884" s="3" t="s">
        <v>1872</v>
      </c>
      <c r="I884" s="5">
        <v>1499</v>
      </c>
      <c r="J884" s="3" t="s">
        <v>11</v>
      </c>
      <c r="K884">
        <f>MATCH(A884,Database!$A$2:$A$948,0)</f>
        <v>105</v>
      </c>
      <c r="L884">
        <f>VLOOKUP(A884,Database!$A$2:$I$948,4,0)</f>
        <v>1499</v>
      </c>
      <c r="M884" t="b">
        <f t="shared" si="29"/>
        <v>1</v>
      </c>
      <c r="N884">
        <f>VLOOKUP(A884,Database!$A$2:$I$948,5,0)</f>
        <v>1</v>
      </c>
    </row>
    <row r="885" spans="1:14" hidden="1" x14ac:dyDescent="0.35">
      <c r="A885" s="3">
        <v>103407428</v>
      </c>
      <c r="B885" s="3" t="s">
        <v>1873</v>
      </c>
      <c r="C885" s="3" t="str">
        <f t="shared" si="28"/>
        <v>2022-07-06</v>
      </c>
      <c r="D885" s="3" t="s">
        <v>9</v>
      </c>
      <c r="E885" s="3" t="s">
        <v>5</v>
      </c>
      <c r="F885" s="3" t="s">
        <v>12</v>
      </c>
      <c r="G885" s="3" t="s">
        <v>1874</v>
      </c>
      <c r="H885" s="3" t="s">
        <v>1875</v>
      </c>
      <c r="I885" s="5">
        <v>2399</v>
      </c>
      <c r="J885" s="3" t="s">
        <v>11</v>
      </c>
      <c r="K885">
        <f>MATCH(A885,Database!$A$2:$A$948,0)</f>
        <v>78</v>
      </c>
      <c r="L885">
        <f>VLOOKUP(A885,Database!$A$2:$I$948,4,0)</f>
        <v>2399</v>
      </c>
      <c r="M885" t="b">
        <f t="shared" si="29"/>
        <v>1</v>
      </c>
      <c r="N885">
        <f>VLOOKUP(A885,Database!$A$2:$I$948,5,0)</f>
        <v>1</v>
      </c>
    </row>
    <row r="886" spans="1:14" hidden="1" x14ac:dyDescent="0.35">
      <c r="A886" s="3">
        <v>103407538</v>
      </c>
      <c r="B886" s="3" t="s">
        <v>1876</v>
      </c>
      <c r="C886" s="3" t="str">
        <f t="shared" si="28"/>
        <v>2022-07-06</v>
      </c>
      <c r="D886" s="3" t="s">
        <v>9</v>
      </c>
      <c r="E886" s="3" t="s">
        <v>5</v>
      </c>
      <c r="F886" s="3" t="s">
        <v>10</v>
      </c>
      <c r="G886" s="3" t="s">
        <v>1877</v>
      </c>
      <c r="H886" s="3" t="s">
        <v>1878</v>
      </c>
      <c r="I886" s="4">
        <v>4962.8500000000004</v>
      </c>
      <c r="J886" s="3" t="s">
        <v>11</v>
      </c>
      <c r="K886">
        <f>MATCH(A886,Database!$A$2:$A$948,0)</f>
        <v>104</v>
      </c>
      <c r="L886">
        <f>VLOOKUP(A886,Database!$A$2:$I$948,4,0)</f>
        <v>4962.8500000000004</v>
      </c>
      <c r="M886" t="b">
        <f t="shared" si="29"/>
        <v>1</v>
      </c>
      <c r="N886">
        <f>VLOOKUP(A886,Database!$A$2:$I$948,5,0)</f>
        <v>1</v>
      </c>
    </row>
    <row r="887" spans="1:14" hidden="1" x14ac:dyDescent="0.35">
      <c r="A887" s="3">
        <v>103407536</v>
      </c>
      <c r="B887" s="3" t="s">
        <v>1879</v>
      </c>
      <c r="C887" s="3" t="str">
        <f t="shared" si="28"/>
        <v>2022-07-06</v>
      </c>
      <c r="D887" s="3" t="s">
        <v>9</v>
      </c>
      <c r="E887" s="3" t="s">
        <v>5</v>
      </c>
      <c r="F887" s="3" t="s">
        <v>10</v>
      </c>
      <c r="G887" s="3" t="s">
        <v>1880</v>
      </c>
      <c r="H887" s="3" t="s">
        <v>1881</v>
      </c>
      <c r="I887" s="5">
        <v>3648</v>
      </c>
      <c r="J887" s="3" t="s">
        <v>11</v>
      </c>
      <c r="K887" t="e">
        <f>MATCH(A887,Database!$A$2:$A$948,0)</f>
        <v>#N/A</v>
      </c>
      <c r="L887" t="e">
        <f>VLOOKUP(A887,Database!$A$2:$I$948,4,0)</f>
        <v>#N/A</v>
      </c>
      <c r="M887" t="e">
        <f t="shared" si="29"/>
        <v>#N/A</v>
      </c>
      <c r="N887" t="e">
        <f>VLOOKUP(A887,Database!$A$2:$I$948,5,0)</f>
        <v>#N/A</v>
      </c>
    </row>
    <row r="888" spans="1:14" hidden="1" x14ac:dyDescent="0.35">
      <c r="A888" s="3">
        <v>103407533</v>
      </c>
      <c r="B888" s="3" t="s">
        <v>1882</v>
      </c>
      <c r="C888" s="3" t="str">
        <f t="shared" si="28"/>
        <v>2022-07-06</v>
      </c>
      <c r="D888" s="3" t="s">
        <v>9</v>
      </c>
      <c r="E888" s="3" t="s">
        <v>5</v>
      </c>
      <c r="F888" s="3" t="s">
        <v>12</v>
      </c>
      <c r="G888" s="3" t="s">
        <v>1883</v>
      </c>
      <c r="H888" s="3" t="s">
        <v>1884</v>
      </c>
      <c r="I888" s="5">
        <v>1259</v>
      </c>
      <c r="J888" s="3" t="s">
        <v>11</v>
      </c>
      <c r="K888">
        <f>MATCH(A888,Database!$A$2:$A$948,0)</f>
        <v>103</v>
      </c>
      <c r="L888">
        <f>VLOOKUP(A888,Database!$A$2:$I$948,4,0)</f>
        <v>1259</v>
      </c>
      <c r="M888" t="b">
        <f t="shared" si="29"/>
        <v>1</v>
      </c>
      <c r="N888">
        <f>VLOOKUP(A888,Database!$A$2:$I$948,5,0)</f>
        <v>1</v>
      </c>
    </row>
    <row r="889" spans="1:14" hidden="1" x14ac:dyDescent="0.35">
      <c r="A889" s="3">
        <v>103407532</v>
      </c>
      <c r="B889" s="3" t="s">
        <v>1885</v>
      </c>
      <c r="C889" s="3" t="str">
        <f t="shared" si="28"/>
        <v>2022-07-06</v>
      </c>
      <c r="D889" s="3" t="s">
        <v>9</v>
      </c>
      <c r="E889" s="3" t="s">
        <v>5</v>
      </c>
      <c r="F889" s="3" t="s">
        <v>10</v>
      </c>
      <c r="G889" s="3" t="s">
        <v>1886</v>
      </c>
      <c r="H889" s="3" t="s">
        <v>1887</v>
      </c>
      <c r="I889" s="4">
        <v>4008.05</v>
      </c>
      <c r="J889" s="3" t="s">
        <v>11</v>
      </c>
      <c r="K889">
        <f>MATCH(A889,Database!$A$2:$A$948,0)</f>
        <v>102</v>
      </c>
      <c r="L889">
        <f>VLOOKUP(A889,Database!$A$2:$I$948,4,0)</f>
        <v>4008.05</v>
      </c>
      <c r="M889" t="b">
        <f t="shared" si="29"/>
        <v>1</v>
      </c>
      <c r="N889">
        <f>VLOOKUP(A889,Database!$A$2:$I$948,5,0)</f>
        <v>1</v>
      </c>
    </row>
    <row r="890" spans="1:14" hidden="1" x14ac:dyDescent="0.35">
      <c r="A890" s="3">
        <v>103407426</v>
      </c>
      <c r="B890" s="3" t="s">
        <v>1888</v>
      </c>
      <c r="C890" s="3" t="str">
        <f t="shared" si="28"/>
        <v>2022-07-06</v>
      </c>
      <c r="D890" s="3" t="s">
        <v>9</v>
      </c>
      <c r="E890" s="3" t="s">
        <v>5</v>
      </c>
      <c r="F890" s="3" t="s">
        <v>10</v>
      </c>
      <c r="G890" s="3" t="s">
        <v>1889</v>
      </c>
      <c r="H890" s="3" t="s">
        <v>1890</v>
      </c>
      <c r="I890" s="5">
        <v>1428</v>
      </c>
      <c r="J890" s="3" t="s">
        <v>11</v>
      </c>
      <c r="K890">
        <f>MATCH(A890,Database!$A$2:$A$948,0)</f>
        <v>77</v>
      </c>
      <c r="L890">
        <f>VLOOKUP(A890,Database!$A$2:$I$948,4,0)</f>
        <v>1428</v>
      </c>
      <c r="M890" t="b">
        <f t="shared" si="29"/>
        <v>1</v>
      </c>
      <c r="N890">
        <f>VLOOKUP(A890,Database!$A$2:$I$948,5,0)</f>
        <v>2</v>
      </c>
    </row>
    <row r="891" spans="1:14" hidden="1" x14ac:dyDescent="0.35">
      <c r="A891" s="3">
        <v>103407425</v>
      </c>
      <c r="B891" s="3" t="s">
        <v>1891</v>
      </c>
      <c r="C891" s="3" t="str">
        <f t="shared" si="28"/>
        <v>2022-07-06</v>
      </c>
      <c r="D891" s="3" t="s">
        <v>9</v>
      </c>
      <c r="E891" s="3" t="s">
        <v>5</v>
      </c>
      <c r="F891" s="3" t="s">
        <v>10</v>
      </c>
      <c r="G891" s="3" t="s">
        <v>1892</v>
      </c>
      <c r="H891" s="3" t="s">
        <v>1893</v>
      </c>
      <c r="I891" s="4">
        <v>4767.1000000000004</v>
      </c>
      <c r="J891" s="3" t="s">
        <v>11</v>
      </c>
      <c r="K891">
        <f>MATCH(A891,Database!$A$2:$A$948,0)</f>
        <v>76</v>
      </c>
      <c r="L891">
        <f>VLOOKUP(A891,Database!$A$2:$I$948,4,0)</f>
        <v>4767.1000000000004</v>
      </c>
      <c r="M891" t="b">
        <f t="shared" si="29"/>
        <v>1</v>
      </c>
      <c r="N891">
        <f>VLOOKUP(A891,Database!$A$2:$I$948,5,0)</f>
        <v>2</v>
      </c>
    </row>
    <row r="892" spans="1:14" hidden="1" x14ac:dyDescent="0.35">
      <c r="A892" s="3">
        <v>103407526</v>
      </c>
      <c r="B892" s="3" t="s">
        <v>1894</v>
      </c>
      <c r="C892" s="3" t="str">
        <f t="shared" si="28"/>
        <v>2022-07-06</v>
      </c>
      <c r="D892" s="3" t="s">
        <v>9</v>
      </c>
      <c r="E892" s="3" t="s">
        <v>5</v>
      </c>
      <c r="F892" s="3" t="s">
        <v>10</v>
      </c>
      <c r="G892" s="3" t="s">
        <v>1895</v>
      </c>
      <c r="H892" s="3" t="s">
        <v>1896</v>
      </c>
      <c r="I892" s="4">
        <v>2098.5</v>
      </c>
      <c r="J892" s="3" t="s">
        <v>11</v>
      </c>
      <c r="K892">
        <f>MATCH(A892,Database!$A$2:$A$948,0)</f>
        <v>101</v>
      </c>
      <c r="L892">
        <f>VLOOKUP(A892,Database!$A$2:$I$948,4,0)</f>
        <v>2098.5</v>
      </c>
      <c r="M892" t="b">
        <f t="shared" si="29"/>
        <v>1</v>
      </c>
      <c r="N892">
        <f>VLOOKUP(A892,Database!$A$2:$I$948,5,0)</f>
        <v>2</v>
      </c>
    </row>
    <row r="893" spans="1:14" hidden="1" x14ac:dyDescent="0.35">
      <c r="A893" s="3">
        <v>103407523</v>
      </c>
      <c r="B893" s="3" t="s">
        <v>1897</v>
      </c>
      <c r="C893" s="3" t="str">
        <f t="shared" si="28"/>
        <v>2022-07-06</v>
      </c>
      <c r="D893" s="3" t="s">
        <v>9</v>
      </c>
      <c r="E893" s="3" t="s">
        <v>5</v>
      </c>
      <c r="F893" s="3" t="s">
        <v>10</v>
      </c>
      <c r="G893" s="3" t="s">
        <v>1898</v>
      </c>
      <c r="H893" s="3" t="s">
        <v>1899</v>
      </c>
      <c r="I893" s="4">
        <v>2393.14</v>
      </c>
      <c r="J893" s="3" t="s">
        <v>11</v>
      </c>
      <c r="K893">
        <f>MATCH(A893,Database!$A$2:$A$948,0)</f>
        <v>100</v>
      </c>
      <c r="L893">
        <f>VLOOKUP(A893,Database!$A$2:$I$948,4,0)</f>
        <v>2393.14</v>
      </c>
      <c r="M893" t="b">
        <f t="shared" si="29"/>
        <v>1</v>
      </c>
      <c r="N893">
        <f>VLOOKUP(A893,Database!$A$2:$I$948,5,0)</f>
        <v>1</v>
      </c>
    </row>
    <row r="894" spans="1:14" hidden="1" x14ac:dyDescent="0.35">
      <c r="A894" s="3">
        <v>103407422</v>
      </c>
      <c r="B894" s="3" t="s">
        <v>1900</v>
      </c>
      <c r="C894" s="3" t="str">
        <f t="shared" si="28"/>
        <v>2022-07-06</v>
      </c>
      <c r="D894" s="3" t="s">
        <v>9</v>
      </c>
      <c r="E894" s="3" t="s">
        <v>5</v>
      </c>
      <c r="F894" s="3" t="s">
        <v>10</v>
      </c>
      <c r="G894" s="3" t="s">
        <v>1901</v>
      </c>
      <c r="H894" s="3" t="s">
        <v>1902</v>
      </c>
      <c r="I894" s="3">
        <v>839</v>
      </c>
      <c r="J894" s="3" t="s">
        <v>11</v>
      </c>
      <c r="K894">
        <f>MATCH(A894,Database!$A$2:$A$948,0)</f>
        <v>75</v>
      </c>
      <c r="L894">
        <f>VLOOKUP(A894,Database!$A$2:$I$948,4,0)</f>
        <v>839</v>
      </c>
      <c r="M894" t="b">
        <f t="shared" si="29"/>
        <v>1</v>
      </c>
      <c r="N894">
        <f>VLOOKUP(A894,Database!$A$2:$I$948,5,0)</f>
        <v>1</v>
      </c>
    </row>
    <row r="895" spans="1:14" hidden="1" x14ac:dyDescent="0.35">
      <c r="A895" s="3">
        <v>103407518</v>
      </c>
      <c r="B895" s="3" t="s">
        <v>1903</v>
      </c>
      <c r="C895" s="3" t="str">
        <f t="shared" si="28"/>
        <v>2022-07-06</v>
      </c>
      <c r="D895" s="3" t="s">
        <v>9</v>
      </c>
      <c r="E895" s="3" t="s">
        <v>5</v>
      </c>
      <c r="F895" s="3" t="s">
        <v>10</v>
      </c>
      <c r="G895" s="3" t="s">
        <v>1904</v>
      </c>
      <c r="H895" s="3" t="s">
        <v>1905</v>
      </c>
      <c r="I895" s="4">
        <v>3656.55</v>
      </c>
      <c r="J895" s="3" t="s">
        <v>11</v>
      </c>
      <c r="K895">
        <f>MATCH(A895,Database!$A$2:$A$948,0)</f>
        <v>99</v>
      </c>
      <c r="L895">
        <f>VLOOKUP(A895,Database!$A$2:$I$948,4,0)</f>
        <v>3656.55</v>
      </c>
      <c r="M895" t="b">
        <f t="shared" si="29"/>
        <v>1</v>
      </c>
      <c r="N895">
        <f>VLOOKUP(A895,Database!$A$2:$I$948,5,0)</f>
        <v>1</v>
      </c>
    </row>
    <row r="896" spans="1:14" hidden="1" x14ac:dyDescent="0.35">
      <c r="A896" s="3">
        <v>103407514</v>
      </c>
      <c r="B896" s="3" t="s">
        <v>1906</v>
      </c>
      <c r="C896" s="3" t="str">
        <f t="shared" si="28"/>
        <v>2022-07-06</v>
      </c>
      <c r="D896" s="3" t="s">
        <v>9</v>
      </c>
      <c r="E896" s="3" t="s">
        <v>5</v>
      </c>
      <c r="F896" s="3" t="s">
        <v>10</v>
      </c>
      <c r="G896" s="3" t="s">
        <v>1907</v>
      </c>
      <c r="H896" s="3" t="s">
        <v>1908</v>
      </c>
      <c r="I896" s="5">
        <v>3149</v>
      </c>
      <c r="J896" s="3" t="s">
        <v>11</v>
      </c>
      <c r="K896">
        <f>MATCH(A896,Database!$A$2:$A$948,0)</f>
        <v>98</v>
      </c>
      <c r="L896">
        <f>VLOOKUP(A896,Database!$A$2:$I$948,4,0)</f>
        <v>3149</v>
      </c>
      <c r="M896" t="b">
        <f t="shared" si="29"/>
        <v>1</v>
      </c>
      <c r="N896">
        <f>VLOOKUP(A896,Database!$A$2:$I$948,5,0)</f>
        <v>1</v>
      </c>
    </row>
    <row r="897" spans="1:14" hidden="1" x14ac:dyDescent="0.35">
      <c r="A897" s="3">
        <v>103407511</v>
      </c>
      <c r="B897" s="3" t="s">
        <v>1909</v>
      </c>
      <c r="C897" s="3" t="str">
        <f t="shared" si="28"/>
        <v>2022-07-06</v>
      </c>
      <c r="D897" s="3" t="s">
        <v>9</v>
      </c>
      <c r="E897" s="3" t="s">
        <v>5</v>
      </c>
      <c r="F897" s="3" t="s">
        <v>12</v>
      </c>
      <c r="G897" s="3" t="s">
        <v>1910</v>
      </c>
      <c r="H897" s="3" t="s">
        <v>1911</v>
      </c>
      <c r="I897" s="5">
        <v>1079</v>
      </c>
      <c r="J897" s="3" t="s">
        <v>11</v>
      </c>
      <c r="K897">
        <f>MATCH(A897,Database!$A$2:$A$948,0)</f>
        <v>97</v>
      </c>
      <c r="L897">
        <f>VLOOKUP(A897,Database!$A$2:$I$948,4,0)</f>
        <v>1079</v>
      </c>
      <c r="M897" t="b">
        <f t="shared" si="29"/>
        <v>1</v>
      </c>
      <c r="N897">
        <f>VLOOKUP(A897,Database!$A$2:$I$948,5,0)</f>
        <v>1</v>
      </c>
    </row>
    <row r="898" spans="1:14" hidden="1" x14ac:dyDescent="0.35">
      <c r="A898" s="3">
        <v>103407508</v>
      </c>
      <c r="B898" s="3" t="s">
        <v>1912</v>
      </c>
      <c r="C898" s="3" t="str">
        <f t="shared" si="28"/>
        <v>2022-07-06</v>
      </c>
      <c r="D898" s="3" t="s">
        <v>9</v>
      </c>
      <c r="E898" s="3" t="s">
        <v>5</v>
      </c>
      <c r="F898" s="3" t="s">
        <v>12</v>
      </c>
      <c r="G898" s="3" t="s">
        <v>1913</v>
      </c>
      <c r="H898" s="3" t="s">
        <v>1914</v>
      </c>
      <c r="I898" s="4">
        <v>2089.0500000000002</v>
      </c>
      <c r="J898" s="3" t="s">
        <v>11</v>
      </c>
      <c r="K898">
        <f>MATCH(A898,Database!$A$2:$A$948,0)</f>
        <v>96</v>
      </c>
      <c r="L898">
        <f>VLOOKUP(A898,Database!$A$2:$I$948,4,0)</f>
        <v>2089.0500000000002</v>
      </c>
      <c r="M898" t="b">
        <f t="shared" si="29"/>
        <v>1</v>
      </c>
      <c r="N898">
        <f>VLOOKUP(A898,Database!$A$2:$I$948,5,0)</f>
        <v>1</v>
      </c>
    </row>
    <row r="899" spans="1:14" hidden="1" x14ac:dyDescent="0.35">
      <c r="A899" s="3">
        <v>103407506</v>
      </c>
      <c r="B899" s="3" t="s">
        <v>1915</v>
      </c>
      <c r="C899" s="3" t="str">
        <f t="shared" ref="C899:C962" si="30">LEFT(B899,FIND("T",B899)-1)</f>
        <v>2022-07-06</v>
      </c>
      <c r="D899" s="3" t="s">
        <v>9</v>
      </c>
      <c r="E899" s="3" t="s">
        <v>5</v>
      </c>
      <c r="F899" s="3" t="s">
        <v>10</v>
      </c>
      <c r="G899" s="3" t="s">
        <v>1916</v>
      </c>
      <c r="H899" s="3" t="s">
        <v>1917</v>
      </c>
      <c r="I899" s="4">
        <v>2051.14</v>
      </c>
      <c r="J899" s="3" t="s">
        <v>11</v>
      </c>
      <c r="K899">
        <f>MATCH(A899,Database!$A$2:$A$948,0)</f>
        <v>95</v>
      </c>
      <c r="L899">
        <f>VLOOKUP(A899,Database!$A$2:$I$948,4,0)</f>
        <v>2051.14</v>
      </c>
      <c r="M899" t="b">
        <f t="shared" si="29"/>
        <v>1</v>
      </c>
      <c r="N899">
        <f>VLOOKUP(A899,Database!$A$2:$I$948,5,0)</f>
        <v>1</v>
      </c>
    </row>
    <row r="900" spans="1:14" hidden="1" x14ac:dyDescent="0.35">
      <c r="A900" s="3">
        <v>103407410</v>
      </c>
      <c r="B900" s="3" t="s">
        <v>1918</v>
      </c>
      <c r="C900" s="3" t="str">
        <f t="shared" si="30"/>
        <v>2022-07-06</v>
      </c>
      <c r="D900" s="3" t="s">
        <v>9</v>
      </c>
      <c r="E900" s="3" t="s">
        <v>5</v>
      </c>
      <c r="F900" s="3" t="s">
        <v>10</v>
      </c>
      <c r="G900" s="3" t="s">
        <v>1919</v>
      </c>
      <c r="H900" s="3" t="s">
        <v>1920</v>
      </c>
      <c r="I900" s="5">
        <v>1269</v>
      </c>
      <c r="J900" s="3" t="s">
        <v>11</v>
      </c>
      <c r="K900">
        <f>MATCH(A900,Database!$A$2:$A$948,0)</f>
        <v>74</v>
      </c>
      <c r="L900">
        <f>VLOOKUP(A900,Database!$A$2:$I$948,4,0)</f>
        <v>1269</v>
      </c>
      <c r="M900" t="b">
        <f t="shared" si="29"/>
        <v>1</v>
      </c>
      <c r="N900">
        <f>VLOOKUP(A900,Database!$A$2:$I$948,5,0)</f>
        <v>1</v>
      </c>
    </row>
    <row r="901" spans="1:14" hidden="1" x14ac:dyDescent="0.35">
      <c r="A901" s="3">
        <v>103407505</v>
      </c>
      <c r="B901" s="3" t="s">
        <v>1921</v>
      </c>
      <c r="C901" s="3" t="str">
        <f t="shared" si="30"/>
        <v>2022-07-06</v>
      </c>
      <c r="D901" s="3" t="s">
        <v>9</v>
      </c>
      <c r="E901" s="3" t="s">
        <v>5</v>
      </c>
      <c r="F901" s="3" t="s">
        <v>10</v>
      </c>
      <c r="G901" s="3" t="s">
        <v>1922</v>
      </c>
      <c r="H901" s="3" t="s">
        <v>1923</v>
      </c>
      <c r="I901" s="3">
        <v>540.6</v>
      </c>
      <c r="J901" s="3" t="s">
        <v>11</v>
      </c>
      <c r="K901">
        <f>MATCH(A901,Database!$A$2:$A$948,0)</f>
        <v>94</v>
      </c>
      <c r="L901">
        <f>VLOOKUP(A901,Database!$A$2:$I$948,4,0)</f>
        <v>540.6</v>
      </c>
      <c r="M901" t="b">
        <f t="shared" si="29"/>
        <v>1</v>
      </c>
      <c r="N901">
        <f>VLOOKUP(A901,Database!$A$2:$I$948,5,0)</f>
        <v>1</v>
      </c>
    </row>
    <row r="902" spans="1:14" hidden="1" x14ac:dyDescent="0.35">
      <c r="A902" s="3">
        <v>103407503</v>
      </c>
      <c r="B902" s="3" t="s">
        <v>1924</v>
      </c>
      <c r="C902" s="3" t="str">
        <f t="shared" si="30"/>
        <v>2022-07-06</v>
      </c>
      <c r="D902" s="3" t="s">
        <v>9</v>
      </c>
      <c r="E902" s="3" t="s">
        <v>5</v>
      </c>
      <c r="F902" s="3" t="s">
        <v>10</v>
      </c>
      <c r="G902" s="3" t="s">
        <v>1925</v>
      </c>
      <c r="H902" s="3" t="s">
        <v>1926</v>
      </c>
      <c r="I902" s="4">
        <v>2279.0500000000002</v>
      </c>
      <c r="J902" s="3" t="s">
        <v>11</v>
      </c>
      <c r="K902">
        <f>MATCH(A902,Database!$A$2:$A$948,0)</f>
        <v>93</v>
      </c>
      <c r="L902">
        <f>VLOOKUP(A902,Database!$A$2:$I$948,4,0)</f>
        <v>2279.0500000000002</v>
      </c>
      <c r="M902" t="b">
        <f t="shared" si="29"/>
        <v>1</v>
      </c>
      <c r="N902">
        <f>VLOOKUP(A902,Database!$A$2:$I$948,5,0)</f>
        <v>1</v>
      </c>
    </row>
    <row r="903" spans="1:14" hidden="1" x14ac:dyDescent="0.35">
      <c r="A903" s="3">
        <v>103407408</v>
      </c>
      <c r="B903" s="3" t="s">
        <v>1927</v>
      </c>
      <c r="C903" s="3" t="str">
        <f t="shared" si="30"/>
        <v>2022-07-06</v>
      </c>
      <c r="D903" s="3" t="s">
        <v>9</v>
      </c>
      <c r="E903" s="3" t="s">
        <v>5</v>
      </c>
      <c r="F903" s="3" t="s">
        <v>10</v>
      </c>
      <c r="G903" s="3" t="s">
        <v>1928</v>
      </c>
      <c r="H903" s="3" t="s">
        <v>1929</v>
      </c>
      <c r="I903" s="5">
        <v>4549</v>
      </c>
      <c r="J903" s="3" t="s">
        <v>11</v>
      </c>
      <c r="K903">
        <f>MATCH(A903,Database!$A$2:$A$948,0)</f>
        <v>73</v>
      </c>
      <c r="L903">
        <f>VLOOKUP(A903,Database!$A$2:$I$948,4,0)</f>
        <v>4549</v>
      </c>
      <c r="M903" t="b">
        <f t="shared" si="29"/>
        <v>1</v>
      </c>
      <c r="N903">
        <f>VLOOKUP(A903,Database!$A$2:$I$948,5,0)</f>
        <v>1</v>
      </c>
    </row>
    <row r="904" spans="1:14" hidden="1" x14ac:dyDescent="0.35">
      <c r="A904" s="3">
        <v>103407406</v>
      </c>
      <c r="B904" s="3" t="s">
        <v>1930</v>
      </c>
      <c r="C904" s="3" t="str">
        <f t="shared" si="30"/>
        <v>2022-07-06</v>
      </c>
      <c r="D904" s="3" t="s">
        <v>9</v>
      </c>
      <c r="E904" s="3" t="s">
        <v>5</v>
      </c>
      <c r="F904" s="3" t="s">
        <v>10</v>
      </c>
      <c r="G904" s="3" t="s">
        <v>1931</v>
      </c>
      <c r="H904" s="3" t="s">
        <v>1932</v>
      </c>
      <c r="I904" s="3">
        <v>673.55</v>
      </c>
      <c r="J904" s="3" t="s">
        <v>11</v>
      </c>
      <c r="K904">
        <f>MATCH(A904,Database!$A$2:$A$948,0)</f>
        <v>72</v>
      </c>
      <c r="L904">
        <f>VLOOKUP(A904,Database!$A$2:$I$948,4,0)</f>
        <v>673.55</v>
      </c>
      <c r="M904" t="b">
        <f t="shared" si="29"/>
        <v>1</v>
      </c>
      <c r="N904">
        <f>VLOOKUP(A904,Database!$A$2:$I$948,5,0)</f>
        <v>1</v>
      </c>
    </row>
    <row r="905" spans="1:14" hidden="1" x14ac:dyDescent="0.35">
      <c r="A905" s="3">
        <v>103407405</v>
      </c>
      <c r="B905" s="3" t="s">
        <v>1933</v>
      </c>
      <c r="C905" s="3" t="str">
        <f t="shared" si="30"/>
        <v>2022-07-06</v>
      </c>
      <c r="D905" s="3" t="s">
        <v>9</v>
      </c>
      <c r="E905" s="3" t="s">
        <v>5</v>
      </c>
      <c r="F905" s="3" t="s">
        <v>10</v>
      </c>
      <c r="G905" s="3" t="s">
        <v>1934</v>
      </c>
      <c r="H905" s="3" t="s">
        <v>1935</v>
      </c>
      <c r="I905" s="5">
        <v>3499</v>
      </c>
      <c r="J905" s="3" t="s">
        <v>11</v>
      </c>
      <c r="K905">
        <f>MATCH(A905,Database!$A$2:$A$948,0)</f>
        <v>71</v>
      </c>
      <c r="L905">
        <f>VLOOKUP(A905,Database!$A$2:$I$948,4,0)</f>
        <v>3499</v>
      </c>
      <c r="M905" t="b">
        <f t="shared" si="29"/>
        <v>1</v>
      </c>
      <c r="N905">
        <f>VLOOKUP(A905,Database!$A$2:$I$948,5,0)</f>
        <v>1</v>
      </c>
    </row>
    <row r="906" spans="1:14" hidden="1" x14ac:dyDescent="0.35">
      <c r="A906" s="3">
        <v>103407494</v>
      </c>
      <c r="B906" s="3" t="s">
        <v>1936</v>
      </c>
      <c r="C906" s="3" t="str">
        <f t="shared" si="30"/>
        <v>2022-07-06</v>
      </c>
      <c r="D906" s="3" t="s">
        <v>9</v>
      </c>
      <c r="E906" s="3" t="s">
        <v>5</v>
      </c>
      <c r="F906" s="3" t="s">
        <v>10</v>
      </c>
      <c r="G906" s="3" t="s">
        <v>1937</v>
      </c>
      <c r="H906" s="3" t="s">
        <v>1938</v>
      </c>
      <c r="I906" s="4">
        <v>3324.05</v>
      </c>
      <c r="J906" s="3" t="s">
        <v>11</v>
      </c>
      <c r="K906">
        <f>MATCH(A906,Database!$A$2:$A$948,0)</f>
        <v>92</v>
      </c>
      <c r="L906">
        <f>VLOOKUP(A906,Database!$A$2:$I$948,4,0)</f>
        <v>3324.05</v>
      </c>
      <c r="M906" t="b">
        <f t="shared" si="29"/>
        <v>1</v>
      </c>
      <c r="N906">
        <f>VLOOKUP(A906,Database!$A$2:$I$948,5,0)</f>
        <v>1</v>
      </c>
    </row>
    <row r="907" spans="1:14" hidden="1" x14ac:dyDescent="0.35">
      <c r="A907" s="3">
        <v>103407402</v>
      </c>
      <c r="B907" s="3" t="s">
        <v>1939</v>
      </c>
      <c r="C907" s="3" t="str">
        <f t="shared" si="30"/>
        <v>2022-07-06</v>
      </c>
      <c r="D907" s="3" t="s">
        <v>9</v>
      </c>
      <c r="E907" s="3" t="s">
        <v>5</v>
      </c>
      <c r="F907" s="3" t="s">
        <v>10</v>
      </c>
      <c r="G907" s="3" t="s">
        <v>1940</v>
      </c>
      <c r="H907" s="3" t="s">
        <v>1941</v>
      </c>
      <c r="I907" s="3">
        <v>626.04999999999995</v>
      </c>
      <c r="J907" s="3" t="s">
        <v>11</v>
      </c>
      <c r="K907">
        <f>MATCH(A907,Database!$A$2:$A$948,0)</f>
        <v>70</v>
      </c>
      <c r="L907">
        <f>VLOOKUP(A907,Database!$A$2:$I$948,4,0)</f>
        <v>626.04999999999995</v>
      </c>
      <c r="M907" t="b">
        <f t="shared" si="29"/>
        <v>1</v>
      </c>
      <c r="N907">
        <f>VLOOKUP(A907,Database!$A$2:$I$948,5,0)</f>
        <v>1</v>
      </c>
    </row>
    <row r="908" spans="1:14" hidden="1" x14ac:dyDescent="0.35">
      <c r="A908" s="3">
        <v>103407491</v>
      </c>
      <c r="B908" s="3" t="s">
        <v>1942</v>
      </c>
      <c r="C908" s="3" t="str">
        <f t="shared" si="30"/>
        <v>2022-07-06</v>
      </c>
      <c r="D908" s="3" t="s">
        <v>9</v>
      </c>
      <c r="E908" s="3" t="s">
        <v>5</v>
      </c>
      <c r="F908" s="3" t="s">
        <v>10</v>
      </c>
      <c r="G908" s="3" t="s">
        <v>1943</v>
      </c>
      <c r="H908" s="3" t="s">
        <v>1944</v>
      </c>
      <c r="I908" s="5">
        <v>2399</v>
      </c>
      <c r="J908" s="3" t="s">
        <v>11</v>
      </c>
      <c r="K908">
        <f>MATCH(A908,Database!$A$2:$A$948,0)</f>
        <v>91</v>
      </c>
      <c r="L908">
        <f>VLOOKUP(A908,Database!$A$2:$I$948,4,0)</f>
        <v>2399</v>
      </c>
      <c r="M908" t="b">
        <f t="shared" ref="M908:M971" si="31">I908=L908</f>
        <v>1</v>
      </c>
      <c r="N908">
        <f>VLOOKUP(A908,Database!$A$2:$I$948,5,0)</f>
        <v>1</v>
      </c>
    </row>
    <row r="909" spans="1:14" hidden="1" x14ac:dyDescent="0.35">
      <c r="A909" s="3">
        <v>103407392</v>
      </c>
      <c r="B909" s="3" t="s">
        <v>1945</v>
      </c>
      <c r="C909" s="3" t="str">
        <f t="shared" si="30"/>
        <v>2022-07-06</v>
      </c>
      <c r="D909" s="3" t="s">
        <v>9</v>
      </c>
      <c r="E909" s="3" t="s">
        <v>5</v>
      </c>
      <c r="F909" s="3" t="s">
        <v>10</v>
      </c>
      <c r="G909" s="3" t="s">
        <v>1946</v>
      </c>
      <c r="H909" s="3" t="s">
        <v>1947</v>
      </c>
      <c r="I909" s="5">
        <v>2309</v>
      </c>
      <c r="J909" s="3" t="s">
        <v>11</v>
      </c>
      <c r="K909">
        <f>MATCH(A909,Database!$A$2:$A$948,0)</f>
        <v>69</v>
      </c>
      <c r="L909">
        <f>VLOOKUP(A909,Database!$A$2:$I$948,4,0)</f>
        <v>2309</v>
      </c>
      <c r="M909" t="b">
        <f t="shared" si="31"/>
        <v>1</v>
      </c>
      <c r="N909">
        <f>VLOOKUP(A909,Database!$A$2:$I$948,5,0)</f>
        <v>1</v>
      </c>
    </row>
    <row r="910" spans="1:14" hidden="1" x14ac:dyDescent="0.35">
      <c r="A910" s="3">
        <v>103407489</v>
      </c>
      <c r="B910" s="3" t="s">
        <v>1948</v>
      </c>
      <c r="C910" s="3" t="str">
        <f t="shared" si="30"/>
        <v>2022-07-06</v>
      </c>
      <c r="D910" s="3" t="s">
        <v>9</v>
      </c>
      <c r="E910" s="3" t="s">
        <v>5</v>
      </c>
      <c r="F910" s="3" t="s">
        <v>10</v>
      </c>
      <c r="G910" s="3" t="s">
        <v>1702</v>
      </c>
      <c r="H910" s="3" t="s">
        <v>1703</v>
      </c>
      <c r="I910" s="4">
        <v>1551.4</v>
      </c>
      <c r="J910" s="3" t="s">
        <v>11</v>
      </c>
      <c r="K910">
        <f>MATCH(A910,Database!$A$2:$A$948,0)</f>
        <v>90</v>
      </c>
      <c r="L910">
        <f>VLOOKUP(A910,Database!$A$2:$I$948,4,0)</f>
        <v>1551.4</v>
      </c>
      <c r="M910" t="b">
        <f t="shared" si="31"/>
        <v>1</v>
      </c>
      <c r="N910">
        <f>VLOOKUP(A910,Database!$A$2:$I$948,5,0)</f>
        <v>1</v>
      </c>
    </row>
    <row r="911" spans="1:14" hidden="1" x14ac:dyDescent="0.35">
      <c r="A911" s="3">
        <v>103407488</v>
      </c>
      <c r="B911" s="3" t="s">
        <v>1949</v>
      </c>
      <c r="C911" s="3" t="str">
        <f t="shared" si="30"/>
        <v>2022-07-06</v>
      </c>
      <c r="D911" s="3" t="s">
        <v>9</v>
      </c>
      <c r="E911" s="3" t="s">
        <v>5</v>
      </c>
      <c r="F911" s="3" t="s">
        <v>10</v>
      </c>
      <c r="G911" s="3" t="s">
        <v>1950</v>
      </c>
      <c r="H911" s="3" t="s">
        <v>1951</v>
      </c>
      <c r="I911" s="5">
        <v>3999</v>
      </c>
      <c r="J911" s="3" t="s">
        <v>11</v>
      </c>
      <c r="K911">
        <f>MATCH(A911,Database!$A$2:$A$948,0)</f>
        <v>89</v>
      </c>
      <c r="L911">
        <f>VLOOKUP(A911,Database!$A$2:$I$948,4,0)</f>
        <v>3999</v>
      </c>
      <c r="M911" t="b">
        <f t="shared" si="31"/>
        <v>1</v>
      </c>
      <c r="N911">
        <f>VLOOKUP(A911,Database!$A$2:$I$948,5,0)</f>
        <v>1</v>
      </c>
    </row>
    <row r="912" spans="1:14" hidden="1" x14ac:dyDescent="0.35">
      <c r="A912" s="3">
        <v>103407483</v>
      </c>
      <c r="B912" s="3" t="s">
        <v>1952</v>
      </c>
      <c r="C912" s="3" t="str">
        <f t="shared" si="30"/>
        <v>2022-07-06</v>
      </c>
      <c r="D912" s="3" t="s">
        <v>9</v>
      </c>
      <c r="E912" s="3" t="s">
        <v>5</v>
      </c>
      <c r="F912" s="3" t="s">
        <v>10</v>
      </c>
      <c r="G912" s="3" t="s">
        <v>1953</v>
      </c>
      <c r="H912" s="3" t="s">
        <v>1954</v>
      </c>
      <c r="I912" s="4">
        <v>3590.14</v>
      </c>
      <c r="J912" s="3" t="s">
        <v>11</v>
      </c>
      <c r="K912">
        <f>MATCH(A912,Database!$A$2:$A$948,0)</f>
        <v>88</v>
      </c>
      <c r="L912">
        <f>VLOOKUP(A912,Database!$A$2:$I$948,4,0)</f>
        <v>3590.14</v>
      </c>
      <c r="M912" t="b">
        <f t="shared" si="31"/>
        <v>1</v>
      </c>
      <c r="N912">
        <f>VLOOKUP(A912,Database!$A$2:$I$948,5,0)</f>
        <v>1</v>
      </c>
    </row>
    <row r="913" spans="1:14" hidden="1" x14ac:dyDescent="0.35">
      <c r="A913" s="3">
        <v>103407482</v>
      </c>
      <c r="B913" s="3" t="s">
        <v>1955</v>
      </c>
      <c r="C913" s="3" t="str">
        <f t="shared" si="30"/>
        <v>2022-07-06</v>
      </c>
      <c r="D913" s="3" t="s">
        <v>9</v>
      </c>
      <c r="E913" s="3" t="s">
        <v>5</v>
      </c>
      <c r="F913" s="3" t="s">
        <v>10</v>
      </c>
      <c r="G913" s="3" t="s">
        <v>1956</v>
      </c>
      <c r="H913" s="3" t="s">
        <v>1957</v>
      </c>
      <c r="I913" s="4">
        <v>2241.0500000000002</v>
      </c>
      <c r="J913" s="3" t="s">
        <v>11</v>
      </c>
      <c r="K913">
        <f>MATCH(A913,Database!$A$2:$A$948,0)</f>
        <v>87</v>
      </c>
      <c r="L913">
        <f>VLOOKUP(A913,Database!$A$2:$I$948,4,0)</f>
        <v>2241.0500000000002</v>
      </c>
      <c r="M913" t="b">
        <f t="shared" si="31"/>
        <v>1</v>
      </c>
      <c r="N913">
        <f>VLOOKUP(A913,Database!$A$2:$I$948,5,0)</f>
        <v>1</v>
      </c>
    </row>
    <row r="914" spans="1:14" hidden="1" x14ac:dyDescent="0.35">
      <c r="A914" s="3">
        <v>103407481</v>
      </c>
      <c r="B914" s="3" t="s">
        <v>1958</v>
      </c>
      <c r="C914" s="3" t="str">
        <f t="shared" si="30"/>
        <v>2022-07-06</v>
      </c>
      <c r="D914" s="3" t="s">
        <v>9</v>
      </c>
      <c r="E914" s="3" t="s">
        <v>5</v>
      </c>
      <c r="F914" s="3" t="s">
        <v>10</v>
      </c>
      <c r="G914" s="3" t="s">
        <v>1959</v>
      </c>
      <c r="H914" s="3" t="s">
        <v>1960</v>
      </c>
      <c r="I914" s="3">
        <v>629</v>
      </c>
      <c r="J914" s="3" t="s">
        <v>11</v>
      </c>
      <c r="K914" t="e">
        <f>MATCH(A914,Database!$A$2:$A$948,0)</f>
        <v>#N/A</v>
      </c>
      <c r="L914" t="e">
        <f>VLOOKUP(A914,Database!$A$2:$I$948,4,0)</f>
        <v>#N/A</v>
      </c>
      <c r="M914" t="e">
        <f t="shared" si="31"/>
        <v>#N/A</v>
      </c>
      <c r="N914" t="e">
        <f>VLOOKUP(A914,Database!$A$2:$I$948,5,0)</f>
        <v>#N/A</v>
      </c>
    </row>
    <row r="915" spans="1:14" hidden="1" x14ac:dyDescent="0.35">
      <c r="A915" s="3">
        <v>103407480</v>
      </c>
      <c r="B915" s="3" t="s">
        <v>1961</v>
      </c>
      <c r="C915" s="3" t="str">
        <f t="shared" si="30"/>
        <v>2022-07-06</v>
      </c>
      <c r="D915" s="3" t="s">
        <v>9</v>
      </c>
      <c r="E915" s="3" t="s">
        <v>5</v>
      </c>
      <c r="F915" s="3" t="s">
        <v>10</v>
      </c>
      <c r="G915" s="3" t="s">
        <v>1962</v>
      </c>
      <c r="H915" s="3" t="s">
        <v>1963</v>
      </c>
      <c r="I915" s="5">
        <v>2199</v>
      </c>
      <c r="J915" s="3" t="s">
        <v>11</v>
      </c>
      <c r="K915">
        <f>MATCH(A915,Database!$A$2:$A$948,0)</f>
        <v>86</v>
      </c>
      <c r="L915">
        <f>VLOOKUP(A915,Database!$A$2:$I$948,4,0)</f>
        <v>2199</v>
      </c>
      <c r="M915" t="b">
        <f t="shared" si="31"/>
        <v>1</v>
      </c>
      <c r="N915">
        <f>VLOOKUP(A915,Database!$A$2:$I$948,5,0)</f>
        <v>1</v>
      </c>
    </row>
    <row r="916" spans="1:14" hidden="1" x14ac:dyDescent="0.35">
      <c r="A916" s="3">
        <v>103407478</v>
      </c>
      <c r="B916" s="3" t="s">
        <v>1964</v>
      </c>
      <c r="C916" s="3" t="str">
        <f t="shared" si="30"/>
        <v>2022-07-06</v>
      </c>
      <c r="D916" s="3" t="s">
        <v>9</v>
      </c>
      <c r="E916" s="3" t="s">
        <v>5</v>
      </c>
      <c r="F916" s="3" t="s">
        <v>12</v>
      </c>
      <c r="G916" s="3" t="s">
        <v>1965</v>
      </c>
      <c r="H916" s="3" t="s">
        <v>1966</v>
      </c>
      <c r="I916" s="5">
        <v>2549</v>
      </c>
      <c r="J916" s="3" t="s">
        <v>11</v>
      </c>
      <c r="K916">
        <f>MATCH(A916,Database!$A$2:$A$948,0)</f>
        <v>85</v>
      </c>
      <c r="L916">
        <f>VLOOKUP(A916,Database!$A$2:$I$948,4,0)</f>
        <v>2549</v>
      </c>
      <c r="M916" t="b">
        <f t="shared" si="31"/>
        <v>1</v>
      </c>
      <c r="N916">
        <f>VLOOKUP(A916,Database!$A$2:$I$948,5,0)</f>
        <v>1</v>
      </c>
    </row>
    <row r="917" spans="1:14" hidden="1" x14ac:dyDescent="0.35">
      <c r="A917" s="3">
        <v>103407381</v>
      </c>
      <c r="B917" s="3" t="s">
        <v>1967</v>
      </c>
      <c r="C917" s="3" t="str">
        <f t="shared" si="30"/>
        <v>2022-07-06</v>
      </c>
      <c r="D917" s="3" t="s">
        <v>9</v>
      </c>
      <c r="E917" s="3" t="s">
        <v>5</v>
      </c>
      <c r="F917" s="3" t="s">
        <v>10</v>
      </c>
      <c r="G917" s="3" t="s">
        <v>1968</v>
      </c>
      <c r="H917" s="3" t="s">
        <v>1969</v>
      </c>
      <c r="I917" s="3">
        <v>675.97</v>
      </c>
      <c r="J917" s="3" t="s">
        <v>11</v>
      </c>
      <c r="K917">
        <f>MATCH(A917,Database!$A$2:$A$948,0)</f>
        <v>68</v>
      </c>
      <c r="L917">
        <f>VLOOKUP(A917,Database!$A$2:$I$948,4,0)</f>
        <v>675.97</v>
      </c>
      <c r="M917" t="b">
        <f t="shared" si="31"/>
        <v>1</v>
      </c>
      <c r="N917">
        <f>VLOOKUP(A917,Database!$A$2:$I$948,5,0)</f>
        <v>1</v>
      </c>
    </row>
    <row r="918" spans="1:14" hidden="1" x14ac:dyDescent="0.35">
      <c r="A918" s="3">
        <v>103407475</v>
      </c>
      <c r="B918" s="3" t="s">
        <v>1970</v>
      </c>
      <c r="C918" s="3" t="str">
        <f t="shared" si="30"/>
        <v>2022-07-06</v>
      </c>
      <c r="D918" s="3" t="s">
        <v>9</v>
      </c>
      <c r="E918" s="3" t="s">
        <v>5</v>
      </c>
      <c r="F918" s="3" t="s">
        <v>12</v>
      </c>
      <c r="G918" s="3" t="s">
        <v>1971</v>
      </c>
      <c r="H918" s="3" t="s">
        <v>1972</v>
      </c>
      <c r="I918" s="3">
        <v>489</v>
      </c>
      <c r="J918" s="3" t="s">
        <v>11</v>
      </c>
      <c r="K918">
        <f>MATCH(A918,Database!$A$2:$A$948,0)</f>
        <v>84</v>
      </c>
      <c r="L918">
        <f>VLOOKUP(A918,Database!$A$2:$I$948,4,0)</f>
        <v>489</v>
      </c>
      <c r="M918" t="b">
        <f t="shared" si="31"/>
        <v>1</v>
      </c>
      <c r="N918">
        <f>VLOOKUP(A918,Database!$A$2:$I$948,5,0)</f>
        <v>1</v>
      </c>
    </row>
    <row r="919" spans="1:14" hidden="1" x14ac:dyDescent="0.35">
      <c r="A919" s="3">
        <v>103407377</v>
      </c>
      <c r="B919" s="3" t="s">
        <v>1970</v>
      </c>
      <c r="C919" s="3" t="str">
        <f t="shared" si="30"/>
        <v>2022-07-06</v>
      </c>
      <c r="D919" s="3" t="s">
        <v>9</v>
      </c>
      <c r="E919" s="3" t="s">
        <v>5</v>
      </c>
      <c r="F919" s="3" t="s">
        <v>10</v>
      </c>
      <c r="G919" s="3" t="s">
        <v>1973</v>
      </c>
      <c r="H919" s="3" t="s">
        <v>1974</v>
      </c>
      <c r="I919" s="4">
        <v>4321.55</v>
      </c>
      <c r="J919" s="3" t="s">
        <v>11</v>
      </c>
      <c r="K919">
        <f>MATCH(A919,Database!$A$2:$A$948,0)</f>
        <v>67</v>
      </c>
      <c r="L919">
        <f>VLOOKUP(A919,Database!$A$2:$I$948,4,0)</f>
        <v>4321.55</v>
      </c>
      <c r="M919" t="b">
        <f t="shared" si="31"/>
        <v>1</v>
      </c>
      <c r="N919">
        <f>VLOOKUP(A919,Database!$A$2:$I$948,5,0)</f>
        <v>1</v>
      </c>
    </row>
    <row r="920" spans="1:14" hidden="1" x14ac:dyDescent="0.35">
      <c r="A920" s="3">
        <v>103407376</v>
      </c>
      <c r="B920" s="3" t="s">
        <v>1975</v>
      </c>
      <c r="C920" s="3" t="str">
        <f t="shared" si="30"/>
        <v>2022-07-06</v>
      </c>
      <c r="D920" s="3" t="s">
        <v>9</v>
      </c>
      <c r="E920" s="3" t="s">
        <v>5</v>
      </c>
      <c r="F920" s="3" t="s">
        <v>10</v>
      </c>
      <c r="G920" s="3" t="s">
        <v>1976</v>
      </c>
      <c r="H920" s="3" t="s">
        <v>1977</v>
      </c>
      <c r="I920" s="4">
        <v>1984.55</v>
      </c>
      <c r="J920" s="3" t="s">
        <v>11</v>
      </c>
      <c r="K920">
        <f>MATCH(A920,Database!$A$2:$A$948,0)</f>
        <v>66</v>
      </c>
      <c r="L920">
        <f>VLOOKUP(A920,Database!$A$2:$I$948,4,0)</f>
        <v>1984.55</v>
      </c>
      <c r="M920" t="b">
        <f t="shared" si="31"/>
        <v>1</v>
      </c>
      <c r="N920">
        <f>VLOOKUP(A920,Database!$A$2:$I$948,5,0)</f>
        <v>1</v>
      </c>
    </row>
    <row r="921" spans="1:14" hidden="1" x14ac:dyDescent="0.35">
      <c r="A921" s="3">
        <v>103407374</v>
      </c>
      <c r="B921" s="3" t="s">
        <v>1978</v>
      </c>
      <c r="C921" s="3" t="str">
        <f t="shared" si="30"/>
        <v>2022-07-06</v>
      </c>
      <c r="D921" s="3" t="s">
        <v>9</v>
      </c>
      <c r="E921" s="3" t="s">
        <v>5</v>
      </c>
      <c r="F921" s="3" t="s">
        <v>10</v>
      </c>
      <c r="G921" s="3" t="s">
        <v>1979</v>
      </c>
      <c r="H921" s="3" t="s">
        <v>1980</v>
      </c>
      <c r="I921" s="4">
        <v>1300.55</v>
      </c>
      <c r="J921" s="3" t="s">
        <v>11</v>
      </c>
      <c r="K921">
        <f>MATCH(A921,Database!$A$2:$A$948,0)</f>
        <v>65</v>
      </c>
      <c r="L921">
        <f>VLOOKUP(A921,Database!$A$2:$I$948,4,0)</f>
        <v>1300.55</v>
      </c>
      <c r="M921" t="b">
        <f t="shared" si="31"/>
        <v>1</v>
      </c>
      <c r="N921">
        <f>VLOOKUP(A921,Database!$A$2:$I$948,5,0)</f>
        <v>1</v>
      </c>
    </row>
    <row r="922" spans="1:14" hidden="1" x14ac:dyDescent="0.35">
      <c r="A922" s="3">
        <v>103407474</v>
      </c>
      <c r="B922" s="3" t="s">
        <v>1981</v>
      </c>
      <c r="C922" s="3" t="str">
        <f t="shared" si="30"/>
        <v>2022-07-06</v>
      </c>
      <c r="D922" s="3" t="s">
        <v>9</v>
      </c>
      <c r="E922" s="3" t="s">
        <v>5</v>
      </c>
      <c r="F922" s="3" t="s">
        <v>10</v>
      </c>
      <c r="G922" s="3" t="s">
        <v>1982</v>
      </c>
      <c r="H922" s="3" t="s">
        <v>1983</v>
      </c>
      <c r="I922" s="5">
        <v>1259</v>
      </c>
      <c r="J922" s="3" t="s">
        <v>11</v>
      </c>
      <c r="K922">
        <f>MATCH(A922,Database!$A$2:$A$948,0)</f>
        <v>83</v>
      </c>
      <c r="L922">
        <f>VLOOKUP(A922,Database!$A$2:$I$948,4,0)</f>
        <v>1259</v>
      </c>
      <c r="M922" t="b">
        <f t="shared" si="31"/>
        <v>1</v>
      </c>
      <c r="N922">
        <f>VLOOKUP(A922,Database!$A$2:$I$948,5,0)</f>
        <v>1</v>
      </c>
    </row>
    <row r="923" spans="1:14" hidden="1" x14ac:dyDescent="0.35">
      <c r="A923" s="3">
        <v>103407466</v>
      </c>
      <c r="B923" s="3" t="s">
        <v>1984</v>
      </c>
      <c r="C923" s="3" t="str">
        <f t="shared" si="30"/>
        <v>2022-07-06</v>
      </c>
      <c r="D923" s="3" t="s">
        <v>9</v>
      </c>
      <c r="E923" s="3" t="s">
        <v>5</v>
      </c>
      <c r="F923" s="3" t="s">
        <v>10</v>
      </c>
      <c r="G923" s="3" t="s">
        <v>1985</v>
      </c>
      <c r="H923" s="3" t="s">
        <v>1986</v>
      </c>
      <c r="I923" s="5">
        <v>4199</v>
      </c>
      <c r="J923" s="3" t="s">
        <v>11</v>
      </c>
      <c r="K923">
        <f>MATCH(A923,Database!$A$2:$A$948,0)</f>
        <v>82</v>
      </c>
      <c r="L923">
        <f>VLOOKUP(A923,Database!$A$2:$I$948,4,0)</f>
        <v>4199</v>
      </c>
      <c r="M923" t="b">
        <f t="shared" si="31"/>
        <v>1</v>
      </c>
      <c r="N923">
        <f>VLOOKUP(A923,Database!$A$2:$I$948,5,0)</f>
        <v>1</v>
      </c>
    </row>
    <row r="924" spans="1:14" hidden="1" x14ac:dyDescent="0.35">
      <c r="A924" s="3">
        <v>103407367</v>
      </c>
      <c r="B924" s="3" t="s">
        <v>1987</v>
      </c>
      <c r="C924" s="3" t="str">
        <f t="shared" si="30"/>
        <v>2022-07-06</v>
      </c>
      <c r="D924" s="3" t="s">
        <v>9</v>
      </c>
      <c r="E924" s="3" t="s">
        <v>5</v>
      </c>
      <c r="F924" s="3" t="s">
        <v>12</v>
      </c>
      <c r="G924" s="3" t="s">
        <v>1988</v>
      </c>
      <c r="H924" s="3" t="s">
        <v>1989</v>
      </c>
      <c r="I924" s="5">
        <v>9999</v>
      </c>
      <c r="J924" s="3" t="s">
        <v>11</v>
      </c>
      <c r="K924">
        <f>MATCH(A924,Database!$A$2:$A$948,0)</f>
        <v>64</v>
      </c>
      <c r="L924">
        <f>VLOOKUP(A924,Database!$A$2:$I$948,4,0)</f>
        <v>9999</v>
      </c>
      <c r="M924" t="b">
        <f t="shared" si="31"/>
        <v>1</v>
      </c>
      <c r="N924">
        <f>VLOOKUP(A924,Database!$A$2:$I$948,5,0)</f>
        <v>1</v>
      </c>
    </row>
    <row r="925" spans="1:14" hidden="1" x14ac:dyDescent="0.35">
      <c r="A925" s="3">
        <v>103407365</v>
      </c>
      <c r="B925" s="3" t="s">
        <v>1990</v>
      </c>
      <c r="C925" s="3" t="str">
        <f t="shared" si="30"/>
        <v>2022-07-06</v>
      </c>
      <c r="D925" s="3" t="s">
        <v>9</v>
      </c>
      <c r="E925" s="3" t="s">
        <v>5</v>
      </c>
      <c r="F925" s="3" t="s">
        <v>10</v>
      </c>
      <c r="G925" s="3" t="s">
        <v>1702</v>
      </c>
      <c r="H925" s="3" t="s">
        <v>1703</v>
      </c>
      <c r="I925" s="4">
        <v>2307.69</v>
      </c>
      <c r="J925" s="3" t="s">
        <v>11</v>
      </c>
      <c r="K925">
        <f>MATCH(A925,Database!$A$2:$A$948,0)</f>
        <v>63</v>
      </c>
      <c r="L925">
        <f>VLOOKUP(A925,Database!$A$2:$I$948,4,0)</f>
        <v>2307.69</v>
      </c>
      <c r="M925" t="b">
        <f t="shared" si="31"/>
        <v>1</v>
      </c>
      <c r="N925">
        <f>VLOOKUP(A925,Database!$A$2:$I$948,5,0)</f>
        <v>3</v>
      </c>
    </row>
    <row r="926" spans="1:14" hidden="1" x14ac:dyDescent="0.35">
      <c r="A926" s="3">
        <v>103407264</v>
      </c>
      <c r="B926" s="3" t="s">
        <v>1991</v>
      </c>
      <c r="C926" s="3" t="str">
        <f t="shared" si="30"/>
        <v>2022-07-06</v>
      </c>
      <c r="D926" s="3" t="s">
        <v>9</v>
      </c>
      <c r="E926" s="3" t="s">
        <v>5</v>
      </c>
      <c r="F926" s="3" t="s">
        <v>10</v>
      </c>
      <c r="G926" s="3" t="s">
        <v>1992</v>
      </c>
      <c r="H926" s="3" t="s">
        <v>1993</v>
      </c>
      <c r="I926" s="4">
        <v>1406.09</v>
      </c>
      <c r="J926" s="3" t="s">
        <v>11</v>
      </c>
      <c r="K926">
        <f>MATCH(A926,Database!$A$2:$A$948,0)</f>
        <v>41</v>
      </c>
      <c r="L926">
        <f>VLOOKUP(A926,Database!$A$2:$I$948,4,0)</f>
        <v>1406.09</v>
      </c>
      <c r="M926" t="b">
        <f t="shared" si="31"/>
        <v>1</v>
      </c>
      <c r="N926">
        <f>VLOOKUP(A926,Database!$A$2:$I$948,5,0)</f>
        <v>2</v>
      </c>
    </row>
    <row r="927" spans="1:14" hidden="1" x14ac:dyDescent="0.35">
      <c r="A927" s="3">
        <v>103407363</v>
      </c>
      <c r="B927" s="3" t="s">
        <v>1994</v>
      </c>
      <c r="C927" s="3" t="str">
        <f t="shared" si="30"/>
        <v>2022-07-06</v>
      </c>
      <c r="D927" s="3" t="s">
        <v>9</v>
      </c>
      <c r="E927" s="3" t="s">
        <v>5</v>
      </c>
      <c r="F927" s="3" t="s">
        <v>10</v>
      </c>
      <c r="G927" s="3" t="s">
        <v>1995</v>
      </c>
      <c r="H927" s="3" t="s">
        <v>1996</v>
      </c>
      <c r="I927" s="5">
        <v>1599</v>
      </c>
      <c r="J927" s="3" t="s">
        <v>11</v>
      </c>
      <c r="K927">
        <f>MATCH(A927,Database!$A$2:$A$948,0)</f>
        <v>62</v>
      </c>
      <c r="L927">
        <f>VLOOKUP(A927,Database!$A$2:$I$948,4,0)</f>
        <v>1599</v>
      </c>
      <c r="M927" t="b">
        <f t="shared" si="31"/>
        <v>1</v>
      </c>
      <c r="N927">
        <f>VLOOKUP(A927,Database!$A$2:$I$948,5,0)</f>
        <v>1</v>
      </c>
    </row>
    <row r="928" spans="1:14" hidden="1" x14ac:dyDescent="0.35">
      <c r="A928" s="3">
        <v>103407361</v>
      </c>
      <c r="B928" s="3" t="s">
        <v>1997</v>
      </c>
      <c r="C928" s="3" t="str">
        <f t="shared" si="30"/>
        <v>2022-07-06</v>
      </c>
      <c r="D928" s="3" t="s">
        <v>9</v>
      </c>
      <c r="E928" s="3" t="s">
        <v>5</v>
      </c>
      <c r="F928" s="3" t="s">
        <v>10</v>
      </c>
      <c r="G928" s="3" t="s">
        <v>1998</v>
      </c>
      <c r="H928" s="3" t="s">
        <v>1999</v>
      </c>
      <c r="I928" s="5">
        <v>3499</v>
      </c>
      <c r="J928" s="3" t="s">
        <v>11</v>
      </c>
      <c r="K928">
        <f>MATCH(A928,Database!$A$2:$A$948,0)</f>
        <v>61</v>
      </c>
      <c r="L928">
        <f>VLOOKUP(A928,Database!$A$2:$I$948,4,0)</f>
        <v>3499</v>
      </c>
      <c r="M928" t="b">
        <f t="shared" si="31"/>
        <v>1</v>
      </c>
      <c r="N928">
        <f>VLOOKUP(A928,Database!$A$2:$I$948,5,0)</f>
        <v>1</v>
      </c>
    </row>
    <row r="929" spans="1:14" hidden="1" x14ac:dyDescent="0.35">
      <c r="A929" s="3">
        <v>103407360</v>
      </c>
      <c r="B929" s="3" t="s">
        <v>2000</v>
      </c>
      <c r="C929" s="3" t="str">
        <f t="shared" si="30"/>
        <v>2022-07-06</v>
      </c>
      <c r="D929" s="3" t="s">
        <v>9</v>
      </c>
      <c r="E929" s="3" t="s">
        <v>5</v>
      </c>
      <c r="F929" s="3" t="s">
        <v>10</v>
      </c>
      <c r="G929" s="3" t="s">
        <v>2001</v>
      </c>
      <c r="H929" s="3" t="s">
        <v>2002</v>
      </c>
      <c r="I929" s="5">
        <v>2999</v>
      </c>
      <c r="J929" s="3" t="s">
        <v>11</v>
      </c>
      <c r="K929">
        <f>MATCH(A929,Database!$A$2:$A$948,0)</f>
        <v>60</v>
      </c>
      <c r="L929">
        <f>VLOOKUP(A929,Database!$A$2:$I$948,4,0)</f>
        <v>2999</v>
      </c>
      <c r="M929" t="b">
        <f t="shared" si="31"/>
        <v>1</v>
      </c>
      <c r="N929">
        <f>VLOOKUP(A929,Database!$A$2:$I$948,5,0)</f>
        <v>1</v>
      </c>
    </row>
    <row r="930" spans="1:14" hidden="1" x14ac:dyDescent="0.35">
      <c r="A930" s="3">
        <v>103407349</v>
      </c>
      <c r="B930" s="3" t="s">
        <v>2003</v>
      </c>
      <c r="C930" s="3" t="str">
        <f t="shared" si="30"/>
        <v>2022-07-06</v>
      </c>
      <c r="D930" s="3" t="s">
        <v>9</v>
      </c>
      <c r="E930" s="3" t="s">
        <v>5</v>
      </c>
      <c r="F930" s="3" t="s">
        <v>10</v>
      </c>
      <c r="G930" s="3" t="s">
        <v>1847</v>
      </c>
      <c r="H930" s="3" t="s">
        <v>1848</v>
      </c>
      <c r="I930" s="3">
        <v>797.05</v>
      </c>
      <c r="J930" s="3" t="s">
        <v>11</v>
      </c>
      <c r="K930">
        <f>MATCH(A930,Database!$A$2:$A$948,0)</f>
        <v>59</v>
      </c>
      <c r="L930">
        <f>VLOOKUP(A930,Database!$A$2:$I$948,4,0)</f>
        <v>797.05</v>
      </c>
      <c r="M930" t="b">
        <f t="shared" si="31"/>
        <v>1</v>
      </c>
      <c r="N930">
        <f>VLOOKUP(A930,Database!$A$2:$I$948,5,0)</f>
        <v>1</v>
      </c>
    </row>
    <row r="931" spans="1:14" hidden="1" x14ac:dyDescent="0.35">
      <c r="A931" s="3">
        <v>103407253</v>
      </c>
      <c r="B931" s="3" t="s">
        <v>2004</v>
      </c>
      <c r="C931" s="3" t="str">
        <f t="shared" si="30"/>
        <v>2022-07-06</v>
      </c>
      <c r="D931" s="3" t="s">
        <v>9</v>
      </c>
      <c r="E931" s="3" t="s">
        <v>5</v>
      </c>
      <c r="F931" s="3" t="s">
        <v>10</v>
      </c>
      <c r="G931" s="3" t="s">
        <v>2005</v>
      </c>
      <c r="H931" s="3" t="s">
        <v>2006</v>
      </c>
      <c r="I931" s="3">
        <v>329</v>
      </c>
      <c r="J931" s="3" t="s">
        <v>13</v>
      </c>
      <c r="K931">
        <f>MATCH(A931,Database!$A$2:$A$948,0)</f>
        <v>40</v>
      </c>
      <c r="L931">
        <f>VLOOKUP(A931,Database!$A$2:$I$948,4,0)</f>
        <v>329</v>
      </c>
      <c r="M931" t="b">
        <f t="shared" si="31"/>
        <v>1</v>
      </c>
      <c r="N931">
        <f>VLOOKUP(A931,Database!$A$2:$I$948,5,0)</f>
        <v>1</v>
      </c>
    </row>
    <row r="932" spans="1:14" hidden="1" x14ac:dyDescent="0.35">
      <c r="A932" s="3">
        <v>103407251</v>
      </c>
      <c r="B932" s="3" t="s">
        <v>2007</v>
      </c>
      <c r="C932" s="3" t="str">
        <f t="shared" si="30"/>
        <v>2022-07-06</v>
      </c>
      <c r="D932" s="3" t="s">
        <v>9</v>
      </c>
      <c r="E932" s="3" t="s">
        <v>5</v>
      </c>
      <c r="F932" s="3" t="s">
        <v>10</v>
      </c>
      <c r="G932" s="3" t="s">
        <v>2008</v>
      </c>
      <c r="H932" s="3" t="s">
        <v>2009</v>
      </c>
      <c r="I932" s="4">
        <v>3133.1</v>
      </c>
      <c r="J932" s="3" t="s">
        <v>11</v>
      </c>
      <c r="K932">
        <f>MATCH(A932,Database!$A$2:$A$948,0)</f>
        <v>39</v>
      </c>
      <c r="L932">
        <f>VLOOKUP(A932,Database!$A$2:$I$948,4,0)</f>
        <v>3133.1</v>
      </c>
      <c r="M932" t="b">
        <f t="shared" si="31"/>
        <v>1</v>
      </c>
      <c r="N932">
        <f>VLOOKUP(A932,Database!$A$2:$I$948,5,0)</f>
        <v>2</v>
      </c>
    </row>
    <row r="933" spans="1:14" hidden="1" x14ac:dyDescent="0.35">
      <c r="A933" s="3">
        <v>103407248</v>
      </c>
      <c r="B933" s="3" t="s">
        <v>2010</v>
      </c>
      <c r="C933" s="3" t="str">
        <f t="shared" si="30"/>
        <v>2022-07-06</v>
      </c>
      <c r="D933" s="3" t="s">
        <v>9</v>
      </c>
      <c r="E933" s="3" t="s">
        <v>5</v>
      </c>
      <c r="F933" s="3" t="s">
        <v>10</v>
      </c>
      <c r="G933" s="3" t="s">
        <v>2011</v>
      </c>
      <c r="H933" s="3" t="s">
        <v>2012</v>
      </c>
      <c r="I933" s="4">
        <v>2706.6</v>
      </c>
      <c r="J933" s="3" t="s">
        <v>11</v>
      </c>
      <c r="K933">
        <f>MATCH(A933,Database!$A$2:$A$948,0)</f>
        <v>38</v>
      </c>
      <c r="L933">
        <f>VLOOKUP(A933,Database!$A$2:$I$948,4,0)</f>
        <v>2706.6</v>
      </c>
      <c r="M933" t="b">
        <f t="shared" si="31"/>
        <v>1</v>
      </c>
      <c r="N933">
        <f>VLOOKUP(A933,Database!$A$2:$I$948,5,0)</f>
        <v>1</v>
      </c>
    </row>
    <row r="934" spans="1:14" hidden="1" x14ac:dyDescent="0.35">
      <c r="A934" s="3">
        <v>103407328</v>
      </c>
      <c r="B934" s="3" t="s">
        <v>2010</v>
      </c>
      <c r="C934" s="3" t="str">
        <f t="shared" si="30"/>
        <v>2022-07-06</v>
      </c>
      <c r="D934" s="3" t="s">
        <v>9</v>
      </c>
      <c r="E934" s="3" t="s">
        <v>5</v>
      </c>
      <c r="F934" s="3" t="s">
        <v>10</v>
      </c>
      <c r="G934" s="3" t="s">
        <v>2013</v>
      </c>
      <c r="H934" s="3" t="s">
        <v>2014</v>
      </c>
      <c r="I934" s="5">
        <v>3499</v>
      </c>
      <c r="J934" s="3" t="s">
        <v>11</v>
      </c>
      <c r="K934">
        <f>MATCH(A934,Database!$A$2:$A$948,0)</f>
        <v>58</v>
      </c>
      <c r="L934">
        <f>VLOOKUP(A934,Database!$A$2:$I$948,4,0)</f>
        <v>3499</v>
      </c>
      <c r="M934" t="b">
        <f t="shared" si="31"/>
        <v>1</v>
      </c>
      <c r="N934">
        <f>VLOOKUP(A934,Database!$A$2:$I$948,5,0)</f>
        <v>1</v>
      </c>
    </row>
    <row r="935" spans="1:14" hidden="1" x14ac:dyDescent="0.35">
      <c r="A935" s="3">
        <v>103407245</v>
      </c>
      <c r="B935" s="3" t="s">
        <v>2015</v>
      </c>
      <c r="C935" s="3" t="str">
        <f t="shared" si="30"/>
        <v>2022-07-06</v>
      </c>
      <c r="D935" s="3" t="s">
        <v>9</v>
      </c>
      <c r="E935" s="3" t="s">
        <v>5</v>
      </c>
      <c r="F935" s="3" t="s">
        <v>10</v>
      </c>
      <c r="G935" s="3" t="s">
        <v>2016</v>
      </c>
      <c r="H935" s="3" t="s">
        <v>2017</v>
      </c>
      <c r="I935" s="5">
        <v>1959</v>
      </c>
      <c r="J935" s="3" t="s">
        <v>11</v>
      </c>
      <c r="K935">
        <f>MATCH(A935,Database!$A$2:$A$948,0)</f>
        <v>37</v>
      </c>
      <c r="L935">
        <f>VLOOKUP(A935,Database!$A$2:$I$948,4,0)</f>
        <v>1959</v>
      </c>
      <c r="M935" t="b">
        <f t="shared" si="31"/>
        <v>1</v>
      </c>
      <c r="N935">
        <f>VLOOKUP(A935,Database!$A$2:$I$948,5,0)</f>
        <v>1</v>
      </c>
    </row>
    <row r="936" spans="1:14" hidden="1" x14ac:dyDescent="0.35">
      <c r="A936" s="3">
        <v>103407240</v>
      </c>
      <c r="B936" s="3" t="s">
        <v>2018</v>
      </c>
      <c r="C936" s="3" t="str">
        <f t="shared" si="30"/>
        <v>2022-07-06</v>
      </c>
      <c r="D936" s="3" t="s">
        <v>9</v>
      </c>
      <c r="E936" s="3" t="s">
        <v>5</v>
      </c>
      <c r="F936" s="3" t="s">
        <v>10</v>
      </c>
      <c r="G936" s="3" t="s">
        <v>2019</v>
      </c>
      <c r="H936" s="3" t="s">
        <v>2020</v>
      </c>
      <c r="I936" s="4">
        <v>3419.14</v>
      </c>
      <c r="J936" s="3" t="s">
        <v>11</v>
      </c>
      <c r="K936">
        <f>MATCH(A936,Database!$A$2:$A$948,0)</f>
        <v>36</v>
      </c>
      <c r="L936">
        <f>VLOOKUP(A936,Database!$A$2:$I$948,4,0)</f>
        <v>3419.14</v>
      </c>
      <c r="M936" t="b">
        <f t="shared" si="31"/>
        <v>1</v>
      </c>
      <c r="N936">
        <f>VLOOKUP(A936,Database!$A$2:$I$948,5,0)</f>
        <v>1</v>
      </c>
    </row>
    <row r="937" spans="1:14" hidden="1" x14ac:dyDescent="0.35">
      <c r="A937" s="3">
        <v>103407234</v>
      </c>
      <c r="B937" s="3" t="s">
        <v>2021</v>
      </c>
      <c r="C937" s="3" t="str">
        <f t="shared" si="30"/>
        <v>2022-07-06</v>
      </c>
      <c r="D937" s="3" t="s">
        <v>9</v>
      </c>
      <c r="E937" s="3" t="s">
        <v>5</v>
      </c>
      <c r="F937" s="3" t="s">
        <v>12</v>
      </c>
      <c r="G937" s="3" t="s">
        <v>2022</v>
      </c>
      <c r="H937" s="3" t="s">
        <v>2023</v>
      </c>
      <c r="I937" s="4">
        <v>1007.1</v>
      </c>
      <c r="J937" s="3" t="s">
        <v>11</v>
      </c>
      <c r="K937">
        <f>MATCH(A937,Database!$A$2:$A$948,0)</f>
        <v>35</v>
      </c>
      <c r="L937">
        <f>VLOOKUP(A937,Database!$A$2:$I$948,4,0)</f>
        <v>1007.1</v>
      </c>
      <c r="M937" t="b">
        <f t="shared" si="31"/>
        <v>1</v>
      </c>
      <c r="N937">
        <f>VLOOKUP(A937,Database!$A$2:$I$948,5,0)</f>
        <v>1</v>
      </c>
    </row>
    <row r="938" spans="1:14" hidden="1" x14ac:dyDescent="0.35">
      <c r="A938" s="3">
        <v>103407228</v>
      </c>
      <c r="B938" s="3" t="s">
        <v>2024</v>
      </c>
      <c r="C938" s="3" t="str">
        <f t="shared" si="30"/>
        <v>2022-07-06</v>
      </c>
      <c r="D938" s="3" t="s">
        <v>9</v>
      </c>
      <c r="E938" s="3" t="s">
        <v>5</v>
      </c>
      <c r="F938" s="3" t="s">
        <v>10</v>
      </c>
      <c r="G938" s="3" t="s">
        <v>2025</v>
      </c>
      <c r="H938" s="3" t="s">
        <v>2026</v>
      </c>
      <c r="I938" s="5">
        <v>1039</v>
      </c>
      <c r="J938" s="3" t="s">
        <v>11</v>
      </c>
      <c r="K938">
        <f>MATCH(A938,Database!$A$2:$A$948,0)</f>
        <v>34</v>
      </c>
      <c r="L938">
        <f>VLOOKUP(A938,Database!$A$2:$I$948,4,0)</f>
        <v>1039</v>
      </c>
      <c r="M938" t="b">
        <f t="shared" si="31"/>
        <v>1</v>
      </c>
      <c r="N938">
        <f>VLOOKUP(A938,Database!$A$2:$I$948,5,0)</f>
        <v>1</v>
      </c>
    </row>
    <row r="939" spans="1:14" hidden="1" x14ac:dyDescent="0.35">
      <c r="A939" s="3">
        <v>103407313</v>
      </c>
      <c r="B939" s="3" t="s">
        <v>2027</v>
      </c>
      <c r="C939" s="3" t="str">
        <f t="shared" si="30"/>
        <v>2022-07-06</v>
      </c>
      <c r="D939" s="3" t="s">
        <v>9</v>
      </c>
      <c r="E939" s="3" t="s">
        <v>5</v>
      </c>
      <c r="F939" s="3" t="s">
        <v>10</v>
      </c>
      <c r="G939" s="3" t="s">
        <v>2028</v>
      </c>
      <c r="H939" s="3" t="s">
        <v>2029</v>
      </c>
      <c r="I939" s="4">
        <v>2089.0500000000002</v>
      </c>
      <c r="J939" s="3" t="s">
        <v>11</v>
      </c>
      <c r="K939">
        <f>MATCH(A939,Database!$A$2:$A$948,0)</f>
        <v>57</v>
      </c>
      <c r="L939">
        <f>VLOOKUP(A939,Database!$A$2:$I$948,4,0)</f>
        <v>2089.0500000000002</v>
      </c>
      <c r="M939" t="b">
        <f t="shared" si="31"/>
        <v>1</v>
      </c>
      <c r="N939">
        <f>VLOOKUP(A939,Database!$A$2:$I$948,5,0)</f>
        <v>1</v>
      </c>
    </row>
    <row r="940" spans="1:14" hidden="1" x14ac:dyDescent="0.35">
      <c r="A940" s="3">
        <v>103407312</v>
      </c>
      <c r="B940" s="3" t="s">
        <v>2030</v>
      </c>
      <c r="C940" s="3" t="str">
        <f t="shared" si="30"/>
        <v>2022-07-06</v>
      </c>
      <c r="D940" s="3" t="s">
        <v>9</v>
      </c>
      <c r="E940" s="3" t="s">
        <v>5</v>
      </c>
      <c r="F940" s="3" t="s">
        <v>10</v>
      </c>
      <c r="G940" s="3" t="s">
        <v>2031</v>
      </c>
      <c r="H940" s="3" t="s">
        <v>2032</v>
      </c>
      <c r="I940" s="3">
        <v>759.05</v>
      </c>
      <c r="J940" s="3" t="s">
        <v>11</v>
      </c>
      <c r="K940">
        <f>MATCH(A940,Database!$A$2:$A$948,0)</f>
        <v>56</v>
      </c>
      <c r="L940">
        <f>VLOOKUP(A940,Database!$A$2:$I$948,4,0)</f>
        <v>759.05</v>
      </c>
      <c r="M940" t="b">
        <f t="shared" si="31"/>
        <v>1</v>
      </c>
      <c r="N940">
        <f>VLOOKUP(A940,Database!$A$2:$I$948,5,0)</f>
        <v>1</v>
      </c>
    </row>
    <row r="941" spans="1:14" hidden="1" x14ac:dyDescent="0.35">
      <c r="A941" s="3">
        <v>103407311</v>
      </c>
      <c r="B941" s="3" t="s">
        <v>2033</v>
      </c>
      <c r="C941" s="3" t="str">
        <f t="shared" si="30"/>
        <v>2022-07-06</v>
      </c>
      <c r="D941" s="3" t="s">
        <v>9</v>
      </c>
      <c r="E941" s="3" t="s">
        <v>5</v>
      </c>
      <c r="F941" s="3" t="s">
        <v>10</v>
      </c>
      <c r="G941" s="3" t="s">
        <v>2034</v>
      </c>
      <c r="H941" s="3" t="s">
        <v>2035</v>
      </c>
      <c r="I941" s="4">
        <v>2241.0500000000002</v>
      </c>
      <c r="J941" s="3" t="s">
        <v>11</v>
      </c>
      <c r="K941">
        <f>MATCH(A941,Database!$A$2:$A$948,0)</f>
        <v>55</v>
      </c>
      <c r="L941">
        <f>VLOOKUP(A941,Database!$A$2:$I$948,4,0)</f>
        <v>2241.0500000000002</v>
      </c>
      <c r="M941" t="b">
        <f t="shared" si="31"/>
        <v>1</v>
      </c>
      <c r="N941">
        <f>VLOOKUP(A941,Database!$A$2:$I$948,5,0)</f>
        <v>1</v>
      </c>
    </row>
    <row r="942" spans="1:14" hidden="1" x14ac:dyDescent="0.35">
      <c r="A942" s="3">
        <v>103407310</v>
      </c>
      <c r="B942" s="3" t="s">
        <v>2036</v>
      </c>
      <c r="C942" s="3" t="str">
        <f t="shared" si="30"/>
        <v>2022-07-06</v>
      </c>
      <c r="D942" s="3" t="s">
        <v>9</v>
      </c>
      <c r="E942" s="3" t="s">
        <v>5</v>
      </c>
      <c r="F942" s="3" t="s">
        <v>10</v>
      </c>
      <c r="G942" s="3" t="s">
        <v>2037</v>
      </c>
      <c r="H942" s="3" t="s">
        <v>2038</v>
      </c>
      <c r="I942" s="4">
        <v>2136.5500000000002</v>
      </c>
      <c r="J942" s="3" t="s">
        <v>11</v>
      </c>
      <c r="K942">
        <f>MATCH(A942,Database!$A$2:$A$948,0)</f>
        <v>54</v>
      </c>
      <c r="L942">
        <f>VLOOKUP(A942,Database!$A$2:$I$948,4,0)</f>
        <v>2136.5500000000002</v>
      </c>
      <c r="M942" t="b">
        <f t="shared" si="31"/>
        <v>1</v>
      </c>
      <c r="N942">
        <f>VLOOKUP(A942,Database!$A$2:$I$948,5,0)</f>
        <v>1</v>
      </c>
    </row>
    <row r="943" spans="1:14" hidden="1" x14ac:dyDescent="0.35">
      <c r="A943" s="3">
        <v>103407309</v>
      </c>
      <c r="B943" s="3" t="s">
        <v>2039</v>
      </c>
      <c r="C943" s="3" t="str">
        <f t="shared" si="30"/>
        <v>2022-07-06</v>
      </c>
      <c r="D943" s="3" t="s">
        <v>9</v>
      </c>
      <c r="E943" s="3" t="s">
        <v>5</v>
      </c>
      <c r="F943" s="3" t="s">
        <v>10</v>
      </c>
      <c r="G943" s="3" t="s">
        <v>2040</v>
      </c>
      <c r="H943" s="3" t="s">
        <v>2041</v>
      </c>
      <c r="I943" s="5">
        <v>3588</v>
      </c>
      <c r="J943" s="3" t="s">
        <v>11</v>
      </c>
      <c r="K943">
        <f>MATCH(A943,Database!$A$2:$A$948,0)</f>
        <v>53</v>
      </c>
      <c r="L943">
        <f>VLOOKUP(A943,Database!$A$2:$I$948,4,0)</f>
        <v>3588</v>
      </c>
      <c r="M943" t="b">
        <f t="shared" si="31"/>
        <v>1</v>
      </c>
      <c r="N943">
        <f>VLOOKUP(A943,Database!$A$2:$I$948,5,0)</f>
        <v>2</v>
      </c>
    </row>
    <row r="944" spans="1:14" hidden="1" x14ac:dyDescent="0.35">
      <c r="A944" s="3">
        <v>103407226</v>
      </c>
      <c r="B944" s="3" t="s">
        <v>2042</v>
      </c>
      <c r="C944" s="3" t="str">
        <f t="shared" si="30"/>
        <v>2022-07-06</v>
      </c>
      <c r="D944" s="3" t="s">
        <v>9</v>
      </c>
      <c r="E944" s="3" t="s">
        <v>5</v>
      </c>
      <c r="F944" s="3" t="s">
        <v>10</v>
      </c>
      <c r="G944" s="3" t="s">
        <v>2043</v>
      </c>
      <c r="H944" s="3" t="s">
        <v>2044</v>
      </c>
      <c r="I944" s="5">
        <v>1869</v>
      </c>
      <c r="J944" s="3" t="s">
        <v>11</v>
      </c>
      <c r="K944">
        <f>MATCH(A944,Database!$A$2:$A$948,0)</f>
        <v>33</v>
      </c>
      <c r="L944">
        <f>VLOOKUP(A944,Database!$A$2:$I$948,4,0)</f>
        <v>1869</v>
      </c>
      <c r="M944" t="b">
        <f t="shared" si="31"/>
        <v>1</v>
      </c>
      <c r="N944">
        <f>VLOOKUP(A944,Database!$A$2:$I$948,5,0)</f>
        <v>1</v>
      </c>
    </row>
    <row r="945" spans="1:14" hidden="1" x14ac:dyDescent="0.35">
      <c r="A945" s="3">
        <v>103407225</v>
      </c>
      <c r="B945" s="3" t="s">
        <v>2045</v>
      </c>
      <c r="C945" s="3" t="str">
        <f t="shared" si="30"/>
        <v>2022-07-06</v>
      </c>
      <c r="D945" s="3" t="s">
        <v>9</v>
      </c>
      <c r="E945" s="3" t="s">
        <v>5</v>
      </c>
      <c r="F945" s="3" t="s">
        <v>10</v>
      </c>
      <c r="G945" s="3" t="s">
        <v>2046</v>
      </c>
      <c r="H945" s="3" t="s">
        <v>2047</v>
      </c>
      <c r="I945" s="3">
        <v>559</v>
      </c>
      <c r="J945" s="3" t="s">
        <v>11</v>
      </c>
      <c r="K945">
        <f>MATCH(A945,Database!$A$2:$A$948,0)</f>
        <v>32</v>
      </c>
      <c r="L945">
        <f>VLOOKUP(A945,Database!$A$2:$I$948,4,0)</f>
        <v>559</v>
      </c>
      <c r="M945" t="b">
        <f t="shared" si="31"/>
        <v>1</v>
      </c>
      <c r="N945">
        <f>VLOOKUP(A945,Database!$A$2:$I$948,5,0)</f>
        <v>1</v>
      </c>
    </row>
    <row r="946" spans="1:14" hidden="1" x14ac:dyDescent="0.35">
      <c r="A946" s="3">
        <v>103407305</v>
      </c>
      <c r="B946" s="3" t="s">
        <v>2048</v>
      </c>
      <c r="C946" s="3" t="str">
        <f t="shared" si="30"/>
        <v>2022-07-06</v>
      </c>
      <c r="D946" s="3" t="s">
        <v>9</v>
      </c>
      <c r="E946" s="3" t="s">
        <v>5</v>
      </c>
      <c r="F946" s="3" t="s">
        <v>10</v>
      </c>
      <c r="G946" s="3" t="s">
        <v>2049</v>
      </c>
      <c r="H946" s="3" t="s">
        <v>2050</v>
      </c>
      <c r="I946" s="5">
        <v>3899</v>
      </c>
      <c r="J946" s="3" t="s">
        <v>11</v>
      </c>
      <c r="K946">
        <f>MATCH(A946,Database!$A$2:$A$948,0)</f>
        <v>52</v>
      </c>
      <c r="L946">
        <f>VLOOKUP(A946,Database!$A$2:$I$948,4,0)</f>
        <v>3899</v>
      </c>
      <c r="M946" t="b">
        <f t="shared" si="31"/>
        <v>1</v>
      </c>
      <c r="N946">
        <f>VLOOKUP(A946,Database!$A$2:$I$948,5,0)</f>
        <v>1</v>
      </c>
    </row>
    <row r="947" spans="1:14" hidden="1" x14ac:dyDescent="0.35">
      <c r="A947" s="3">
        <v>103407220</v>
      </c>
      <c r="B947" s="3" t="s">
        <v>2051</v>
      </c>
      <c r="C947" s="3" t="str">
        <f t="shared" si="30"/>
        <v>2022-07-06</v>
      </c>
      <c r="D947" s="3" t="s">
        <v>9</v>
      </c>
      <c r="E947" s="3" t="s">
        <v>5</v>
      </c>
      <c r="F947" s="3" t="s">
        <v>10</v>
      </c>
      <c r="G947" s="3" t="s">
        <v>2052</v>
      </c>
      <c r="H947" s="3" t="s">
        <v>2053</v>
      </c>
      <c r="I947" s="5">
        <v>3019</v>
      </c>
      <c r="J947" s="3" t="s">
        <v>11</v>
      </c>
      <c r="K947">
        <f>MATCH(A947,Database!$A$2:$A$948,0)</f>
        <v>31</v>
      </c>
      <c r="L947">
        <f>VLOOKUP(A947,Database!$A$2:$I$948,4,0)</f>
        <v>3019</v>
      </c>
      <c r="M947" t="b">
        <f t="shared" si="31"/>
        <v>1</v>
      </c>
      <c r="N947">
        <f>VLOOKUP(A947,Database!$A$2:$I$948,5,0)</f>
        <v>1</v>
      </c>
    </row>
    <row r="948" spans="1:14" hidden="1" x14ac:dyDescent="0.35">
      <c r="A948" s="3">
        <v>103407291</v>
      </c>
      <c r="B948" s="3" t="s">
        <v>2054</v>
      </c>
      <c r="C948" s="3" t="str">
        <f t="shared" si="30"/>
        <v>2022-07-06</v>
      </c>
      <c r="D948" s="3" t="s">
        <v>9</v>
      </c>
      <c r="E948" s="3" t="s">
        <v>5</v>
      </c>
      <c r="F948" s="3" t="s">
        <v>10</v>
      </c>
      <c r="G948" s="3" t="s">
        <v>2055</v>
      </c>
      <c r="H948" s="3" t="s">
        <v>2056</v>
      </c>
      <c r="I948" s="5">
        <v>2249</v>
      </c>
      <c r="J948" s="3" t="s">
        <v>11</v>
      </c>
      <c r="K948">
        <f>MATCH(A948,Database!$A$2:$A$948,0)</f>
        <v>51</v>
      </c>
      <c r="L948">
        <f>VLOOKUP(A948,Database!$A$2:$I$948,4,0)</f>
        <v>2249</v>
      </c>
      <c r="M948" t="b">
        <f t="shared" si="31"/>
        <v>1</v>
      </c>
      <c r="N948">
        <f>VLOOKUP(A948,Database!$A$2:$I$948,5,0)</f>
        <v>1</v>
      </c>
    </row>
    <row r="949" spans="1:14" hidden="1" x14ac:dyDescent="0.35">
      <c r="A949" s="3">
        <v>103407213</v>
      </c>
      <c r="B949" s="3" t="s">
        <v>2057</v>
      </c>
      <c r="C949" s="3" t="str">
        <f t="shared" si="30"/>
        <v>2022-07-06</v>
      </c>
      <c r="D949" s="3" t="s">
        <v>9</v>
      </c>
      <c r="E949" s="3" t="s">
        <v>5</v>
      </c>
      <c r="F949" s="3" t="s">
        <v>10</v>
      </c>
      <c r="G949" s="3" t="s">
        <v>2058</v>
      </c>
      <c r="H949" s="3" t="s">
        <v>2059</v>
      </c>
      <c r="I949" s="5">
        <v>2309</v>
      </c>
      <c r="J949" s="3" t="s">
        <v>11</v>
      </c>
      <c r="K949">
        <f>MATCH(A949,Database!$A$2:$A$948,0)</f>
        <v>30</v>
      </c>
      <c r="L949">
        <f>VLOOKUP(A949,Database!$A$2:$I$948,4,0)</f>
        <v>2309</v>
      </c>
      <c r="M949" t="b">
        <f t="shared" si="31"/>
        <v>1</v>
      </c>
      <c r="N949">
        <f>VLOOKUP(A949,Database!$A$2:$I$948,5,0)</f>
        <v>1</v>
      </c>
    </row>
    <row r="950" spans="1:14" hidden="1" x14ac:dyDescent="0.35">
      <c r="A950" s="3">
        <v>103407289</v>
      </c>
      <c r="B950" s="3" t="s">
        <v>2060</v>
      </c>
      <c r="C950" s="3" t="str">
        <f t="shared" si="30"/>
        <v>2022-07-06</v>
      </c>
      <c r="D950" s="3" t="s">
        <v>9</v>
      </c>
      <c r="E950" s="3" t="s">
        <v>5</v>
      </c>
      <c r="F950" s="3" t="s">
        <v>12</v>
      </c>
      <c r="G950" s="3" t="s">
        <v>283</v>
      </c>
      <c r="H950" s="3" t="s">
        <v>284</v>
      </c>
      <c r="I950" s="3">
        <v>809</v>
      </c>
      <c r="J950" s="3" t="s">
        <v>11</v>
      </c>
      <c r="K950">
        <f>MATCH(A950,Database!$A$2:$A$948,0)</f>
        <v>50</v>
      </c>
      <c r="L950">
        <f>VLOOKUP(A950,Database!$A$2:$I$948,4,0)</f>
        <v>809</v>
      </c>
      <c r="M950" t="b">
        <f t="shared" si="31"/>
        <v>1</v>
      </c>
      <c r="N950">
        <f>VLOOKUP(A950,Database!$A$2:$I$948,5,0)</f>
        <v>1</v>
      </c>
    </row>
    <row r="951" spans="1:14" hidden="1" x14ac:dyDescent="0.35">
      <c r="A951" s="3">
        <v>103407212</v>
      </c>
      <c r="B951" s="3" t="s">
        <v>2061</v>
      </c>
      <c r="C951" s="3" t="str">
        <f t="shared" si="30"/>
        <v>2022-07-06</v>
      </c>
      <c r="D951" s="3" t="s">
        <v>9</v>
      </c>
      <c r="E951" s="3" t="s">
        <v>5</v>
      </c>
      <c r="F951" s="3" t="s">
        <v>10</v>
      </c>
      <c r="G951" s="3" t="s">
        <v>2062</v>
      </c>
      <c r="H951" s="3" t="s">
        <v>2063</v>
      </c>
      <c r="I951" s="4">
        <v>2193.5500000000002</v>
      </c>
      <c r="J951" s="3" t="s">
        <v>11</v>
      </c>
      <c r="K951">
        <f>MATCH(A951,Database!$A$2:$A$948,0)</f>
        <v>29</v>
      </c>
      <c r="L951">
        <f>VLOOKUP(A951,Database!$A$2:$I$948,4,0)</f>
        <v>2193.5500000000002</v>
      </c>
      <c r="M951" t="b">
        <f t="shared" si="31"/>
        <v>1</v>
      </c>
      <c r="N951">
        <f>VLOOKUP(A951,Database!$A$2:$I$948,5,0)</f>
        <v>1</v>
      </c>
    </row>
    <row r="952" spans="1:14" hidden="1" x14ac:dyDescent="0.35">
      <c r="A952" s="3">
        <v>103407288</v>
      </c>
      <c r="B952" s="3" t="s">
        <v>2064</v>
      </c>
      <c r="C952" s="3" t="str">
        <f t="shared" si="30"/>
        <v>2022-07-06</v>
      </c>
      <c r="D952" s="3" t="s">
        <v>9</v>
      </c>
      <c r="E952" s="3" t="s">
        <v>5</v>
      </c>
      <c r="F952" s="3" t="s">
        <v>12</v>
      </c>
      <c r="G952" s="3" t="s">
        <v>2065</v>
      </c>
      <c r="H952" s="3" t="s">
        <v>2066</v>
      </c>
      <c r="I952" s="5">
        <v>2999</v>
      </c>
      <c r="J952" s="3" t="s">
        <v>11</v>
      </c>
      <c r="K952">
        <f>MATCH(A952,Database!$A$2:$A$948,0)</f>
        <v>49</v>
      </c>
      <c r="L952">
        <f>VLOOKUP(A952,Database!$A$2:$I$948,4,0)</f>
        <v>2999</v>
      </c>
      <c r="M952" t="b">
        <f t="shared" si="31"/>
        <v>1</v>
      </c>
      <c r="N952">
        <f>VLOOKUP(A952,Database!$A$2:$I$948,5,0)</f>
        <v>1</v>
      </c>
    </row>
    <row r="953" spans="1:14" hidden="1" x14ac:dyDescent="0.35">
      <c r="A953" s="3">
        <v>103407210</v>
      </c>
      <c r="B953" s="3" t="s">
        <v>2067</v>
      </c>
      <c r="C953" s="3" t="str">
        <f t="shared" si="30"/>
        <v>2022-07-06</v>
      </c>
      <c r="D953" s="3" t="s">
        <v>9</v>
      </c>
      <c r="E953" s="3" t="s">
        <v>5</v>
      </c>
      <c r="F953" s="3" t="s">
        <v>10</v>
      </c>
      <c r="G953" s="3" t="s">
        <v>2068</v>
      </c>
      <c r="H953" s="3" t="s">
        <v>2069</v>
      </c>
      <c r="I953" s="4">
        <v>1686.77</v>
      </c>
      <c r="J953" s="3" t="s">
        <v>11</v>
      </c>
      <c r="K953">
        <f>MATCH(A953,Database!$A$2:$A$948,0)</f>
        <v>28</v>
      </c>
      <c r="L953">
        <f>VLOOKUP(A953,Database!$A$2:$I$948,4,0)</f>
        <v>1686.77</v>
      </c>
      <c r="M953" t="b">
        <f t="shared" si="31"/>
        <v>1</v>
      </c>
      <c r="N953">
        <f>VLOOKUP(A953,Database!$A$2:$I$948,5,0)</f>
        <v>1</v>
      </c>
    </row>
    <row r="954" spans="1:14" hidden="1" x14ac:dyDescent="0.35">
      <c r="A954" s="3">
        <v>103407209</v>
      </c>
      <c r="B954" s="3" t="s">
        <v>2070</v>
      </c>
      <c r="C954" s="3" t="str">
        <f t="shared" si="30"/>
        <v>2022-07-06</v>
      </c>
      <c r="D954" s="3" t="s">
        <v>9</v>
      </c>
      <c r="E954" s="3" t="s">
        <v>5</v>
      </c>
      <c r="F954" s="3" t="s">
        <v>10</v>
      </c>
      <c r="G954" s="3" t="s">
        <v>2071</v>
      </c>
      <c r="H954" s="3" t="s">
        <v>2072</v>
      </c>
      <c r="I954" s="3">
        <v>439</v>
      </c>
      <c r="J954" s="3" t="s">
        <v>11</v>
      </c>
      <c r="K954">
        <f>MATCH(A954,Database!$A$2:$A$948,0)</f>
        <v>27</v>
      </c>
      <c r="L954">
        <f>VLOOKUP(A954,Database!$A$2:$I$948,4,0)</f>
        <v>439</v>
      </c>
      <c r="M954" t="b">
        <f t="shared" si="31"/>
        <v>1</v>
      </c>
      <c r="N954">
        <f>VLOOKUP(A954,Database!$A$2:$I$948,5,0)</f>
        <v>1</v>
      </c>
    </row>
    <row r="955" spans="1:14" hidden="1" x14ac:dyDescent="0.35">
      <c r="A955" s="3">
        <v>103407204</v>
      </c>
      <c r="B955" s="3" t="s">
        <v>2073</v>
      </c>
      <c r="C955" s="3" t="str">
        <f t="shared" si="30"/>
        <v>2022-07-06</v>
      </c>
      <c r="D955" s="3" t="s">
        <v>9</v>
      </c>
      <c r="E955" s="3" t="s">
        <v>5</v>
      </c>
      <c r="F955" s="3" t="s">
        <v>10</v>
      </c>
      <c r="G955" s="3" t="s">
        <v>1082</v>
      </c>
      <c r="H955" s="3" t="s">
        <v>1083</v>
      </c>
      <c r="I955" s="4">
        <v>1329.05</v>
      </c>
      <c r="J955" s="3" t="s">
        <v>11</v>
      </c>
      <c r="K955">
        <f>MATCH(A955,Database!$A$2:$A$948,0)</f>
        <v>26</v>
      </c>
      <c r="L955">
        <f>VLOOKUP(A955,Database!$A$2:$I$948,4,0)</f>
        <v>1329.05</v>
      </c>
      <c r="M955" t="b">
        <f t="shared" si="31"/>
        <v>1</v>
      </c>
      <c r="N955">
        <f>VLOOKUP(A955,Database!$A$2:$I$948,5,0)</f>
        <v>1</v>
      </c>
    </row>
    <row r="956" spans="1:14" hidden="1" x14ac:dyDescent="0.35">
      <c r="A956" s="3">
        <v>103407202</v>
      </c>
      <c r="B956" s="3" t="s">
        <v>2074</v>
      </c>
      <c r="C956" s="3" t="str">
        <f t="shared" si="30"/>
        <v>2022-07-06</v>
      </c>
      <c r="D956" s="3" t="s">
        <v>9</v>
      </c>
      <c r="E956" s="3" t="s">
        <v>5</v>
      </c>
      <c r="F956" s="3" t="s">
        <v>10</v>
      </c>
      <c r="G956" s="3" t="s">
        <v>2075</v>
      </c>
      <c r="H956" s="3" t="s">
        <v>2076</v>
      </c>
      <c r="I956" s="4">
        <v>1196.05</v>
      </c>
      <c r="J956" s="3" t="s">
        <v>11</v>
      </c>
      <c r="K956">
        <f>MATCH(A956,Database!$A$2:$A$948,0)</f>
        <v>25</v>
      </c>
      <c r="L956">
        <f>VLOOKUP(A956,Database!$A$2:$I$948,4,0)</f>
        <v>1196.05</v>
      </c>
      <c r="M956" t="b">
        <f t="shared" si="31"/>
        <v>1</v>
      </c>
      <c r="N956">
        <f>VLOOKUP(A956,Database!$A$2:$I$948,5,0)</f>
        <v>1</v>
      </c>
    </row>
    <row r="957" spans="1:14" hidden="1" x14ac:dyDescent="0.35">
      <c r="A957" s="3">
        <v>103407283</v>
      </c>
      <c r="B957" s="3" t="s">
        <v>2077</v>
      </c>
      <c r="C957" s="3" t="str">
        <f t="shared" si="30"/>
        <v>2022-07-06</v>
      </c>
      <c r="D957" s="3" t="s">
        <v>9</v>
      </c>
      <c r="E957" s="3" t="s">
        <v>5</v>
      </c>
      <c r="F957" s="3" t="s">
        <v>10</v>
      </c>
      <c r="G957" s="3" t="s">
        <v>2078</v>
      </c>
      <c r="H957" s="3" t="s">
        <v>2079</v>
      </c>
      <c r="I957" s="5">
        <v>3599</v>
      </c>
      <c r="J957" s="3" t="s">
        <v>11</v>
      </c>
      <c r="K957">
        <f>MATCH(A957,Database!$A$2:$A$948,0)</f>
        <v>48</v>
      </c>
      <c r="L957">
        <f>VLOOKUP(A957,Database!$A$2:$I$948,4,0)</f>
        <v>3599</v>
      </c>
      <c r="M957" t="b">
        <f t="shared" si="31"/>
        <v>1</v>
      </c>
      <c r="N957">
        <f>VLOOKUP(A957,Database!$A$2:$I$948,5,0)</f>
        <v>1</v>
      </c>
    </row>
    <row r="958" spans="1:14" hidden="1" x14ac:dyDescent="0.35">
      <c r="A958" s="3">
        <v>103407281</v>
      </c>
      <c r="B958" s="3" t="s">
        <v>2080</v>
      </c>
      <c r="C958" s="3" t="str">
        <f t="shared" si="30"/>
        <v>2022-07-06</v>
      </c>
      <c r="D958" s="3" t="s">
        <v>9</v>
      </c>
      <c r="E958" s="3" t="s">
        <v>5</v>
      </c>
      <c r="F958" s="3" t="s">
        <v>10</v>
      </c>
      <c r="G958" s="3" t="s">
        <v>2081</v>
      </c>
      <c r="H958" s="3" t="s">
        <v>2082</v>
      </c>
      <c r="I958" s="4">
        <v>2155.5500000000002</v>
      </c>
      <c r="J958" s="3" t="s">
        <v>11</v>
      </c>
      <c r="K958">
        <f>MATCH(A958,Database!$A$2:$A$948,0)</f>
        <v>47</v>
      </c>
      <c r="L958">
        <f>VLOOKUP(A958,Database!$A$2:$I$948,4,0)</f>
        <v>2155.5500000000002</v>
      </c>
      <c r="M958" t="b">
        <f t="shared" si="31"/>
        <v>1</v>
      </c>
      <c r="N958">
        <f>VLOOKUP(A958,Database!$A$2:$I$948,5,0)</f>
        <v>1</v>
      </c>
    </row>
    <row r="959" spans="1:14" hidden="1" x14ac:dyDescent="0.35">
      <c r="A959" s="3">
        <v>103407280</v>
      </c>
      <c r="B959" s="3" t="s">
        <v>2083</v>
      </c>
      <c r="C959" s="3" t="str">
        <f t="shared" si="30"/>
        <v>2022-07-06</v>
      </c>
      <c r="D959" s="3" t="s">
        <v>9</v>
      </c>
      <c r="E959" s="3" t="s">
        <v>5</v>
      </c>
      <c r="F959" s="3" t="s">
        <v>10</v>
      </c>
      <c r="G959" s="3" t="s">
        <v>2084</v>
      </c>
      <c r="H959" s="3" t="s">
        <v>2085</v>
      </c>
      <c r="I959" s="5">
        <v>1199</v>
      </c>
      <c r="J959" s="3" t="s">
        <v>11</v>
      </c>
      <c r="K959">
        <f>MATCH(A959,Database!$A$2:$A$948,0)</f>
        <v>46</v>
      </c>
      <c r="L959">
        <f>VLOOKUP(A959,Database!$A$2:$I$948,4,0)</f>
        <v>1199</v>
      </c>
      <c r="M959" t="b">
        <f t="shared" si="31"/>
        <v>1</v>
      </c>
      <c r="N959">
        <f>VLOOKUP(A959,Database!$A$2:$I$948,5,0)</f>
        <v>1</v>
      </c>
    </row>
    <row r="960" spans="1:14" hidden="1" x14ac:dyDescent="0.35">
      <c r="A960" s="3">
        <v>103407198</v>
      </c>
      <c r="B960" s="3" t="s">
        <v>2086</v>
      </c>
      <c r="C960" s="3" t="str">
        <f t="shared" si="30"/>
        <v>2022-07-06</v>
      </c>
      <c r="D960" s="3" t="s">
        <v>9</v>
      </c>
      <c r="E960" s="3" t="s">
        <v>5</v>
      </c>
      <c r="F960" s="3" t="s">
        <v>10</v>
      </c>
      <c r="G960" s="3" t="s">
        <v>1425</v>
      </c>
      <c r="H960" s="3" t="s">
        <v>1426</v>
      </c>
      <c r="I960" s="3">
        <v>854.14</v>
      </c>
      <c r="J960" s="3" t="s">
        <v>11</v>
      </c>
      <c r="K960">
        <f>MATCH(A960,Database!$A$2:$A$948,0)</f>
        <v>24</v>
      </c>
      <c r="L960">
        <f>VLOOKUP(A960,Database!$A$2:$I$948,4,0)</f>
        <v>854.14</v>
      </c>
      <c r="M960" t="b">
        <f t="shared" si="31"/>
        <v>1</v>
      </c>
      <c r="N960">
        <f>VLOOKUP(A960,Database!$A$2:$I$948,5,0)</f>
        <v>1</v>
      </c>
    </row>
    <row r="961" spans="1:14" hidden="1" x14ac:dyDescent="0.35">
      <c r="A961" s="3">
        <v>103407278</v>
      </c>
      <c r="B961" s="3" t="s">
        <v>2087</v>
      </c>
      <c r="C961" s="3" t="str">
        <f t="shared" si="30"/>
        <v>2022-07-06</v>
      </c>
      <c r="D961" s="3" t="s">
        <v>9</v>
      </c>
      <c r="E961" s="3" t="s">
        <v>5</v>
      </c>
      <c r="F961" s="3" t="s">
        <v>10</v>
      </c>
      <c r="G961" s="3" t="s">
        <v>2088</v>
      </c>
      <c r="H961" s="3" t="s">
        <v>2089</v>
      </c>
      <c r="I961" s="4">
        <v>1424.05</v>
      </c>
      <c r="J961" s="3" t="s">
        <v>11</v>
      </c>
      <c r="K961">
        <f>MATCH(A961,Database!$A$2:$A$948,0)</f>
        <v>45</v>
      </c>
      <c r="L961">
        <f>VLOOKUP(A961,Database!$A$2:$I$948,4,0)</f>
        <v>1424.05</v>
      </c>
      <c r="M961" t="b">
        <f t="shared" si="31"/>
        <v>1</v>
      </c>
      <c r="N961">
        <f>VLOOKUP(A961,Database!$A$2:$I$948,5,0)</f>
        <v>1</v>
      </c>
    </row>
    <row r="962" spans="1:14" hidden="1" x14ac:dyDescent="0.35">
      <c r="A962" s="3">
        <v>103407196</v>
      </c>
      <c r="B962" s="3" t="s">
        <v>2090</v>
      </c>
      <c r="C962" s="3" t="str">
        <f t="shared" si="30"/>
        <v>2022-07-06</v>
      </c>
      <c r="D962" s="3" t="s">
        <v>9</v>
      </c>
      <c r="E962" s="3" t="s">
        <v>5</v>
      </c>
      <c r="F962" s="3" t="s">
        <v>10</v>
      </c>
      <c r="G962" s="3" t="s">
        <v>2091</v>
      </c>
      <c r="H962" s="3" t="s">
        <v>2092</v>
      </c>
      <c r="I962" s="5">
        <v>4668</v>
      </c>
      <c r="J962" s="3" t="s">
        <v>11</v>
      </c>
      <c r="K962">
        <f>MATCH(A962,Database!$A$2:$A$948,0)</f>
        <v>23</v>
      </c>
      <c r="L962">
        <f>VLOOKUP(A962,Database!$A$2:$I$948,4,0)</f>
        <v>4668</v>
      </c>
      <c r="M962" t="b">
        <f t="shared" si="31"/>
        <v>1</v>
      </c>
      <c r="N962">
        <f>VLOOKUP(A962,Database!$A$2:$I$948,5,0)</f>
        <v>2</v>
      </c>
    </row>
    <row r="963" spans="1:14" hidden="1" x14ac:dyDescent="0.35">
      <c r="A963" s="3">
        <v>103407276</v>
      </c>
      <c r="B963" s="3" t="s">
        <v>2093</v>
      </c>
      <c r="C963" s="3" t="str">
        <f t="shared" ref="C963:C1026" si="32">LEFT(B963,FIND("T",B963)-1)</f>
        <v>2022-07-06</v>
      </c>
      <c r="D963" s="3" t="s">
        <v>9</v>
      </c>
      <c r="E963" s="3" t="s">
        <v>5</v>
      </c>
      <c r="F963" s="3" t="s">
        <v>10</v>
      </c>
      <c r="G963" s="3" t="s">
        <v>2094</v>
      </c>
      <c r="H963" s="3" t="s">
        <v>2095</v>
      </c>
      <c r="I963" s="4">
        <v>3704.05</v>
      </c>
      <c r="J963" s="3" t="s">
        <v>11</v>
      </c>
      <c r="K963">
        <f>MATCH(A963,Database!$A$2:$A$948,0)</f>
        <v>44</v>
      </c>
      <c r="L963">
        <f>VLOOKUP(A963,Database!$A$2:$I$948,4,0)</f>
        <v>3704.05</v>
      </c>
      <c r="M963" t="b">
        <f t="shared" si="31"/>
        <v>1</v>
      </c>
      <c r="N963">
        <f>VLOOKUP(A963,Database!$A$2:$I$948,5,0)</f>
        <v>1</v>
      </c>
    </row>
    <row r="964" spans="1:14" hidden="1" x14ac:dyDescent="0.35">
      <c r="A964" s="3">
        <v>103407275</v>
      </c>
      <c r="B964" s="3" t="s">
        <v>2096</v>
      </c>
      <c r="C964" s="3" t="str">
        <f t="shared" si="32"/>
        <v>2022-07-06</v>
      </c>
      <c r="D964" s="3" t="s">
        <v>9</v>
      </c>
      <c r="E964" s="3" t="s">
        <v>5</v>
      </c>
      <c r="F964" s="3" t="s">
        <v>10</v>
      </c>
      <c r="G964" s="3" t="s">
        <v>2097</v>
      </c>
      <c r="H964" s="3" t="s">
        <v>2098</v>
      </c>
      <c r="I964" s="5">
        <v>1259</v>
      </c>
      <c r="J964" s="3" t="s">
        <v>11</v>
      </c>
      <c r="K964">
        <f>MATCH(A964,Database!$A$2:$A$948,0)</f>
        <v>43</v>
      </c>
      <c r="L964">
        <f>VLOOKUP(A964,Database!$A$2:$I$948,4,0)</f>
        <v>1259</v>
      </c>
      <c r="M964" t="b">
        <f t="shared" si="31"/>
        <v>1</v>
      </c>
      <c r="N964">
        <f>VLOOKUP(A964,Database!$A$2:$I$948,5,0)</f>
        <v>1</v>
      </c>
    </row>
    <row r="965" spans="1:14" hidden="1" x14ac:dyDescent="0.35">
      <c r="A965" s="3">
        <v>103407274</v>
      </c>
      <c r="B965" s="3" t="s">
        <v>2099</v>
      </c>
      <c r="C965" s="3" t="str">
        <f t="shared" si="32"/>
        <v>2022-07-06</v>
      </c>
      <c r="D965" s="3" t="s">
        <v>9</v>
      </c>
      <c r="E965" s="3" t="s">
        <v>5</v>
      </c>
      <c r="F965" s="3" t="s">
        <v>10</v>
      </c>
      <c r="G965" s="3" t="s">
        <v>2100</v>
      </c>
      <c r="H965" s="3" t="s">
        <v>2101</v>
      </c>
      <c r="I965" s="5">
        <v>4199</v>
      </c>
      <c r="J965" s="3" t="s">
        <v>11</v>
      </c>
      <c r="K965">
        <f>MATCH(A965,Database!$A$2:$A$948,0)</f>
        <v>42</v>
      </c>
      <c r="L965">
        <f>VLOOKUP(A965,Database!$A$2:$I$948,4,0)</f>
        <v>4199</v>
      </c>
      <c r="M965" t="b">
        <f t="shared" si="31"/>
        <v>1</v>
      </c>
      <c r="N965">
        <f>VLOOKUP(A965,Database!$A$2:$I$948,5,0)</f>
        <v>1</v>
      </c>
    </row>
    <row r="966" spans="1:14" hidden="1" x14ac:dyDescent="0.35">
      <c r="A966" s="3">
        <v>103407271</v>
      </c>
      <c r="B966" s="3" t="s">
        <v>2102</v>
      </c>
      <c r="C966" s="3" t="str">
        <f t="shared" si="32"/>
        <v>2022-07-06</v>
      </c>
      <c r="D966" s="3" t="s">
        <v>9</v>
      </c>
      <c r="E966" s="3" t="s">
        <v>5</v>
      </c>
      <c r="F966" s="3" t="s">
        <v>10</v>
      </c>
      <c r="G966" s="3" t="s">
        <v>2103</v>
      </c>
      <c r="H966" s="3" t="s">
        <v>2104</v>
      </c>
      <c r="I966" s="5">
        <v>1489</v>
      </c>
      <c r="J966" s="3" t="s">
        <v>11</v>
      </c>
      <c r="K966" t="e">
        <f>MATCH(A966,Database!$A$2:$A$948,0)</f>
        <v>#N/A</v>
      </c>
      <c r="L966" t="e">
        <f>VLOOKUP(A966,Database!$A$2:$I$948,4,0)</f>
        <v>#N/A</v>
      </c>
      <c r="M966" t="e">
        <f t="shared" si="31"/>
        <v>#N/A</v>
      </c>
      <c r="N966" t="e">
        <f>VLOOKUP(A966,Database!$A$2:$I$948,5,0)</f>
        <v>#N/A</v>
      </c>
    </row>
    <row r="967" spans="1:14" hidden="1" x14ac:dyDescent="0.35">
      <c r="A967" s="3">
        <v>103407269</v>
      </c>
      <c r="B967" s="3" t="s">
        <v>2105</v>
      </c>
      <c r="C967" s="3" t="str">
        <f t="shared" si="32"/>
        <v>2022-07-06</v>
      </c>
      <c r="D967" s="3" t="s">
        <v>9</v>
      </c>
      <c r="E967" s="3" t="s">
        <v>5</v>
      </c>
      <c r="F967" s="3" t="s">
        <v>10</v>
      </c>
      <c r="G967" s="3" t="s">
        <v>2106</v>
      </c>
      <c r="H967" s="3" t="s">
        <v>2107</v>
      </c>
      <c r="I967" s="4">
        <v>1823.05</v>
      </c>
      <c r="J967" s="3" t="s">
        <v>11</v>
      </c>
      <c r="K967" t="e">
        <f>MATCH(A967,Database!$A$2:$A$948,0)</f>
        <v>#N/A</v>
      </c>
      <c r="L967" t="e">
        <f>VLOOKUP(A967,Database!$A$2:$I$948,4,0)</f>
        <v>#N/A</v>
      </c>
      <c r="M967" t="e">
        <f t="shared" si="31"/>
        <v>#N/A</v>
      </c>
      <c r="N967" t="e">
        <f>VLOOKUP(A967,Database!$A$2:$I$948,5,0)</f>
        <v>#N/A</v>
      </c>
    </row>
    <row r="968" spans="1:14" hidden="1" x14ac:dyDescent="0.35">
      <c r="A968" s="3">
        <v>103407164</v>
      </c>
      <c r="B968" s="3" t="s">
        <v>2108</v>
      </c>
      <c r="C968" s="3" t="str">
        <f t="shared" si="32"/>
        <v>2022-07-06</v>
      </c>
      <c r="D968" s="3" t="s">
        <v>9</v>
      </c>
      <c r="E968" s="3" t="s">
        <v>5</v>
      </c>
      <c r="F968" s="3" t="s">
        <v>10</v>
      </c>
      <c r="G968" s="3" t="s">
        <v>2109</v>
      </c>
      <c r="H968" s="3" t="s">
        <v>2110</v>
      </c>
      <c r="I968" s="5">
        <v>1249</v>
      </c>
      <c r="J968" s="3" t="s">
        <v>11</v>
      </c>
      <c r="K968" t="e">
        <f>MATCH(A968,Database!$A$2:$A$948,0)</f>
        <v>#N/A</v>
      </c>
      <c r="L968" t="e">
        <f>VLOOKUP(A968,Database!$A$2:$I$948,4,0)</f>
        <v>#N/A</v>
      </c>
      <c r="M968" t="e">
        <f t="shared" si="31"/>
        <v>#N/A</v>
      </c>
      <c r="N968" t="e">
        <f>VLOOKUP(A968,Database!$A$2:$I$948,5,0)</f>
        <v>#N/A</v>
      </c>
    </row>
    <row r="969" spans="1:14" hidden="1" x14ac:dyDescent="0.35">
      <c r="A969" s="3">
        <v>103407182</v>
      </c>
      <c r="B969" s="3" t="s">
        <v>2111</v>
      </c>
      <c r="C969" s="3" t="str">
        <f t="shared" si="32"/>
        <v>2022-07-06</v>
      </c>
      <c r="D969" s="3" t="s">
        <v>9</v>
      </c>
      <c r="E969" s="3" t="s">
        <v>5</v>
      </c>
      <c r="F969" s="3" t="s">
        <v>10</v>
      </c>
      <c r="G969" s="3" t="s">
        <v>2112</v>
      </c>
      <c r="H969" s="3" t="s">
        <v>2113</v>
      </c>
      <c r="I969" s="5">
        <v>3849</v>
      </c>
      <c r="J969" s="3" t="s">
        <v>11</v>
      </c>
      <c r="K969" t="e">
        <f>MATCH(A969,Database!$A$2:$A$948,0)</f>
        <v>#N/A</v>
      </c>
      <c r="L969" t="e">
        <f>VLOOKUP(A969,Database!$A$2:$I$948,4,0)</f>
        <v>#N/A</v>
      </c>
      <c r="M969" t="e">
        <f t="shared" si="31"/>
        <v>#N/A</v>
      </c>
      <c r="N969" t="e">
        <f>VLOOKUP(A969,Database!$A$2:$I$948,5,0)</f>
        <v>#N/A</v>
      </c>
    </row>
    <row r="970" spans="1:14" hidden="1" x14ac:dyDescent="0.35">
      <c r="A970" s="3">
        <v>103407181</v>
      </c>
      <c r="B970" s="3" t="s">
        <v>2114</v>
      </c>
      <c r="C970" s="3" t="str">
        <f t="shared" si="32"/>
        <v>2022-07-06</v>
      </c>
      <c r="D970" s="3" t="s">
        <v>9</v>
      </c>
      <c r="E970" s="3" t="s">
        <v>5</v>
      </c>
      <c r="F970" s="3" t="s">
        <v>10</v>
      </c>
      <c r="G970" s="3" t="s">
        <v>2115</v>
      </c>
      <c r="H970" s="3" t="s">
        <v>2116</v>
      </c>
      <c r="I970" s="4">
        <v>2136.5500000000002</v>
      </c>
      <c r="J970" s="3" t="s">
        <v>11</v>
      </c>
      <c r="K970" t="e">
        <f>MATCH(A970,Database!$A$2:$A$948,0)</f>
        <v>#N/A</v>
      </c>
      <c r="L970" t="e">
        <f>VLOOKUP(A970,Database!$A$2:$I$948,4,0)</f>
        <v>#N/A</v>
      </c>
      <c r="M970" t="e">
        <f t="shared" si="31"/>
        <v>#N/A</v>
      </c>
      <c r="N970" t="e">
        <f>VLOOKUP(A970,Database!$A$2:$I$948,5,0)</f>
        <v>#N/A</v>
      </c>
    </row>
    <row r="971" spans="1:14" hidden="1" x14ac:dyDescent="0.35">
      <c r="A971" s="3">
        <v>103407159</v>
      </c>
      <c r="B971" s="3" t="s">
        <v>2117</v>
      </c>
      <c r="C971" s="3" t="str">
        <f t="shared" si="32"/>
        <v>2022-07-06</v>
      </c>
      <c r="D971" s="3" t="s">
        <v>9</v>
      </c>
      <c r="E971" s="3" t="s">
        <v>5</v>
      </c>
      <c r="F971" s="3" t="s">
        <v>10</v>
      </c>
      <c r="G971" s="3" t="s">
        <v>2118</v>
      </c>
      <c r="H971" s="3" t="s">
        <v>2119</v>
      </c>
      <c r="I971" s="4">
        <v>4559.05</v>
      </c>
      <c r="J971" s="3" t="s">
        <v>11</v>
      </c>
      <c r="K971" t="e">
        <f>MATCH(A971,Database!$A$2:$A$948,0)</f>
        <v>#N/A</v>
      </c>
      <c r="L971" t="e">
        <f>VLOOKUP(A971,Database!$A$2:$I$948,4,0)</f>
        <v>#N/A</v>
      </c>
      <c r="M971" t="e">
        <f t="shared" si="31"/>
        <v>#N/A</v>
      </c>
      <c r="N971" t="e">
        <f>VLOOKUP(A971,Database!$A$2:$I$948,5,0)</f>
        <v>#N/A</v>
      </c>
    </row>
    <row r="972" spans="1:14" hidden="1" x14ac:dyDescent="0.35">
      <c r="A972" s="3">
        <v>103407179</v>
      </c>
      <c r="B972" s="3" t="s">
        <v>2120</v>
      </c>
      <c r="C972" s="3" t="str">
        <f t="shared" si="32"/>
        <v>2022-07-06</v>
      </c>
      <c r="D972" s="3" t="s">
        <v>9</v>
      </c>
      <c r="E972" s="3" t="s">
        <v>5</v>
      </c>
      <c r="F972" s="3" t="s">
        <v>10</v>
      </c>
      <c r="G972" s="3" t="s">
        <v>2121</v>
      </c>
      <c r="H972" s="3" t="s">
        <v>2122</v>
      </c>
      <c r="I972" s="4">
        <v>3913.05</v>
      </c>
      <c r="J972" s="3" t="s">
        <v>11</v>
      </c>
      <c r="K972" t="e">
        <f>MATCH(A972,Database!$A$2:$A$948,0)</f>
        <v>#N/A</v>
      </c>
      <c r="L972" t="e">
        <f>VLOOKUP(A972,Database!$A$2:$I$948,4,0)</f>
        <v>#N/A</v>
      </c>
      <c r="M972" t="e">
        <f t="shared" ref="M972:M1035" si="33">I972=L972</f>
        <v>#N/A</v>
      </c>
      <c r="N972" t="e">
        <f>VLOOKUP(A972,Database!$A$2:$I$948,5,0)</f>
        <v>#N/A</v>
      </c>
    </row>
    <row r="973" spans="1:14" hidden="1" x14ac:dyDescent="0.35">
      <c r="A973" s="3">
        <v>103407158</v>
      </c>
      <c r="B973" s="3" t="s">
        <v>2123</v>
      </c>
      <c r="C973" s="3" t="str">
        <f t="shared" si="32"/>
        <v>2022-07-06</v>
      </c>
      <c r="D973" s="3" t="s">
        <v>9</v>
      </c>
      <c r="E973" s="3" t="s">
        <v>5</v>
      </c>
      <c r="F973" s="3" t="s">
        <v>10</v>
      </c>
      <c r="G973" s="3" t="s">
        <v>2124</v>
      </c>
      <c r="H973" s="3" t="s">
        <v>2125</v>
      </c>
      <c r="I973" s="3">
        <v>683.05</v>
      </c>
      <c r="J973" s="3" t="s">
        <v>11</v>
      </c>
      <c r="K973" t="e">
        <f>MATCH(A973,Database!$A$2:$A$948,0)</f>
        <v>#N/A</v>
      </c>
      <c r="L973" t="e">
        <f>VLOOKUP(A973,Database!$A$2:$I$948,4,0)</f>
        <v>#N/A</v>
      </c>
      <c r="M973" t="e">
        <f t="shared" si="33"/>
        <v>#N/A</v>
      </c>
      <c r="N973" t="e">
        <f>VLOOKUP(A973,Database!$A$2:$I$948,5,0)</f>
        <v>#N/A</v>
      </c>
    </row>
    <row r="974" spans="1:14" hidden="1" x14ac:dyDescent="0.35">
      <c r="A974" s="3">
        <v>103407146</v>
      </c>
      <c r="B974" s="3" t="s">
        <v>2126</v>
      </c>
      <c r="C974" s="3" t="str">
        <f t="shared" si="32"/>
        <v>2022-07-06</v>
      </c>
      <c r="D974" s="3" t="s">
        <v>9</v>
      </c>
      <c r="E974" s="3" t="s">
        <v>5</v>
      </c>
      <c r="F974" s="3" t="s">
        <v>10</v>
      </c>
      <c r="G974" s="3" t="s">
        <v>2127</v>
      </c>
      <c r="H974" s="3" t="s">
        <v>2128</v>
      </c>
      <c r="I974" s="5">
        <v>1869</v>
      </c>
      <c r="J974" s="3" t="s">
        <v>11</v>
      </c>
      <c r="K974" t="e">
        <f>MATCH(A974,Database!$A$2:$A$948,0)</f>
        <v>#N/A</v>
      </c>
      <c r="L974" t="e">
        <f>VLOOKUP(A974,Database!$A$2:$I$948,4,0)</f>
        <v>#N/A</v>
      </c>
      <c r="M974" t="e">
        <f t="shared" si="33"/>
        <v>#N/A</v>
      </c>
      <c r="N974" t="e">
        <f>VLOOKUP(A974,Database!$A$2:$I$948,5,0)</f>
        <v>#N/A</v>
      </c>
    </row>
    <row r="975" spans="1:14" hidden="1" x14ac:dyDescent="0.35">
      <c r="A975" s="3">
        <v>103407055</v>
      </c>
      <c r="B975" s="3" t="s">
        <v>2129</v>
      </c>
      <c r="C975" s="3" t="str">
        <f t="shared" si="32"/>
        <v>2022-07-06</v>
      </c>
      <c r="D975" s="3" t="s">
        <v>9</v>
      </c>
      <c r="E975" s="3" t="s">
        <v>5</v>
      </c>
      <c r="F975" s="3" t="s">
        <v>10</v>
      </c>
      <c r="G975" s="3" t="s">
        <v>2130</v>
      </c>
      <c r="H975" s="3" t="s">
        <v>2131</v>
      </c>
      <c r="I975" s="5">
        <v>2599</v>
      </c>
      <c r="J975" s="3" t="s">
        <v>11</v>
      </c>
      <c r="K975" t="e">
        <f>MATCH(A975,Database!$A$2:$A$948,0)</f>
        <v>#N/A</v>
      </c>
      <c r="L975" t="e">
        <f>VLOOKUP(A975,Database!$A$2:$I$948,4,0)</f>
        <v>#N/A</v>
      </c>
      <c r="M975" t="e">
        <f t="shared" si="33"/>
        <v>#N/A</v>
      </c>
      <c r="N975" t="e">
        <f>VLOOKUP(A975,Database!$A$2:$I$948,5,0)</f>
        <v>#N/A</v>
      </c>
    </row>
    <row r="976" spans="1:14" hidden="1" x14ac:dyDescent="0.35">
      <c r="A976" s="3">
        <v>103407054</v>
      </c>
      <c r="B976" s="3" t="s">
        <v>2132</v>
      </c>
      <c r="C976" s="3" t="str">
        <f t="shared" si="32"/>
        <v>2022-07-06</v>
      </c>
      <c r="D976" s="3" t="s">
        <v>9</v>
      </c>
      <c r="E976" s="3" t="s">
        <v>5</v>
      </c>
      <c r="F976" s="3" t="s">
        <v>10</v>
      </c>
      <c r="G976" s="3" t="s">
        <v>2133</v>
      </c>
      <c r="H976" s="3" t="s">
        <v>2134</v>
      </c>
      <c r="I976" s="4">
        <v>1129.55</v>
      </c>
      <c r="J976" s="3" t="s">
        <v>11</v>
      </c>
      <c r="K976" t="e">
        <f>MATCH(A976,Database!$A$2:$A$948,0)</f>
        <v>#N/A</v>
      </c>
      <c r="L976" t="e">
        <f>VLOOKUP(A976,Database!$A$2:$I$948,4,0)</f>
        <v>#N/A</v>
      </c>
      <c r="M976" t="e">
        <f t="shared" si="33"/>
        <v>#N/A</v>
      </c>
      <c r="N976" t="e">
        <f>VLOOKUP(A976,Database!$A$2:$I$948,5,0)</f>
        <v>#N/A</v>
      </c>
    </row>
    <row r="977" spans="1:14" hidden="1" x14ac:dyDescent="0.35">
      <c r="A977" s="3">
        <v>103407143</v>
      </c>
      <c r="B977" s="3" t="s">
        <v>4780</v>
      </c>
      <c r="C977" s="3" t="str">
        <f t="shared" si="32"/>
        <v>2022-07-06</v>
      </c>
      <c r="D977" s="3" t="s">
        <v>9</v>
      </c>
      <c r="E977" s="3" t="s">
        <v>5</v>
      </c>
      <c r="F977" s="3" t="s">
        <v>10</v>
      </c>
      <c r="G977" s="3" t="s">
        <v>4781</v>
      </c>
      <c r="H977" s="3" t="s">
        <v>4782</v>
      </c>
      <c r="I977" s="4">
        <v>1063.05</v>
      </c>
      <c r="J977" s="3" t="s">
        <v>13</v>
      </c>
      <c r="K977">
        <f>MATCH(A977,Database!$A$2:$A$948,0)</f>
        <v>22</v>
      </c>
      <c r="L977">
        <f>VLOOKUP(A977,Database!$A$2:$I$948,4,0)</f>
        <v>1063.05</v>
      </c>
      <c r="M977" t="b">
        <f t="shared" si="33"/>
        <v>1</v>
      </c>
      <c r="N977">
        <f>VLOOKUP(A977,Database!$A$2:$I$948,5,0)</f>
        <v>1</v>
      </c>
    </row>
    <row r="978" spans="1:14" hidden="1" x14ac:dyDescent="0.35">
      <c r="A978" s="3">
        <v>103407142</v>
      </c>
      <c r="B978" s="3" t="s">
        <v>2135</v>
      </c>
      <c r="C978" s="3" t="str">
        <f t="shared" si="32"/>
        <v>2022-07-06</v>
      </c>
      <c r="D978" s="3" t="s">
        <v>9</v>
      </c>
      <c r="E978" s="3" t="s">
        <v>5</v>
      </c>
      <c r="F978" s="3" t="s">
        <v>10</v>
      </c>
      <c r="G978" s="3" t="s">
        <v>2136</v>
      </c>
      <c r="H978" s="3" t="s">
        <v>2137</v>
      </c>
      <c r="I978" s="4">
        <v>3704.05</v>
      </c>
      <c r="J978" s="3" t="s">
        <v>11</v>
      </c>
      <c r="K978" t="e">
        <f>MATCH(A978,Database!$A$2:$A$948,0)</f>
        <v>#N/A</v>
      </c>
      <c r="L978" t="e">
        <f>VLOOKUP(A978,Database!$A$2:$I$948,4,0)</f>
        <v>#N/A</v>
      </c>
      <c r="M978" t="e">
        <f t="shared" si="33"/>
        <v>#N/A</v>
      </c>
      <c r="N978" t="e">
        <f>VLOOKUP(A978,Database!$A$2:$I$948,5,0)</f>
        <v>#N/A</v>
      </c>
    </row>
    <row r="979" spans="1:14" hidden="1" x14ac:dyDescent="0.35">
      <c r="A979" s="3">
        <v>103407049</v>
      </c>
      <c r="B979" s="3" t="s">
        <v>2138</v>
      </c>
      <c r="C979" s="3" t="str">
        <f t="shared" si="32"/>
        <v>2022-07-06</v>
      </c>
      <c r="D979" s="3" t="s">
        <v>9</v>
      </c>
      <c r="E979" s="3" t="s">
        <v>5</v>
      </c>
      <c r="F979" s="3" t="s">
        <v>10</v>
      </c>
      <c r="G979" s="3" t="s">
        <v>2139</v>
      </c>
      <c r="H979" s="3" t="s">
        <v>2140</v>
      </c>
      <c r="I979" s="5">
        <v>3899</v>
      </c>
      <c r="J979" s="3" t="s">
        <v>11</v>
      </c>
      <c r="K979" t="e">
        <f>MATCH(A979,Database!$A$2:$A$948,0)</f>
        <v>#N/A</v>
      </c>
      <c r="L979" t="e">
        <f>VLOOKUP(A979,Database!$A$2:$I$948,4,0)</f>
        <v>#N/A</v>
      </c>
      <c r="M979" t="e">
        <f t="shared" si="33"/>
        <v>#N/A</v>
      </c>
      <c r="N979" t="e">
        <f>VLOOKUP(A979,Database!$A$2:$I$948,5,0)</f>
        <v>#N/A</v>
      </c>
    </row>
    <row r="980" spans="1:14" hidden="1" x14ac:dyDescent="0.35">
      <c r="A980" s="3">
        <v>103407139</v>
      </c>
      <c r="B980" s="3" t="s">
        <v>2141</v>
      </c>
      <c r="C980" s="3" t="str">
        <f t="shared" si="32"/>
        <v>2022-07-06</v>
      </c>
      <c r="D980" s="3" t="s">
        <v>9</v>
      </c>
      <c r="E980" s="3" t="s">
        <v>5</v>
      </c>
      <c r="F980" s="3" t="s">
        <v>12</v>
      </c>
      <c r="G980" s="3" t="s">
        <v>2142</v>
      </c>
      <c r="H980" s="3" t="s">
        <v>2143</v>
      </c>
      <c r="I980" s="4">
        <v>4559.05</v>
      </c>
      <c r="J980" s="3" t="s">
        <v>11</v>
      </c>
      <c r="K980" t="e">
        <f>MATCH(A980,Database!$A$2:$A$948,0)</f>
        <v>#N/A</v>
      </c>
      <c r="L980" t="e">
        <f>VLOOKUP(A980,Database!$A$2:$I$948,4,0)</f>
        <v>#N/A</v>
      </c>
      <c r="M980" t="e">
        <f t="shared" si="33"/>
        <v>#N/A</v>
      </c>
      <c r="N980" t="e">
        <f>VLOOKUP(A980,Database!$A$2:$I$948,5,0)</f>
        <v>#N/A</v>
      </c>
    </row>
    <row r="981" spans="1:14" hidden="1" x14ac:dyDescent="0.35">
      <c r="A981" s="3">
        <v>103407137</v>
      </c>
      <c r="B981" s="3" t="s">
        <v>2144</v>
      </c>
      <c r="C981" s="3" t="str">
        <f t="shared" si="32"/>
        <v>2022-07-06</v>
      </c>
      <c r="D981" s="3" t="s">
        <v>9</v>
      </c>
      <c r="E981" s="3" t="s">
        <v>5</v>
      </c>
      <c r="F981" s="3" t="s">
        <v>10</v>
      </c>
      <c r="G981" s="3" t="s">
        <v>2145</v>
      </c>
      <c r="H981" s="3" t="s">
        <v>2146</v>
      </c>
      <c r="I981" s="5">
        <v>3149</v>
      </c>
      <c r="J981" s="3" t="s">
        <v>11</v>
      </c>
      <c r="K981" t="e">
        <f>MATCH(A981,Database!$A$2:$A$948,0)</f>
        <v>#N/A</v>
      </c>
      <c r="L981" t="e">
        <f>VLOOKUP(A981,Database!$A$2:$I$948,4,0)</f>
        <v>#N/A</v>
      </c>
      <c r="M981" t="e">
        <f t="shared" si="33"/>
        <v>#N/A</v>
      </c>
      <c r="N981" t="e">
        <f>VLOOKUP(A981,Database!$A$2:$I$948,5,0)</f>
        <v>#N/A</v>
      </c>
    </row>
    <row r="982" spans="1:14" hidden="1" x14ac:dyDescent="0.35">
      <c r="A982" s="3">
        <v>103407045</v>
      </c>
      <c r="B982" s="3" t="s">
        <v>2147</v>
      </c>
      <c r="C982" s="3" t="str">
        <f t="shared" si="32"/>
        <v>2022-07-06</v>
      </c>
      <c r="D982" s="3" t="s">
        <v>9</v>
      </c>
      <c r="E982" s="3" t="s">
        <v>5</v>
      </c>
      <c r="F982" s="3" t="s">
        <v>10</v>
      </c>
      <c r="G982" s="3" t="s">
        <v>2148</v>
      </c>
      <c r="H982" s="3" t="s">
        <v>2149</v>
      </c>
      <c r="I982" s="4">
        <v>1262.5999999999999</v>
      </c>
      <c r="J982" s="3" t="s">
        <v>11</v>
      </c>
      <c r="K982" t="e">
        <f>MATCH(A982,Database!$A$2:$A$948,0)</f>
        <v>#N/A</v>
      </c>
      <c r="L982" t="e">
        <f>VLOOKUP(A982,Database!$A$2:$I$948,4,0)</f>
        <v>#N/A</v>
      </c>
      <c r="M982" t="e">
        <f t="shared" si="33"/>
        <v>#N/A</v>
      </c>
      <c r="N982" t="e">
        <f>VLOOKUP(A982,Database!$A$2:$I$948,5,0)</f>
        <v>#N/A</v>
      </c>
    </row>
    <row r="983" spans="1:14" hidden="1" x14ac:dyDescent="0.35">
      <c r="A983" s="3">
        <v>103407043</v>
      </c>
      <c r="B983" s="3" t="s">
        <v>2150</v>
      </c>
      <c r="C983" s="3" t="str">
        <f t="shared" si="32"/>
        <v>2022-07-06</v>
      </c>
      <c r="D983" s="3" t="s">
        <v>9</v>
      </c>
      <c r="E983" s="3" t="s">
        <v>5</v>
      </c>
      <c r="F983" s="3" t="s">
        <v>10</v>
      </c>
      <c r="G983" s="3" t="s">
        <v>2151</v>
      </c>
      <c r="H983" s="3" t="s">
        <v>2152</v>
      </c>
      <c r="I983" s="3">
        <v>809</v>
      </c>
      <c r="J983" s="3" t="s">
        <v>11</v>
      </c>
      <c r="K983" t="e">
        <f>MATCH(A983,Database!$A$2:$A$948,0)</f>
        <v>#N/A</v>
      </c>
      <c r="L983" t="e">
        <f>VLOOKUP(A983,Database!$A$2:$I$948,4,0)</f>
        <v>#N/A</v>
      </c>
      <c r="M983" t="e">
        <f t="shared" si="33"/>
        <v>#N/A</v>
      </c>
      <c r="N983" t="e">
        <f>VLOOKUP(A983,Database!$A$2:$I$948,5,0)</f>
        <v>#N/A</v>
      </c>
    </row>
    <row r="984" spans="1:14" hidden="1" x14ac:dyDescent="0.35">
      <c r="A984" s="3">
        <v>103407126</v>
      </c>
      <c r="B984" s="3" t="s">
        <v>2153</v>
      </c>
      <c r="C984" s="3" t="str">
        <f t="shared" si="32"/>
        <v>2022-07-06</v>
      </c>
      <c r="D984" s="3" t="s">
        <v>9</v>
      </c>
      <c r="E984" s="3" t="s">
        <v>5</v>
      </c>
      <c r="F984" s="3" t="s">
        <v>10</v>
      </c>
      <c r="G984" s="3" t="s">
        <v>2154</v>
      </c>
      <c r="H984" s="3" t="s">
        <v>2155</v>
      </c>
      <c r="I984" s="5">
        <v>5849</v>
      </c>
      <c r="J984" s="3" t="s">
        <v>11</v>
      </c>
      <c r="K984" t="e">
        <f>MATCH(A984,Database!$A$2:$A$948,0)</f>
        <v>#N/A</v>
      </c>
      <c r="L984" t="e">
        <f>VLOOKUP(A984,Database!$A$2:$I$948,4,0)</f>
        <v>#N/A</v>
      </c>
      <c r="M984" t="e">
        <f t="shared" si="33"/>
        <v>#N/A</v>
      </c>
      <c r="N984" t="e">
        <f>VLOOKUP(A984,Database!$A$2:$I$948,5,0)</f>
        <v>#N/A</v>
      </c>
    </row>
    <row r="985" spans="1:14" hidden="1" x14ac:dyDescent="0.35">
      <c r="A985" s="3">
        <v>103407123</v>
      </c>
      <c r="B985" s="3" t="s">
        <v>2156</v>
      </c>
      <c r="C985" s="3" t="str">
        <f t="shared" si="32"/>
        <v>2022-07-06</v>
      </c>
      <c r="D985" s="3" t="s">
        <v>9</v>
      </c>
      <c r="E985" s="3" t="s">
        <v>5</v>
      </c>
      <c r="F985" s="3" t="s">
        <v>10</v>
      </c>
      <c r="G985" s="3" t="s">
        <v>2157</v>
      </c>
      <c r="H985" s="3" t="s">
        <v>2158</v>
      </c>
      <c r="I985" s="3">
        <v>854.05</v>
      </c>
      <c r="J985" s="3" t="s">
        <v>11</v>
      </c>
      <c r="K985" t="e">
        <f>MATCH(A985,Database!$A$2:$A$948,0)</f>
        <v>#N/A</v>
      </c>
      <c r="L985" t="e">
        <f>VLOOKUP(A985,Database!$A$2:$I$948,4,0)</f>
        <v>#N/A</v>
      </c>
      <c r="M985" t="e">
        <f t="shared" si="33"/>
        <v>#N/A</v>
      </c>
      <c r="N985" t="e">
        <f>VLOOKUP(A985,Database!$A$2:$I$948,5,0)</f>
        <v>#N/A</v>
      </c>
    </row>
    <row r="986" spans="1:14" hidden="1" x14ac:dyDescent="0.35">
      <c r="A986" s="3">
        <v>103407119</v>
      </c>
      <c r="B986" s="3" t="s">
        <v>2159</v>
      </c>
      <c r="C986" s="3" t="str">
        <f t="shared" si="32"/>
        <v>2022-07-06</v>
      </c>
      <c r="D986" s="3" t="s">
        <v>9</v>
      </c>
      <c r="E986" s="3" t="s">
        <v>5</v>
      </c>
      <c r="F986" s="3" t="s">
        <v>12</v>
      </c>
      <c r="G986" s="3" t="s">
        <v>2160</v>
      </c>
      <c r="H986" s="3" t="s">
        <v>2161</v>
      </c>
      <c r="I986" s="3">
        <v>737.1</v>
      </c>
      <c r="J986" s="3" t="s">
        <v>11</v>
      </c>
      <c r="K986" t="e">
        <f>MATCH(A986,Database!$A$2:$A$948,0)</f>
        <v>#N/A</v>
      </c>
      <c r="L986" t="e">
        <f>VLOOKUP(A986,Database!$A$2:$I$948,4,0)</f>
        <v>#N/A</v>
      </c>
      <c r="M986" t="e">
        <f t="shared" si="33"/>
        <v>#N/A</v>
      </c>
      <c r="N986" t="e">
        <f>VLOOKUP(A986,Database!$A$2:$I$948,5,0)</f>
        <v>#N/A</v>
      </c>
    </row>
    <row r="987" spans="1:14" hidden="1" x14ac:dyDescent="0.35">
      <c r="A987" s="3">
        <v>103407118</v>
      </c>
      <c r="B987" s="3" t="s">
        <v>2162</v>
      </c>
      <c r="C987" s="3" t="str">
        <f t="shared" si="32"/>
        <v>2022-07-06</v>
      </c>
      <c r="D987" s="3" t="s">
        <v>9</v>
      </c>
      <c r="E987" s="3" t="s">
        <v>5</v>
      </c>
      <c r="F987" s="3" t="s">
        <v>10</v>
      </c>
      <c r="G987" s="3" t="s">
        <v>2163</v>
      </c>
      <c r="H987" s="3" t="s">
        <v>2164</v>
      </c>
      <c r="I987" s="5">
        <v>1499</v>
      </c>
      <c r="J987" s="3" t="s">
        <v>11</v>
      </c>
      <c r="K987" t="e">
        <f>MATCH(A987,Database!$A$2:$A$948,0)</f>
        <v>#N/A</v>
      </c>
      <c r="L987" t="e">
        <f>VLOOKUP(A987,Database!$A$2:$I$948,4,0)</f>
        <v>#N/A</v>
      </c>
      <c r="M987" t="e">
        <f t="shared" si="33"/>
        <v>#N/A</v>
      </c>
      <c r="N987" t="e">
        <f>VLOOKUP(A987,Database!$A$2:$I$948,5,0)</f>
        <v>#N/A</v>
      </c>
    </row>
    <row r="988" spans="1:14" hidden="1" x14ac:dyDescent="0.35">
      <c r="A988" s="3">
        <v>103407027</v>
      </c>
      <c r="B988" s="3" t="s">
        <v>2165</v>
      </c>
      <c r="C988" s="3" t="str">
        <f t="shared" si="32"/>
        <v>2022-07-06</v>
      </c>
      <c r="D988" s="3" t="s">
        <v>9</v>
      </c>
      <c r="E988" s="3" t="s">
        <v>5</v>
      </c>
      <c r="F988" s="3" t="s">
        <v>10</v>
      </c>
      <c r="G988" s="3" t="s">
        <v>2166</v>
      </c>
      <c r="H988" s="3" t="s">
        <v>2167</v>
      </c>
      <c r="I988" s="5">
        <v>3849</v>
      </c>
      <c r="J988" s="3" t="s">
        <v>11</v>
      </c>
      <c r="K988" t="e">
        <f>MATCH(A988,Database!$A$2:$A$948,0)</f>
        <v>#N/A</v>
      </c>
      <c r="L988" t="e">
        <f>VLOOKUP(A988,Database!$A$2:$I$948,4,0)</f>
        <v>#N/A</v>
      </c>
      <c r="M988" t="e">
        <f t="shared" si="33"/>
        <v>#N/A</v>
      </c>
      <c r="N988" t="e">
        <f>VLOOKUP(A988,Database!$A$2:$I$948,5,0)</f>
        <v>#N/A</v>
      </c>
    </row>
    <row r="989" spans="1:14" hidden="1" x14ac:dyDescent="0.35">
      <c r="A989" s="3">
        <v>103407020</v>
      </c>
      <c r="B989" s="3" t="s">
        <v>2168</v>
      </c>
      <c r="C989" s="3" t="str">
        <f t="shared" si="32"/>
        <v>2022-07-06</v>
      </c>
      <c r="D989" s="3" t="s">
        <v>9</v>
      </c>
      <c r="E989" s="3" t="s">
        <v>5</v>
      </c>
      <c r="F989" s="3" t="s">
        <v>10</v>
      </c>
      <c r="G989" s="3" t="s">
        <v>2169</v>
      </c>
      <c r="H989" s="3" t="s">
        <v>2170</v>
      </c>
      <c r="I989" s="4">
        <v>1300.55</v>
      </c>
      <c r="J989" s="3" t="s">
        <v>11</v>
      </c>
      <c r="K989" t="e">
        <f>MATCH(A989,Database!$A$2:$A$948,0)</f>
        <v>#N/A</v>
      </c>
      <c r="L989" t="e">
        <f>VLOOKUP(A989,Database!$A$2:$I$948,4,0)</f>
        <v>#N/A</v>
      </c>
      <c r="M989" t="e">
        <f t="shared" si="33"/>
        <v>#N/A</v>
      </c>
      <c r="N989" t="e">
        <f>VLOOKUP(A989,Database!$A$2:$I$948,5,0)</f>
        <v>#N/A</v>
      </c>
    </row>
    <row r="990" spans="1:14" hidden="1" x14ac:dyDescent="0.35">
      <c r="A990" s="3">
        <v>103407099</v>
      </c>
      <c r="B990" s="3" t="s">
        <v>2171</v>
      </c>
      <c r="C990" s="3" t="str">
        <f t="shared" si="32"/>
        <v>2022-07-06</v>
      </c>
      <c r="D990" s="3" t="s">
        <v>9</v>
      </c>
      <c r="E990" s="3" t="s">
        <v>5</v>
      </c>
      <c r="F990" s="3" t="s">
        <v>10</v>
      </c>
      <c r="G990" s="3" t="s">
        <v>2172</v>
      </c>
      <c r="H990" s="3" t="s">
        <v>2173</v>
      </c>
      <c r="I990" s="5">
        <v>6999</v>
      </c>
      <c r="J990" s="3" t="s">
        <v>11</v>
      </c>
      <c r="K990" t="e">
        <f>MATCH(A990,Database!$A$2:$A$948,0)</f>
        <v>#N/A</v>
      </c>
      <c r="L990" t="e">
        <f>VLOOKUP(A990,Database!$A$2:$I$948,4,0)</f>
        <v>#N/A</v>
      </c>
      <c r="M990" t="e">
        <f t="shared" si="33"/>
        <v>#N/A</v>
      </c>
      <c r="N990" t="e">
        <f>VLOOKUP(A990,Database!$A$2:$I$948,5,0)</f>
        <v>#N/A</v>
      </c>
    </row>
    <row r="991" spans="1:14" hidden="1" x14ac:dyDescent="0.35">
      <c r="A991" s="3">
        <v>103407017</v>
      </c>
      <c r="B991" s="3" t="s">
        <v>2174</v>
      </c>
      <c r="C991" s="3" t="str">
        <f t="shared" si="32"/>
        <v>2022-07-06</v>
      </c>
      <c r="D991" s="3" t="s">
        <v>9</v>
      </c>
      <c r="E991" s="3" t="s">
        <v>5</v>
      </c>
      <c r="F991" s="3" t="s">
        <v>10</v>
      </c>
      <c r="G991" s="3" t="s">
        <v>2175</v>
      </c>
      <c r="H991" s="3" t="s">
        <v>2176</v>
      </c>
      <c r="I991" s="5">
        <v>3849</v>
      </c>
      <c r="J991" s="3" t="s">
        <v>11</v>
      </c>
      <c r="K991" t="e">
        <f>MATCH(A991,Database!$A$2:$A$948,0)</f>
        <v>#N/A</v>
      </c>
      <c r="L991" t="e">
        <f>VLOOKUP(A991,Database!$A$2:$I$948,4,0)</f>
        <v>#N/A</v>
      </c>
      <c r="M991" t="e">
        <f t="shared" si="33"/>
        <v>#N/A</v>
      </c>
      <c r="N991" t="e">
        <f>VLOOKUP(A991,Database!$A$2:$I$948,5,0)</f>
        <v>#N/A</v>
      </c>
    </row>
    <row r="992" spans="1:14" hidden="1" x14ac:dyDescent="0.35">
      <c r="A992" s="3">
        <v>103407098</v>
      </c>
      <c r="B992" s="3" t="s">
        <v>2177</v>
      </c>
      <c r="C992" s="3" t="str">
        <f t="shared" si="32"/>
        <v>2022-07-06</v>
      </c>
      <c r="D992" s="3" t="s">
        <v>9</v>
      </c>
      <c r="E992" s="3" t="s">
        <v>5</v>
      </c>
      <c r="F992" s="3" t="s">
        <v>12</v>
      </c>
      <c r="G992" s="3" t="s">
        <v>2178</v>
      </c>
      <c r="H992" s="3" t="s">
        <v>2179</v>
      </c>
      <c r="I992" s="5">
        <v>1379</v>
      </c>
      <c r="J992" s="3" t="s">
        <v>11</v>
      </c>
      <c r="K992" t="e">
        <f>MATCH(A992,Database!$A$2:$A$948,0)</f>
        <v>#N/A</v>
      </c>
      <c r="L992" t="e">
        <f>VLOOKUP(A992,Database!$A$2:$I$948,4,0)</f>
        <v>#N/A</v>
      </c>
      <c r="M992" t="e">
        <f t="shared" si="33"/>
        <v>#N/A</v>
      </c>
      <c r="N992" t="e">
        <f>VLOOKUP(A992,Database!$A$2:$I$948,5,0)</f>
        <v>#N/A</v>
      </c>
    </row>
    <row r="993" spans="1:14" hidden="1" x14ac:dyDescent="0.35">
      <c r="A993" s="3">
        <v>103407095</v>
      </c>
      <c r="B993" s="3" t="s">
        <v>2180</v>
      </c>
      <c r="C993" s="3" t="str">
        <f t="shared" si="32"/>
        <v>2022-07-06</v>
      </c>
      <c r="D993" s="3" t="s">
        <v>9</v>
      </c>
      <c r="E993" s="3" t="s">
        <v>5</v>
      </c>
      <c r="F993" s="3" t="s">
        <v>10</v>
      </c>
      <c r="G993" s="3" t="s">
        <v>2181</v>
      </c>
      <c r="H993" s="3" t="s">
        <v>2182</v>
      </c>
      <c r="I993" s="4">
        <v>2222.1</v>
      </c>
      <c r="J993" s="3" t="s">
        <v>11</v>
      </c>
      <c r="K993" t="e">
        <f>MATCH(A993,Database!$A$2:$A$948,0)</f>
        <v>#N/A</v>
      </c>
      <c r="L993" t="e">
        <f>VLOOKUP(A993,Database!$A$2:$I$948,4,0)</f>
        <v>#N/A</v>
      </c>
      <c r="M993" t="e">
        <f t="shared" si="33"/>
        <v>#N/A</v>
      </c>
      <c r="N993" t="e">
        <f>VLOOKUP(A993,Database!$A$2:$I$948,5,0)</f>
        <v>#N/A</v>
      </c>
    </row>
    <row r="994" spans="1:14" hidden="1" x14ac:dyDescent="0.35">
      <c r="A994" s="3">
        <v>103407006</v>
      </c>
      <c r="B994" s="3" t="s">
        <v>2183</v>
      </c>
      <c r="C994" s="3" t="str">
        <f t="shared" si="32"/>
        <v>2022-07-06</v>
      </c>
      <c r="D994" s="3" t="s">
        <v>9</v>
      </c>
      <c r="E994" s="3" t="s">
        <v>5</v>
      </c>
      <c r="F994" s="3" t="s">
        <v>12</v>
      </c>
      <c r="G994" s="3" t="s">
        <v>2184</v>
      </c>
      <c r="H994" s="3" t="s">
        <v>2185</v>
      </c>
      <c r="I994" s="5">
        <v>1869</v>
      </c>
      <c r="J994" s="3" t="s">
        <v>14</v>
      </c>
      <c r="K994" t="e">
        <f>MATCH(A994,Database!$A$2:$A$948,0)</f>
        <v>#N/A</v>
      </c>
      <c r="L994" t="e">
        <f>VLOOKUP(A994,Database!$A$2:$I$948,4,0)</f>
        <v>#N/A</v>
      </c>
      <c r="M994" t="e">
        <f t="shared" si="33"/>
        <v>#N/A</v>
      </c>
      <c r="N994" t="e">
        <f>VLOOKUP(A994,Database!$A$2:$I$948,5,0)</f>
        <v>#N/A</v>
      </c>
    </row>
    <row r="995" spans="1:14" hidden="1" x14ac:dyDescent="0.35">
      <c r="A995" s="3">
        <v>103407002</v>
      </c>
      <c r="B995" s="3" t="s">
        <v>2186</v>
      </c>
      <c r="C995" s="3" t="str">
        <f t="shared" si="32"/>
        <v>2022-07-06</v>
      </c>
      <c r="D995" s="3" t="s">
        <v>9</v>
      </c>
      <c r="E995" s="3" t="s">
        <v>5</v>
      </c>
      <c r="F995" s="3" t="s">
        <v>10</v>
      </c>
      <c r="G995" s="3" t="s">
        <v>2187</v>
      </c>
      <c r="H995" s="3" t="s">
        <v>2188</v>
      </c>
      <c r="I995" s="4">
        <v>3390.55</v>
      </c>
      <c r="J995" s="3" t="s">
        <v>14</v>
      </c>
      <c r="K995" t="e">
        <f>MATCH(A995,Database!$A$2:$A$948,0)</f>
        <v>#N/A</v>
      </c>
      <c r="L995" t="e">
        <f>VLOOKUP(A995,Database!$A$2:$I$948,4,0)</f>
        <v>#N/A</v>
      </c>
      <c r="M995" t="e">
        <f t="shared" si="33"/>
        <v>#N/A</v>
      </c>
      <c r="N995" t="e">
        <f>VLOOKUP(A995,Database!$A$2:$I$948,5,0)</f>
        <v>#N/A</v>
      </c>
    </row>
    <row r="996" spans="1:14" hidden="1" x14ac:dyDescent="0.35">
      <c r="A996" s="3">
        <v>103407076</v>
      </c>
      <c r="B996" s="3" t="s">
        <v>2189</v>
      </c>
      <c r="C996" s="3" t="str">
        <f t="shared" si="32"/>
        <v>2022-07-06</v>
      </c>
      <c r="D996" s="3" t="s">
        <v>9</v>
      </c>
      <c r="E996" s="3" t="s">
        <v>5</v>
      </c>
      <c r="F996" s="3" t="s">
        <v>10</v>
      </c>
      <c r="G996" s="3" t="s">
        <v>2190</v>
      </c>
      <c r="H996" s="3" t="s">
        <v>2191</v>
      </c>
      <c r="I996" s="4">
        <v>2307.64</v>
      </c>
      <c r="J996" s="3" t="s">
        <v>14</v>
      </c>
      <c r="K996" t="e">
        <f>MATCH(A996,Database!$A$2:$A$948,0)</f>
        <v>#N/A</v>
      </c>
      <c r="L996" t="e">
        <f>VLOOKUP(A996,Database!$A$2:$I$948,4,0)</f>
        <v>#N/A</v>
      </c>
      <c r="M996" t="e">
        <f t="shared" si="33"/>
        <v>#N/A</v>
      </c>
      <c r="N996" t="e">
        <f>VLOOKUP(A996,Database!$A$2:$I$948,5,0)</f>
        <v>#N/A</v>
      </c>
    </row>
    <row r="997" spans="1:14" hidden="1" x14ac:dyDescent="0.35">
      <c r="A997" s="3">
        <v>103407074</v>
      </c>
      <c r="B997" s="3" t="s">
        <v>2192</v>
      </c>
      <c r="C997" s="3" t="str">
        <f t="shared" si="32"/>
        <v>2022-07-06</v>
      </c>
      <c r="D997" s="3" t="s">
        <v>9</v>
      </c>
      <c r="E997" s="3" t="s">
        <v>5</v>
      </c>
      <c r="F997" s="3" t="s">
        <v>10</v>
      </c>
      <c r="G997" s="3" t="s">
        <v>2193</v>
      </c>
      <c r="H997" s="3" t="s">
        <v>2194</v>
      </c>
      <c r="I997" s="3">
        <v>768.55</v>
      </c>
      <c r="J997" s="3" t="s">
        <v>14</v>
      </c>
      <c r="K997" t="e">
        <f>MATCH(A997,Database!$A$2:$A$948,0)</f>
        <v>#N/A</v>
      </c>
      <c r="L997" t="e">
        <f>VLOOKUP(A997,Database!$A$2:$I$948,4,0)</f>
        <v>#N/A</v>
      </c>
      <c r="M997" t="e">
        <f t="shared" si="33"/>
        <v>#N/A</v>
      </c>
      <c r="N997" t="e">
        <f>VLOOKUP(A997,Database!$A$2:$I$948,5,0)</f>
        <v>#N/A</v>
      </c>
    </row>
    <row r="998" spans="1:14" hidden="1" x14ac:dyDescent="0.35">
      <c r="A998" s="3">
        <v>103406993</v>
      </c>
      <c r="B998" s="3" t="s">
        <v>2195</v>
      </c>
      <c r="C998" s="3" t="str">
        <f t="shared" si="32"/>
        <v>2022-07-06</v>
      </c>
      <c r="D998" s="3" t="s">
        <v>9</v>
      </c>
      <c r="E998" s="3" t="s">
        <v>5</v>
      </c>
      <c r="F998" s="3" t="s">
        <v>10</v>
      </c>
      <c r="G998" s="3" t="s">
        <v>2196</v>
      </c>
      <c r="H998" s="3" t="s">
        <v>2197</v>
      </c>
      <c r="I998" s="4">
        <v>1009.9</v>
      </c>
      <c r="J998" s="3" t="s">
        <v>14</v>
      </c>
      <c r="K998" t="e">
        <f>MATCH(A998,Database!$A$2:$A$948,0)</f>
        <v>#N/A</v>
      </c>
      <c r="L998" t="e">
        <f>VLOOKUP(A998,Database!$A$2:$I$948,4,0)</f>
        <v>#N/A</v>
      </c>
      <c r="M998" t="e">
        <f t="shared" si="33"/>
        <v>#N/A</v>
      </c>
      <c r="N998" t="e">
        <f>VLOOKUP(A998,Database!$A$2:$I$948,5,0)</f>
        <v>#N/A</v>
      </c>
    </row>
    <row r="999" spans="1:14" hidden="1" x14ac:dyDescent="0.35">
      <c r="A999" s="3">
        <v>103406992</v>
      </c>
      <c r="B999" s="3" t="s">
        <v>2198</v>
      </c>
      <c r="C999" s="3" t="str">
        <f t="shared" si="32"/>
        <v>2022-07-06</v>
      </c>
      <c r="D999" s="3" t="s">
        <v>9</v>
      </c>
      <c r="E999" s="3" t="s">
        <v>5</v>
      </c>
      <c r="F999" s="3" t="s">
        <v>12</v>
      </c>
      <c r="G999" s="3" t="s">
        <v>2199</v>
      </c>
      <c r="H999" s="3" t="s">
        <v>2200</v>
      </c>
      <c r="I999" s="4">
        <v>5319.05</v>
      </c>
      <c r="J999" s="3" t="s">
        <v>14</v>
      </c>
      <c r="K999" t="e">
        <f>MATCH(A999,Database!$A$2:$A$948,0)</f>
        <v>#N/A</v>
      </c>
      <c r="L999" t="e">
        <f>VLOOKUP(A999,Database!$A$2:$I$948,4,0)</f>
        <v>#N/A</v>
      </c>
      <c r="M999" t="e">
        <f t="shared" si="33"/>
        <v>#N/A</v>
      </c>
      <c r="N999" t="e">
        <f>VLOOKUP(A999,Database!$A$2:$I$948,5,0)</f>
        <v>#N/A</v>
      </c>
    </row>
    <row r="1000" spans="1:14" hidden="1" x14ac:dyDescent="0.35">
      <c r="A1000" s="3">
        <v>103407069</v>
      </c>
      <c r="B1000" s="3" t="s">
        <v>2201</v>
      </c>
      <c r="C1000" s="3" t="str">
        <f t="shared" si="32"/>
        <v>2022-07-06</v>
      </c>
      <c r="D1000" s="3" t="s">
        <v>9</v>
      </c>
      <c r="E1000" s="3" t="s">
        <v>5</v>
      </c>
      <c r="F1000" s="3" t="s">
        <v>10</v>
      </c>
      <c r="G1000" s="3" t="s">
        <v>2202</v>
      </c>
      <c r="H1000" s="3" t="s">
        <v>2203</v>
      </c>
      <c r="I1000" s="4">
        <v>2469.0500000000002</v>
      </c>
      <c r="J1000" s="3" t="s">
        <v>14</v>
      </c>
      <c r="K1000" t="e">
        <f>MATCH(A1000,Database!$A$2:$A$948,0)</f>
        <v>#N/A</v>
      </c>
      <c r="L1000" t="e">
        <f>VLOOKUP(A1000,Database!$A$2:$I$948,4,0)</f>
        <v>#N/A</v>
      </c>
      <c r="M1000" t="e">
        <f t="shared" si="33"/>
        <v>#N/A</v>
      </c>
      <c r="N1000" t="e">
        <f>VLOOKUP(A1000,Database!$A$2:$I$948,5,0)</f>
        <v>#N/A</v>
      </c>
    </row>
    <row r="1001" spans="1:14" hidden="1" x14ac:dyDescent="0.35">
      <c r="A1001" s="3">
        <v>103407068</v>
      </c>
      <c r="B1001" s="3" t="s">
        <v>2204</v>
      </c>
      <c r="C1001" s="3" t="str">
        <f t="shared" si="32"/>
        <v>2022-07-06</v>
      </c>
      <c r="D1001" s="3" t="s">
        <v>9</v>
      </c>
      <c r="E1001" s="3" t="s">
        <v>5</v>
      </c>
      <c r="F1001" s="3" t="s">
        <v>10</v>
      </c>
      <c r="G1001" s="3" t="s">
        <v>2205</v>
      </c>
      <c r="H1001" s="3" t="s">
        <v>2206</v>
      </c>
      <c r="I1001" s="4">
        <v>4331.1000000000004</v>
      </c>
      <c r="J1001" s="3" t="s">
        <v>14</v>
      </c>
      <c r="K1001" t="e">
        <f>MATCH(A1001,Database!$A$2:$A$948,0)</f>
        <v>#N/A</v>
      </c>
      <c r="L1001" t="e">
        <f>VLOOKUP(A1001,Database!$A$2:$I$948,4,0)</f>
        <v>#N/A</v>
      </c>
      <c r="M1001" t="e">
        <f t="shared" si="33"/>
        <v>#N/A</v>
      </c>
      <c r="N1001" t="e">
        <f>VLOOKUP(A1001,Database!$A$2:$I$948,5,0)</f>
        <v>#N/A</v>
      </c>
    </row>
    <row r="1002" spans="1:14" hidden="1" x14ac:dyDescent="0.35">
      <c r="A1002" s="3">
        <v>103406983</v>
      </c>
      <c r="B1002" s="3" t="s">
        <v>2207</v>
      </c>
      <c r="C1002" s="3" t="str">
        <f t="shared" si="32"/>
        <v>2022-07-06</v>
      </c>
      <c r="D1002" s="3" t="s">
        <v>9</v>
      </c>
      <c r="E1002" s="3" t="s">
        <v>5</v>
      </c>
      <c r="F1002" s="3" t="s">
        <v>10</v>
      </c>
      <c r="G1002" s="3" t="s">
        <v>2208</v>
      </c>
      <c r="H1002" s="3" t="s">
        <v>2209</v>
      </c>
      <c r="I1002" s="4">
        <v>1352.85</v>
      </c>
      <c r="J1002" s="3" t="s">
        <v>14</v>
      </c>
      <c r="K1002" t="e">
        <f>MATCH(A1002,Database!$A$2:$A$948,0)</f>
        <v>#N/A</v>
      </c>
      <c r="L1002" t="e">
        <f>VLOOKUP(A1002,Database!$A$2:$I$948,4,0)</f>
        <v>#N/A</v>
      </c>
      <c r="M1002" t="e">
        <f t="shared" si="33"/>
        <v>#N/A</v>
      </c>
      <c r="N1002" t="e">
        <f>VLOOKUP(A1002,Database!$A$2:$I$948,5,0)</f>
        <v>#N/A</v>
      </c>
    </row>
    <row r="1003" spans="1:14" hidden="1" x14ac:dyDescent="0.35">
      <c r="A1003" s="3">
        <v>103406948</v>
      </c>
      <c r="B1003" s="3" t="s">
        <v>2210</v>
      </c>
      <c r="C1003" s="3" t="str">
        <f t="shared" si="32"/>
        <v>2022-07-06</v>
      </c>
      <c r="D1003" s="3" t="s">
        <v>9</v>
      </c>
      <c r="E1003" s="3" t="s">
        <v>5</v>
      </c>
      <c r="F1003" s="3" t="s">
        <v>10</v>
      </c>
      <c r="G1003" s="3" t="s">
        <v>2211</v>
      </c>
      <c r="H1003" s="3" t="s">
        <v>2212</v>
      </c>
      <c r="I1003" s="4">
        <v>8281.15</v>
      </c>
      <c r="J1003" s="3" t="s">
        <v>14</v>
      </c>
      <c r="K1003" t="e">
        <f>MATCH(A1003,Database!$A$2:$A$948,0)</f>
        <v>#N/A</v>
      </c>
      <c r="L1003" t="e">
        <f>VLOOKUP(A1003,Database!$A$2:$I$948,4,0)</f>
        <v>#N/A</v>
      </c>
      <c r="M1003" t="e">
        <f t="shared" si="33"/>
        <v>#N/A</v>
      </c>
      <c r="N1003" t="e">
        <f>VLOOKUP(A1003,Database!$A$2:$I$948,5,0)</f>
        <v>#N/A</v>
      </c>
    </row>
    <row r="1004" spans="1:14" hidden="1" x14ac:dyDescent="0.35">
      <c r="A1004" s="3">
        <v>103406943</v>
      </c>
      <c r="B1004" s="3" t="s">
        <v>2213</v>
      </c>
      <c r="C1004" s="3" t="str">
        <f t="shared" si="32"/>
        <v>2022-07-06</v>
      </c>
      <c r="D1004" s="3" t="s">
        <v>9</v>
      </c>
      <c r="E1004" s="3" t="s">
        <v>5</v>
      </c>
      <c r="F1004" s="3" t="s">
        <v>10</v>
      </c>
      <c r="G1004" s="3" t="s">
        <v>2214</v>
      </c>
      <c r="H1004" s="3" t="s">
        <v>2215</v>
      </c>
      <c r="I1004" s="4">
        <v>1328.1</v>
      </c>
      <c r="J1004" s="3" t="s">
        <v>14</v>
      </c>
      <c r="K1004" t="e">
        <f>MATCH(A1004,Database!$A$2:$A$948,0)</f>
        <v>#N/A</v>
      </c>
      <c r="L1004" t="e">
        <f>VLOOKUP(A1004,Database!$A$2:$I$948,4,0)</f>
        <v>#N/A</v>
      </c>
      <c r="M1004" t="e">
        <f t="shared" si="33"/>
        <v>#N/A</v>
      </c>
      <c r="N1004" t="e">
        <f>VLOOKUP(A1004,Database!$A$2:$I$948,5,0)</f>
        <v>#N/A</v>
      </c>
    </row>
    <row r="1005" spans="1:14" hidden="1" x14ac:dyDescent="0.35">
      <c r="A1005" s="3">
        <v>103406973</v>
      </c>
      <c r="B1005" s="3" t="s">
        <v>2216</v>
      </c>
      <c r="C1005" s="3" t="str">
        <f t="shared" si="32"/>
        <v>2022-07-06</v>
      </c>
      <c r="D1005" s="3" t="s">
        <v>9</v>
      </c>
      <c r="E1005" s="3" t="s">
        <v>5</v>
      </c>
      <c r="F1005" s="3" t="s">
        <v>12</v>
      </c>
      <c r="G1005" s="3" t="s">
        <v>2217</v>
      </c>
      <c r="H1005" s="3" t="s">
        <v>2218</v>
      </c>
      <c r="I1005" s="5">
        <v>1199</v>
      </c>
      <c r="J1005" s="3" t="s">
        <v>14</v>
      </c>
      <c r="K1005" t="e">
        <f>MATCH(A1005,Database!$A$2:$A$948,0)</f>
        <v>#N/A</v>
      </c>
      <c r="L1005" t="e">
        <f>VLOOKUP(A1005,Database!$A$2:$I$948,4,0)</f>
        <v>#N/A</v>
      </c>
      <c r="M1005" t="e">
        <f t="shared" si="33"/>
        <v>#N/A</v>
      </c>
      <c r="N1005" t="e">
        <f>VLOOKUP(A1005,Database!$A$2:$I$948,5,0)</f>
        <v>#N/A</v>
      </c>
    </row>
    <row r="1006" spans="1:14" hidden="1" x14ac:dyDescent="0.35">
      <c r="A1006" s="3">
        <v>103406972</v>
      </c>
      <c r="B1006" s="3" t="s">
        <v>2219</v>
      </c>
      <c r="C1006" s="3" t="str">
        <f t="shared" si="32"/>
        <v>2022-07-06</v>
      </c>
      <c r="D1006" s="3" t="s">
        <v>9</v>
      </c>
      <c r="E1006" s="3" t="s">
        <v>5</v>
      </c>
      <c r="F1006" s="3" t="s">
        <v>10</v>
      </c>
      <c r="G1006" s="3" t="s">
        <v>2220</v>
      </c>
      <c r="H1006" s="3" t="s">
        <v>2221</v>
      </c>
      <c r="I1006" s="4">
        <v>1244.55</v>
      </c>
      <c r="J1006" s="3" t="s">
        <v>14</v>
      </c>
      <c r="K1006" t="e">
        <f>MATCH(A1006,Database!$A$2:$A$948,0)</f>
        <v>#N/A</v>
      </c>
      <c r="L1006" t="e">
        <f>VLOOKUP(A1006,Database!$A$2:$I$948,4,0)</f>
        <v>#N/A</v>
      </c>
      <c r="M1006" t="e">
        <f t="shared" si="33"/>
        <v>#N/A</v>
      </c>
      <c r="N1006" t="e">
        <f>VLOOKUP(A1006,Database!$A$2:$I$948,5,0)</f>
        <v>#N/A</v>
      </c>
    </row>
    <row r="1007" spans="1:14" hidden="1" x14ac:dyDescent="0.35">
      <c r="A1007" s="3">
        <v>103406965</v>
      </c>
      <c r="B1007" s="3" t="s">
        <v>2222</v>
      </c>
      <c r="C1007" s="3" t="str">
        <f t="shared" si="32"/>
        <v>2022-07-06</v>
      </c>
      <c r="D1007" s="3" t="s">
        <v>9</v>
      </c>
      <c r="E1007" s="3" t="s">
        <v>5</v>
      </c>
      <c r="F1007" s="3" t="s">
        <v>10</v>
      </c>
      <c r="G1007" s="3" t="s">
        <v>2223</v>
      </c>
      <c r="H1007" s="3" t="s">
        <v>2224</v>
      </c>
      <c r="I1007" s="5">
        <v>2999</v>
      </c>
      <c r="J1007" s="3" t="s">
        <v>14</v>
      </c>
      <c r="K1007" t="e">
        <f>MATCH(A1007,Database!$A$2:$A$948,0)</f>
        <v>#N/A</v>
      </c>
      <c r="L1007" t="e">
        <f>VLOOKUP(A1007,Database!$A$2:$I$948,4,0)</f>
        <v>#N/A</v>
      </c>
      <c r="M1007" t="e">
        <f t="shared" si="33"/>
        <v>#N/A</v>
      </c>
      <c r="N1007" t="e">
        <f>VLOOKUP(A1007,Database!$A$2:$I$948,5,0)</f>
        <v>#N/A</v>
      </c>
    </row>
    <row r="1008" spans="1:14" hidden="1" x14ac:dyDescent="0.35">
      <c r="A1008" s="3">
        <v>103406861</v>
      </c>
      <c r="B1008" s="3" t="s">
        <v>2225</v>
      </c>
      <c r="C1008" s="3" t="str">
        <f t="shared" si="32"/>
        <v>2022-07-06</v>
      </c>
      <c r="D1008" s="3" t="s">
        <v>9</v>
      </c>
      <c r="E1008" s="3" t="s">
        <v>5</v>
      </c>
      <c r="F1008" s="3" t="s">
        <v>10</v>
      </c>
      <c r="G1008" s="3" t="s">
        <v>2226</v>
      </c>
      <c r="H1008" s="3" t="s">
        <v>2227</v>
      </c>
      <c r="I1008" s="4">
        <v>4068.09</v>
      </c>
      <c r="J1008" s="3" t="s">
        <v>14</v>
      </c>
      <c r="K1008" t="e">
        <f>MATCH(A1008,Database!$A$2:$A$948,0)</f>
        <v>#N/A</v>
      </c>
      <c r="L1008" t="e">
        <f>VLOOKUP(A1008,Database!$A$2:$I$948,4,0)</f>
        <v>#N/A</v>
      </c>
      <c r="M1008" t="e">
        <f t="shared" si="33"/>
        <v>#N/A</v>
      </c>
      <c r="N1008" t="e">
        <f>VLOOKUP(A1008,Database!$A$2:$I$948,5,0)</f>
        <v>#N/A</v>
      </c>
    </row>
    <row r="1009" spans="1:14" hidden="1" x14ac:dyDescent="0.35">
      <c r="A1009" s="3">
        <v>103406860</v>
      </c>
      <c r="B1009" s="3" t="s">
        <v>2228</v>
      </c>
      <c r="C1009" s="3" t="str">
        <f t="shared" si="32"/>
        <v>2022-07-06</v>
      </c>
      <c r="D1009" s="3" t="s">
        <v>9</v>
      </c>
      <c r="E1009" s="3" t="s">
        <v>5</v>
      </c>
      <c r="F1009" s="3" t="s">
        <v>10</v>
      </c>
      <c r="G1009" s="3" t="s">
        <v>2229</v>
      </c>
      <c r="H1009" s="3" t="s">
        <v>2230</v>
      </c>
      <c r="I1009" s="5">
        <v>3599</v>
      </c>
      <c r="J1009" s="3" t="s">
        <v>14</v>
      </c>
      <c r="K1009" t="e">
        <f>MATCH(A1009,Database!$A$2:$A$948,0)</f>
        <v>#N/A</v>
      </c>
      <c r="L1009" t="e">
        <f>VLOOKUP(A1009,Database!$A$2:$I$948,4,0)</f>
        <v>#N/A</v>
      </c>
      <c r="M1009" t="e">
        <f t="shared" si="33"/>
        <v>#N/A</v>
      </c>
      <c r="N1009" t="e">
        <f>VLOOKUP(A1009,Database!$A$2:$I$948,5,0)</f>
        <v>#N/A</v>
      </c>
    </row>
    <row r="1010" spans="1:14" hidden="1" x14ac:dyDescent="0.35">
      <c r="A1010" s="3">
        <v>103406859</v>
      </c>
      <c r="B1010" s="3" t="s">
        <v>2231</v>
      </c>
      <c r="C1010" s="3" t="str">
        <f t="shared" si="32"/>
        <v>2022-07-06</v>
      </c>
      <c r="D1010" s="3" t="s">
        <v>9</v>
      </c>
      <c r="E1010" s="3" t="s">
        <v>5</v>
      </c>
      <c r="F1010" s="3" t="s">
        <v>10</v>
      </c>
      <c r="G1010" s="3" t="s">
        <v>2232</v>
      </c>
      <c r="H1010" s="3" t="s">
        <v>2233</v>
      </c>
      <c r="I1010" s="4">
        <v>4700.6000000000004</v>
      </c>
      <c r="J1010" s="3" t="s">
        <v>14</v>
      </c>
      <c r="K1010" t="e">
        <f>MATCH(A1010,Database!$A$2:$A$948,0)</f>
        <v>#N/A</v>
      </c>
      <c r="L1010" t="e">
        <f>VLOOKUP(A1010,Database!$A$2:$I$948,4,0)</f>
        <v>#N/A</v>
      </c>
      <c r="M1010" t="e">
        <f t="shared" si="33"/>
        <v>#N/A</v>
      </c>
      <c r="N1010" t="e">
        <f>VLOOKUP(A1010,Database!$A$2:$I$948,5,0)</f>
        <v>#N/A</v>
      </c>
    </row>
    <row r="1011" spans="1:14" hidden="1" x14ac:dyDescent="0.35">
      <c r="A1011" s="3">
        <v>103406929</v>
      </c>
      <c r="B1011" s="3" t="s">
        <v>2234</v>
      </c>
      <c r="C1011" s="3" t="str">
        <f t="shared" si="32"/>
        <v>2022-07-06</v>
      </c>
      <c r="D1011" s="3" t="s">
        <v>9</v>
      </c>
      <c r="E1011" s="3" t="s">
        <v>5</v>
      </c>
      <c r="F1011" s="3" t="s">
        <v>10</v>
      </c>
      <c r="G1011" s="3" t="s">
        <v>2235</v>
      </c>
      <c r="H1011" s="3" t="s">
        <v>2236</v>
      </c>
      <c r="I1011" s="4">
        <v>5319.05</v>
      </c>
      <c r="J1011" s="3" t="s">
        <v>14</v>
      </c>
      <c r="K1011" t="e">
        <f>MATCH(A1011,Database!$A$2:$A$948,0)</f>
        <v>#N/A</v>
      </c>
      <c r="L1011" t="e">
        <f>VLOOKUP(A1011,Database!$A$2:$I$948,4,0)</f>
        <v>#N/A</v>
      </c>
      <c r="M1011" t="e">
        <f t="shared" si="33"/>
        <v>#N/A</v>
      </c>
      <c r="N1011" t="e">
        <f>VLOOKUP(A1011,Database!$A$2:$I$948,5,0)</f>
        <v>#N/A</v>
      </c>
    </row>
    <row r="1012" spans="1:14" hidden="1" x14ac:dyDescent="0.35">
      <c r="A1012" s="3">
        <v>103406928</v>
      </c>
      <c r="B1012" s="3" t="s">
        <v>2237</v>
      </c>
      <c r="C1012" s="3" t="str">
        <f t="shared" si="32"/>
        <v>2022-07-06</v>
      </c>
      <c r="D1012" s="3" t="s">
        <v>9</v>
      </c>
      <c r="E1012" s="3" t="s">
        <v>5</v>
      </c>
      <c r="F1012" s="3" t="s">
        <v>10</v>
      </c>
      <c r="G1012" s="3" t="s">
        <v>2238</v>
      </c>
      <c r="H1012" s="3" t="s">
        <v>2239</v>
      </c>
      <c r="I1012" s="5">
        <v>2999</v>
      </c>
      <c r="J1012" s="3" t="s">
        <v>14</v>
      </c>
      <c r="K1012" t="e">
        <f>MATCH(A1012,Database!$A$2:$A$948,0)</f>
        <v>#N/A</v>
      </c>
      <c r="L1012" t="e">
        <f>VLOOKUP(A1012,Database!$A$2:$I$948,4,0)</f>
        <v>#N/A</v>
      </c>
      <c r="M1012" t="e">
        <f t="shared" si="33"/>
        <v>#N/A</v>
      </c>
      <c r="N1012" t="e">
        <f>VLOOKUP(A1012,Database!$A$2:$I$948,5,0)</f>
        <v>#N/A</v>
      </c>
    </row>
    <row r="1013" spans="1:14" hidden="1" x14ac:dyDescent="0.35">
      <c r="A1013" s="3">
        <v>103406856</v>
      </c>
      <c r="B1013" s="3" t="s">
        <v>2240</v>
      </c>
      <c r="C1013" s="3" t="str">
        <f t="shared" si="32"/>
        <v>2022-07-06</v>
      </c>
      <c r="D1013" s="3" t="s">
        <v>9</v>
      </c>
      <c r="E1013" s="3" t="s">
        <v>5</v>
      </c>
      <c r="F1013" s="3" t="s">
        <v>10</v>
      </c>
      <c r="G1013" s="3" t="s">
        <v>2241</v>
      </c>
      <c r="H1013" s="3" t="s">
        <v>2242</v>
      </c>
      <c r="I1013" s="3">
        <v>464.55</v>
      </c>
      <c r="J1013" s="3" t="s">
        <v>14</v>
      </c>
      <c r="K1013" t="e">
        <f>MATCH(A1013,Database!$A$2:$A$948,0)</f>
        <v>#N/A</v>
      </c>
      <c r="L1013" t="e">
        <f>VLOOKUP(A1013,Database!$A$2:$I$948,4,0)</f>
        <v>#N/A</v>
      </c>
      <c r="M1013" t="e">
        <f t="shared" si="33"/>
        <v>#N/A</v>
      </c>
      <c r="N1013" t="e">
        <f>VLOOKUP(A1013,Database!$A$2:$I$948,5,0)</f>
        <v>#N/A</v>
      </c>
    </row>
    <row r="1014" spans="1:14" hidden="1" x14ac:dyDescent="0.35">
      <c r="A1014" s="3">
        <v>103406854</v>
      </c>
      <c r="B1014" s="3" t="s">
        <v>2243</v>
      </c>
      <c r="C1014" s="3" t="str">
        <f t="shared" si="32"/>
        <v>2022-07-06</v>
      </c>
      <c r="D1014" s="3" t="s">
        <v>9</v>
      </c>
      <c r="E1014" s="3" t="s">
        <v>5</v>
      </c>
      <c r="F1014" s="3" t="s">
        <v>10</v>
      </c>
      <c r="G1014" s="3" t="s">
        <v>2244</v>
      </c>
      <c r="H1014" s="3" t="s">
        <v>2245</v>
      </c>
      <c r="I1014" s="5">
        <v>3019</v>
      </c>
      <c r="J1014" s="3" t="s">
        <v>14</v>
      </c>
      <c r="K1014" t="e">
        <f>MATCH(A1014,Database!$A$2:$A$948,0)</f>
        <v>#N/A</v>
      </c>
      <c r="L1014" t="e">
        <f>VLOOKUP(A1014,Database!$A$2:$I$948,4,0)</f>
        <v>#N/A</v>
      </c>
      <c r="M1014" t="e">
        <f t="shared" si="33"/>
        <v>#N/A</v>
      </c>
      <c r="N1014" t="e">
        <f>VLOOKUP(A1014,Database!$A$2:$I$948,5,0)</f>
        <v>#N/A</v>
      </c>
    </row>
    <row r="1015" spans="1:14" hidden="1" x14ac:dyDescent="0.35">
      <c r="A1015" s="3">
        <v>103406917</v>
      </c>
      <c r="B1015" s="3" t="s">
        <v>2246</v>
      </c>
      <c r="C1015" s="3" t="str">
        <f t="shared" si="32"/>
        <v>2022-07-06</v>
      </c>
      <c r="D1015" s="3" t="s">
        <v>9</v>
      </c>
      <c r="E1015" s="3" t="s">
        <v>5</v>
      </c>
      <c r="F1015" s="3" t="s">
        <v>10</v>
      </c>
      <c r="G1015" s="3" t="s">
        <v>2247</v>
      </c>
      <c r="H1015" s="3" t="s">
        <v>2248</v>
      </c>
      <c r="I1015" s="3">
        <v>673.55</v>
      </c>
      <c r="J1015" s="3" t="s">
        <v>14</v>
      </c>
      <c r="K1015" t="e">
        <f>MATCH(A1015,Database!$A$2:$A$948,0)</f>
        <v>#N/A</v>
      </c>
      <c r="L1015" t="e">
        <f>VLOOKUP(A1015,Database!$A$2:$I$948,4,0)</f>
        <v>#N/A</v>
      </c>
      <c r="M1015" t="e">
        <f t="shared" si="33"/>
        <v>#N/A</v>
      </c>
      <c r="N1015" t="e">
        <f>VLOOKUP(A1015,Database!$A$2:$I$948,5,0)</f>
        <v>#N/A</v>
      </c>
    </row>
    <row r="1016" spans="1:14" hidden="1" x14ac:dyDescent="0.35">
      <c r="A1016" s="3">
        <v>103406852</v>
      </c>
      <c r="B1016" s="3" t="s">
        <v>2249</v>
      </c>
      <c r="C1016" s="3" t="str">
        <f t="shared" si="32"/>
        <v>2022-07-06</v>
      </c>
      <c r="D1016" s="3" t="s">
        <v>9</v>
      </c>
      <c r="E1016" s="3" t="s">
        <v>5</v>
      </c>
      <c r="F1016" s="3" t="s">
        <v>10</v>
      </c>
      <c r="G1016" s="3" t="s">
        <v>2250</v>
      </c>
      <c r="H1016" s="3" t="s">
        <v>2251</v>
      </c>
      <c r="I1016" s="4">
        <v>1082.0999999999999</v>
      </c>
      <c r="J1016" s="3" t="s">
        <v>14</v>
      </c>
      <c r="K1016" t="e">
        <f>MATCH(A1016,Database!$A$2:$A$948,0)</f>
        <v>#N/A</v>
      </c>
      <c r="L1016" t="e">
        <f>VLOOKUP(A1016,Database!$A$2:$I$948,4,0)</f>
        <v>#N/A</v>
      </c>
      <c r="M1016" t="e">
        <f t="shared" si="33"/>
        <v>#N/A</v>
      </c>
      <c r="N1016" t="e">
        <f>VLOOKUP(A1016,Database!$A$2:$I$948,5,0)</f>
        <v>#N/A</v>
      </c>
    </row>
    <row r="1017" spans="1:14" hidden="1" x14ac:dyDescent="0.35">
      <c r="A1017" s="3">
        <v>103406844</v>
      </c>
      <c r="B1017" s="3" t="s">
        <v>2252</v>
      </c>
      <c r="C1017" s="3" t="str">
        <f t="shared" si="32"/>
        <v>2022-07-06</v>
      </c>
      <c r="D1017" s="3" t="s">
        <v>9</v>
      </c>
      <c r="E1017" s="3" t="s">
        <v>5</v>
      </c>
      <c r="F1017" s="3" t="s">
        <v>10</v>
      </c>
      <c r="G1017" s="3" t="s">
        <v>2253</v>
      </c>
      <c r="H1017" s="3" t="s">
        <v>2254</v>
      </c>
      <c r="I1017" s="5">
        <v>4199</v>
      </c>
      <c r="J1017" s="3" t="s">
        <v>14</v>
      </c>
      <c r="K1017" t="e">
        <f>MATCH(A1017,Database!$A$2:$A$948,0)</f>
        <v>#N/A</v>
      </c>
      <c r="L1017" t="e">
        <f>VLOOKUP(A1017,Database!$A$2:$I$948,4,0)</f>
        <v>#N/A</v>
      </c>
      <c r="M1017" t="e">
        <f t="shared" si="33"/>
        <v>#N/A</v>
      </c>
      <c r="N1017" t="e">
        <f>VLOOKUP(A1017,Database!$A$2:$I$948,5,0)</f>
        <v>#N/A</v>
      </c>
    </row>
    <row r="1018" spans="1:14" hidden="1" x14ac:dyDescent="0.35">
      <c r="A1018" s="3">
        <v>103406840</v>
      </c>
      <c r="B1018" s="3" t="s">
        <v>2255</v>
      </c>
      <c r="C1018" s="3" t="str">
        <f t="shared" si="32"/>
        <v>2022-07-06</v>
      </c>
      <c r="D1018" s="3" t="s">
        <v>9</v>
      </c>
      <c r="E1018" s="3" t="s">
        <v>5</v>
      </c>
      <c r="F1018" s="3" t="s">
        <v>10</v>
      </c>
      <c r="G1018" s="3" t="s">
        <v>2256</v>
      </c>
      <c r="H1018" s="3" t="s">
        <v>2257</v>
      </c>
      <c r="I1018" s="3">
        <v>937.7</v>
      </c>
      <c r="J1018" s="3" t="s">
        <v>14</v>
      </c>
      <c r="K1018" t="e">
        <f>MATCH(A1018,Database!$A$2:$A$948,0)</f>
        <v>#N/A</v>
      </c>
      <c r="L1018" t="e">
        <f>VLOOKUP(A1018,Database!$A$2:$I$948,4,0)</f>
        <v>#N/A</v>
      </c>
      <c r="M1018" t="e">
        <f t="shared" si="33"/>
        <v>#N/A</v>
      </c>
      <c r="N1018" t="e">
        <f>VLOOKUP(A1018,Database!$A$2:$I$948,5,0)</f>
        <v>#N/A</v>
      </c>
    </row>
    <row r="1019" spans="1:14" hidden="1" x14ac:dyDescent="0.35">
      <c r="A1019" s="3">
        <v>103406836</v>
      </c>
      <c r="B1019" s="3" t="s">
        <v>2258</v>
      </c>
      <c r="C1019" s="3" t="str">
        <f t="shared" si="32"/>
        <v>2022-07-06</v>
      </c>
      <c r="D1019" s="3" t="s">
        <v>9</v>
      </c>
      <c r="E1019" s="3" t="s">
        <v>5</v>
      </c>
      <c r="F1019" s="3" t="s">
        <v>12</v>
      </c>
      <c r="G1019" s="3" t="s">
        <v>2259</v>
      </c>
      <c r="H1019" s="3" t="s">
        <v>2260</v>
      </c>
      <c r="I1019" s="4">
        <v>2564.0500000000002</v>
      </c>
      <c r="J1019" s="3" t="s">
        <v>14</v>
      </c>
      <c r="K1019" t="e">
        <f>MATCH(A1019,Database!$A$2:$A$948,0)</f>
        <v>#N/A</v>
      </c>
      <c r="L1019" t="e">
        <f>VLOOKUP(A1019,Database!$A$2:$I$948,4,0)</f>
        <v>#N/A</v>
      </c>
      <c r="M1019" t="e">
        <f t="shared" si="33"/>
        <v>#N/A</v>
      </c>
      <c r="N1019" t="e">
        <f>VLOOKUP(A1019,Database!$A$2:$I$948,5,0)</f>
        <v>#N/A</v>
      </c>
    </row>
    <row r="1020" spans="1:14" hidden="1" x14ac:dyDescent="0.35">
      <c r="A1020" s="3">
        <v>103406898</v>
      </c>
      <c r="B1020" s="3" t="s">
        <v>2261</v>
      </c>
      <c r="C1020" s="3" t="str">
        <f t="shared" si="32"/>
        <v>2022-07-06</v>
      </c>
      <c r="D1020" s="3" t="s">
        <v>9</v>
      </c>
      <c r="E1020" s="3" t="s">
        <v>5</v>
      </c>
      <c r="F1020" s="3" t="s">
        <v>10</v>
      </c>
      <c r="G1020" s="3" t="s">
        <v>2262</v>
      </c>
      <c r="H1020" s="3" t="s">
        <v>2263</v>
      </c>
      <c r="I1020" s="4">
        <v>3789.6</v>
      </c>
      <c r="J1020" s="3" t="s">
        <v>14</v>
      </c>
      <c r="K1020" t="e">
        <f>MATCH(A1020,Database!$A$2:$A$948,0)</f>
        <v>#N/A</v>
      </c>
      <c r="L1020" t="e">
        <f>VLOOKUP(A1020,Database!$A$2:$I$948,4,0)</f>
        <v>#N/A</v>
      </c>
      <c r="M1020" t="e">
        <f t="shared" si="33"/>
        <v>#N/A</v>
      </c>
      <c r="N1020" t="e">
        <f>VLOOKUP(A1020,Database!$A$2:$I$948,5,0)</f>
        <v>#N/A</v>
      </c>
    </row>
    <row r="1021" spans="1:14" hidden="1" x14ac:dyDescent="0.35">
      <c r="A1021" s="3">
        <v>103406831</v>
      </c>
      <c r="B1021" s="3" t="s">
        <v>2264</v>
      </c>
      <c r="C1021" s="3" t="str">
        <f t="shared" si="32"/>
        <v>2022-07-06</v>
      </c>
      <c r="D1021" s="3" t="s">
        <v>9</v>
      </c>
      <c r="E1021" s="3" t="s">
        <v>5</v>
      </c>
      <c r="F1021" s="3" t="s">
        <v>10</v>
      </c>
      <c r="G1021" s="3" t="s">
        <v>1568</v>
      </c>
      <c r="H1021" s="3" t="s">
        <v>1569</v>
      </c>
      <c r="I1021" s="5">
        <v>2799</v>
      </c>
      <c r="J1021" s="3" t="s">
        <v>14</v>
      </c>
      <c r="K1021" t="e">
        <f>MATCH(A1021,Database!$A$2:$A$948,0)</f>
        <v>#N/A</v>
      </c>
      <c r="L1021" t="e">
        <f>VLOOKUP(A1021,Database!$A$2:$I$948,4,0)</f>
        <v>#N/A</v>
      </c>
      <c r="M1021" t="e">
        <f t="shared" si="33"/>
        <v>#N/A</v>
      </c>
      <c r="N1021" t="e">
        <f>VLOOKUP(A1021,Database!$A$2:$I$948,5,0)</f>
        <v>#N/A</v>
      </c>
    </row>
    <row r="1022" spans="1:14" hidden="1" x14ac:dyDescent="0.35">
      <c r="A1022" s="3">
        <v>103406894</v>
      </c>
      <c r="B1022" s="3" t="s">
        <v>2265</v>
      </c>
      <c r="C1022" s="3" t="str">
        <f t="shared" si="32"/>
        <v>2022-07-06</v>
      </c>
      <c r="D1022" s="3" t="s">
        <v>9</v>
      </c>
      <c r="E1022" s="3" t="s">
        <v>5</v>
      </c>
      <c r="F1022" s="3" t="s">
        <v>12</v>
      </c>
      <c r="G1022" s="3" t="s">
        <v>2266</v>
      </c>
      <c r="H1022" s="3" t="s">
        <v>2267</v>
      </c>
      <c r="I1022" s="4">
        <v>2991.64</v>
      </c>
      <c r="J1022" s="3" t="s">
        <v>14</v>
      </c>
      <c r="K1022" t="e">
        <f>MATCH(A1022,Database!$A$2:$A$948,0)</f>
        <v>#N/A</v>
      </c>
      <c r="L1022" t="e">
        <f>VLOOKUP(A1022,Database!$A$2:$I$948,4,0)</f>
        <v>#N/A</v>
      </c>
      <c r="M1022" t="e">
        <f t="shared" si="33"/>
        <v>#N/A</v>
      </c>
      <c r="N1022" t="e">
        <f>VLOOKUP(A1022,Database!$A$2:$I$948,5,0)</f>
        <v>#N/A</v>
      </c>
    </row>
    <row r="1023" spans="1:14" hidden="1" x14ac:dyDescent="0.35">
      <c r="A1023" s="3">
        <v>103406828</v>
      </c>
      <c r="B1023" s="3" t="s">
        <v>2268</v>
      </c>
      <c r="C1023" s="3" t="str">
        <f t="shared" si="32"/>
        <v>2022-07-06</v>
      </c>
      <c r="D1023" s="3" t="s">
        <v>9</v>
      </c>
      <c r="E1023" s="3" t="s">
        <v>5</v>
      </c>
      <c r="F1023" s="3" t="s">
        <v>10</v>
      </c>
      <c r="G1023" s="3" t="s">
        <v>2269</v>
      </c>
      <c r="H1023" s="3" t="s">
        <v>2270</v>
      </c>
      <c r="I1023" s="5">
        <v>2999</v>
      </c>
      <c r="J1023" s="3" t="s">
        <v>14</v>
      </c>
      <c r="K1023" t="e">
        <f>MATCH(A1023,Database!$A$2:$A$948,0)</f>
        <v>#N/A</v>
      </c>
      <c r="L1023" t="e">
        <f>VLOOKUP(A1023,Database!$A$2:$I$948,4,0)</f>
        <v>#N/A</v>
      </c>
      <c r="M1023" t="e">
        <f t="shared" si="33"/>
        <v>#N/A</v>
      </c>
      <c r="N1023" t="e">
        <f>VLOOKUP(A1023,Database!$A$2:$I$948,5,0)</f>
        <v>#N/A</v>
      </c>
    </row>
    <row r="1024" spans="1:14" hidden="1" x14ac:dyDescent="0.35">
      <c r="A1024" s="3">
        <v>103406825</v>
      </c>
      <c r="B1024" s="3" t="s">
        <v>2271</v>
      </c>
      <c r="C1024" s="3" t="str">
        <f t="shared" si="32"/>
        <v>2022-07-06</v>
      </c>
      <c r="D1024" s="3" t="s">
        <v>9</v>
      </c>
      <c r="E1024" s="3" t="s">
        <v>5</v>
      </c>
      <c r="F1024" s="3" t="s">
        <v>10</v>
      </c>
      <c r="G1024" s="3" t="s">
        <v>2097</v>
      </c>
      <c r="H1024" s="3" t="s">
        <v>2098</v>
      </c>
      <c r="I1024" s="3">
        <v>439</v>
      </c>
      <c r="J1024" s="3" t="s">
        <v>14</v>
      </c>
      <c r="K1024" t="e">
        <f>MATCH(A1024,Database!$A$2:$A$948,0)</f>
        <v>#N/A</v>
      </c>
      <c r="L1024" t="e">
        <f>VLOOKUP(A1024,Database!$A$2:$I$948,4,0)</f>
        <v>#N/A</v>
      </c>
      <c r="M1024" t="e">
        <f t="shared" si="33"/>
        <v>#N/A</v>
      </c>
      <c r="N1024" t="e">
        <f>VLOOKUP(A1024,Database!$A$2:$I$948,5,0)</f>
        <v>#N/A</v>
      </c>
    </row>
    <row r="1025" spans="1:14" hidden="1" x14ac:dyDescent="0.35">
      <c r="A1025" s="3">
        <v>103406822</v>
      </c>
      <c r="B1025" s="3" t="s">
        <v>2272</v>
      </c>
      <c r="C1025" s="3" t="str">
        <f t="shared" si="32"/>
        <v>2022-07-06</v>
      </c>
      <c r="D1025" s="3" t="s">
        <v>9</v>
      </c>
      <c r="E1025" s="3" t="s">
        <v>5</v>
      </c>
      <c r="F1025" s="3" t="s">
        <v>10</v>
      </c>
      <c r="G1025" s="3" t="s">
        <v>2273</v>
      </c>
      <c r="H1025" s="3" t="s">
        <v>2274</v>
      </c>
      <c r="I1025" s="3">
        <v>768.55</v>
      </c>
      <c r="J1025" s="3" t="s">
        <v>14</v>
      </c>
      <c r="K1025" t="e">
        <f>MATCH(A1025,Database!$A$2:$A$948,0)</f>
        <v>#N/A</v>
      </c>
      <c r="L1025" t="e">
        <f>VLOOKUP(A1025,Database!$A$2:$I$948,4,0)</f>
        <v>#N/A</v>
      </c>
      <c r="M1025" t="e">
        <f t="shared" si="33"/>
        <v>#N/A</v>
      </c>
      <c r="N1025" t="e">
        <f>VLOOKUP(A1025,Database!$A$2:$I$948,5,0)</f>
        <v>#N/A</v>
      </c>
    </row>
    <row r="1026" spans="1:14" hidden="1" x14ac:dyDescent="0.35">
      <c r="A1026" s="3">
        <v>103406889</v>
      </c>
      <c r="B1026" s="3" t="s">
        <v>2275</v>
      </c>
      <c r="C1026" s="3" t="str">
        <f t="shared" si="32"/>
        <v>2022-07-06</v>
      </c>
      <c r="D1026" s="3" t="s">
        <v>9</v>
      </c>
      <c r="E1026" s="3" t="s">
        <v>5</v>
      </c>
      <c r="F1026" s="3" t="s">
        <v>10</v>
      </c>
      <c r="G1026" s="3" t="s">
        <v>1561</v>
      </c>
      <c r="H1026" s="3" t="s">
        <v>1562</v>
      </c>
      <c r="I1026" s="4">
        <v>2849.05</v>
      </c>
      <c r="J1026" s="3" t="s">
        <v>14</v>
      </c>
      <c r="K1026" t="e">
        <f>MATCH(A1026,Database!$A$2:$A$948,0)</f>
        <v>#N/A</v>
      </c>
      <c r="L1026" t="e">
        <f>VLOOKUP(A1026,Database!$A$2:$I$948,4,0)</f>
        <v>#N/A</v>
      </c>
      <c r="M1026" t="e">
        <f t="shared" si="33"/>
        <v>#N/A</v>
      </c>
      <c r="N1026" t="e">
        <f>VLOOKUP(A1026,Database!$A$2:$I$948,5,0)</f>
        <v>#N/A</v>
      </c>
    </row>
    <row r="1027" spans="1:14" hidden="1" x14ac:dyDescent="0.35">
      <c r="A1027" s="3">
        <v>103406814</v>
      </c>
      <c r="B1027" s="3" t="s">
        <v>4783</v>
      </c>
      <c r="C1027" s="3" t="str">
        <f t="shared" ref="C1027:C1090" si="34">LEFT(B1027,FIND("T",B1027)-1)</f>
        <v>2022-07-06</v>
      </c>
      <c r="D1027" s="3" t="s">
        <v>9</v>
      </c>
      <c r="E1027" s="3" t="s">
        <v>5</v>
      </c>
      <c r="F1027" s="3" t="s">
        <v>10</v>
      </c>
      <c r="G1027" s="3" t="s">
        <v>4784</v>
      </c>
      <c r="H1027" s="3" t="s">
        <v>4785</v>
      </c>
      <c r="I1027" s="4">
        <v>1597.99</v>
      </c>
      <c r="J1027" s="3" t="s">
        <v>13</v>
      </c>
      <c r="K1027">
        <f>MATCH(A1027,Database!$A$2:$A$948,0)</f>
        <v>21</v>
      </c>
      <c r="L1027">
        <f>VLOOKUP(A1027,Database!$A$2:$I$948,4,0)</f>
        <v>1597.99</v>
      </c>
      <c r="M1027" t="b">
        <f t="shared" si="33"/>
        <v>1</v>
      </c>
      <c r="N1027">
        <f>VLOOKUP(A1027,Database!$A$2:$I$948,5,0)</f>
        <v>1</v>
      </c>
    </row>
    <row r="1028" spans="1:14" hidden="1" x14ac:dyDescent="0.35">
      <c r="A1028" s="3">
        <v>103406882</v>
      </c>
      <c r="B1028" s="3" t="s">
        <v>2276</v>
      </c>
      <c r="C1028" s="3" t="str">
        <f t="shared" si="34"/>
        <v>2022-07-06</v>
      </c>
      <c r="D1028" s="3" t="s">
        <v>9</v>
      </c>
      <c r="E1028" s="3" t="s">
        <v>5</v>
      </c>
      <c r="F1028" s="3" t="s">
        <v>10</v>
      </c>
      <c r="G1028" s="3" t="s">
        <v>2277</v>
      </c>
      <c r="H1028" s="3" t="s">
        <v>2278</v>
      </c>
      <c r="I1028" s="4">
        <v>3989.05</v>
      </c>
      <c r="J1028" s="3" t="s">
        <v>14</v>
      </c>
      <c r="K1028" t="e">
        <f>MATCH(A1028,Database!$A$2:$A$948,0)</f>
        <v>#N/A</v>
      </c>
      <c r="L1028" t="e">
        <f>VLOOKUP(A1028,Database!$A$2:$I$948,4,0)</f>
        <v>#N/A</v>
      </c>
      <c r="M1028" t="e">
        <f t="shared" si="33"/>
        <v>#N/A</v>
      </c>
      <c r="N1028" t="e">
        <f>VLOOKUP(A1028,Database!$A$2:$I$948,5,0)</f>
        <v>#N/A</v>
      </c>
    </row>
    <row r="1029" spans="1:14" hidden="1" x14ac:dyDescent="0.35">
      <c r="A1029" s="3">
        <v>103406813</v>
      </c>
      <c r="B1029" s="3" t="s">
        <v>2279</v>
      </c>
      <c r="C1029" s="3" t="str">
        <f t="shared" si="34"/>
        <v>2022-07-06</v>
      </c>
      <c r="D1029" s="3" t="s">
        <v>9</v>
      </c>
      <c r="E1029" s="3" t="s">
        <v>5</v>
      </c>
      <c r="F1029" s="3" t="s">
        <v>10</v>
      </c>
      <c r="G1029" s="3" t="s">
        <v>2280</v>
      </c>
      <c r="H1029" s="3" t="s">
        <v>2281</v>
      </c>
      <c r="I1029" s="4">
        <v>1342.92</v>
      </c>
      <c r="J1029" s="3" t="s">
        <v>14</v>
      </c>
      <c r="K1029" t="e">
        <f>MATCH(A1029,Database!$A$2:$A$948,0)</f>
        <v>#N/A</v>
      </c>
      <c r="L1029" t="e">
        <f>VLOOKUP(A1029,Database!$A$2:$I$948,4,0)</f>
        <v>#N/A</v>
      </c>
      <c r="M1029" t="e">
        <f t="shared" si="33"/>
        <v>#N/A</v>
      </c>
      <c r="N1029" t="e">
        <f>VLOOKUP(A1029,Database!$A$2:$I$948,5,0)</f>
        <v>#N/A</v>
      </c>
    </row>
    <row r="1030" spans="1:14" hidden="1" x14ac:dyDescent="0.35">
      <c r="A1030" s="3">
        <v>103406877</v>
      </c>
      <c r="B1030" s="3" t="s">
        <v>2282</v>
      </c>
      <c r="C1030" s="3" t="str">
        <f t="shared" si="34"/>
        <v>2022-07-06</v>
      </c>
      <c r="D1030" s="3" t="s">
        <v>9</v>
      </c>
      <c r="E1030" s="3" t="s">
        <v>5</v>
      </c>
      <c r="F1030" s="3" t="s">
        <v>10</v>
      </c>
      <c r="G1030" s="3" t="s">
        <v>2283</v>
      </c>
      <c r="H1030" s="3" t="s">
        <v>2284</v>
      </c>
      <c r="I1030" s="4">
        <v>2469.0500000000002</v>
      </c>
      <c r="J1030" s="3" t="s">
        <v>14</v>
      </c>
      <c r="K1030" t="e">
        <f>MATCH(A1030,Database!$A$2:$A$948,0)</f>
        <v>#N/A</v>
      </c>
      <c r="L1030" t="e">
        <f>VLOOKUP(A1030,Database!$A$2:$I$948,4,0)</f>
        <v>#N/A</v>
      </c>
      <c r="M1030" t="e">
        <f t="shared" si="33"/>
        <v>#N/A</v>
      </c>
      <c r="N1030" t="e">
        <f>VLOOKUP(A1030,Database!$A$2:$I$948,5,0)</f>
        <v>#N/A</v>
      </c>
    </row>
    <row r="1031" spans="1:14" hidden="1" x14ac:dyDescent="0.35">
      <c r="A1031" s="3">
        <v>103406811</v>
      </c>
      <c r="B1031" s="3" t="s">
        <v>2285</v>
      </c>
      <c r="C1031" s="3" t="str">
        <f t="shared" si="34"/>
        <v>2022-07-06</v>
      </c>
      <c r="D1031" s="3" t="s">
        <v>9</v>
      </c>
      <c r="E1031" s="3" t="s">
        <v>5</v>
      </c>
      <c r="F1031" s="3" t="s">
        <v>10</v>
      </c>
      <c r="G1031" s="3" t="s">
        <v>2286</v>
      </c>
      <c r="H1031" s="3" t="s">
        <v>2287</v>
      </c>
      <c r="I1031" s="4">
        <v>1259.0999999999999</v>
      </c>
      <c r="J1031" s="3" t="s">
        <v>14</v>
      </c>
      <c r="K1031" t="e">
        <f>MATCH(A1031,Database!$A$2:$A$948,0)</f>
        <v>#N/A</v>
      </c>
      <c r="L1031" t="e">
        <f>VLOOKUP(A1031,Database!$A$2:$I$948,4,0)</f>
        <v>#N/A</v>
      </c>
      <c r="M1031" t="e">
        <f t="shared" si="33"/>
        <v>#N/A</v>
      </c>
      <c r="N1031" t="e">
        <f>VLOOKUP(A1031,Database!$A$2:$I$948,5,0)</f>
        <v>#N/A</v>
      </c>
    </row>
    <row r="1032" spans="1:14" hidden="1" x14ac:dyDescent="0.35">
      <c r="A1032" s="3">
        <v>103406807</v>
      </c>
      <c r="B1032" s="3" t="s">
        <v>2288</v>
      </c>
      <c r="C1032" s="3" t="str">
        <f t="shared" si="34"/>
        <v>2022-07-06</v>
      </c>
      <c r="D1032" s="3" t="s">
        <v>9</v>
      </c>
      <c r="E1032" s="3" t="s">
        <v>5</v>
      </c>
      <c r="F1032" s="3" t="s">
        <v>12</v>
      </c>
      <c r="G1032" s="3" t="s">
        <v>2289</v>
      </c>
      <c r="H1032" s="3" t="s">
        <v>2290</v>
      </c>
      <c r="I1032" s="3">
        <v>759.05</v>
      </c>
      <c r="J1032" s="3" t="s">
        <v>14</v>
      </c>
      <c r="K1032" t="e">
        <f>MATCH(A1032,Database!$A$2:$A$948,0)</f>
        <v>#N/A</v>
      </c>
      <c r="L1032" t="e">
        <f>VLOOKUP(A1032,Database!$A$2:$I$948,4,0)</f>
        <v>#N/A</v>
      </c>
      <c r="M1032" t="e">
        <f t="shared" si="33"/>
        <v>#N/A</v>
      </c>
      <c r="N1032" t="e">
        <f>VLOOKUP(A1032,Database!$A$2:$I$948,5,0)</f>
        <v>#N/A</v>
      </c>
    </row>
    <row r="1033" spans="1:14" hidden="1" x14ac:dyDescent="0.35">
      <c r="A1033" s="3">
        <v>103406873</v>
      </c>
      <c r="B1033" s="3" t="s">
        <v>2291</v>
      </c>
      <c r="C1033" s="3" t="str">
        <f t="shared" si="34"/>
        <v>2022-07-06</v>
      </c>
      <c r="D1033" s="3" t="s">
        <v>9</v>
      </c>
      <c r="E1033" s="3" t="s">
        <v>5</v>
      </c>
      <c r="F1033" s="3" t="s">
        <v>10</v>
      </c>
      <c r="G1033" s="3" t="s">
        <v>2292</v>
      </c>
      <c r="H1033" s="3" t="s">
        <v>2293</v>
      </c>
      <c r="I1033" s="4">
        <v>2849.05</v>
      </c>
      <c r="J1033" s="3" t="s">
        <v>14</v>
      </c>
      <c r="K1033" t="e">
        <f>MATCH(A1033,Database!$A$2:$A$948,0)</f>
        <v>#N/A</v>
      </c>
      <c r="L1033" t="e">
        <f>VLOOKUP(A1033,Database!$A$2:$I$948,4,0)</f>
        <v>#N/A</v>
      </c>
      <c r="M1033" t="e">
        <f t="shared" si="33"/>
        <v>#N/A</v>
      </c>
      <c r="N1033" t="e">
        <f>VLOOKUP(A1033,Database!$A$2:$I$948,5,0)</f>
        <v>#N/A</v>
      </c>
    </row>
    <row r="1034" spans="1:14" hidden="1" x14ac:dyDescent="0.35">
      <c r="A1034" s="3">
        <v>103406872</v>
      </c>
      <c r="B1034" s="3" t="s">
        <v>2294</v>
      </c>
      <c r="C1034" s="3" t="str">
        <f t="shared" si="34"/>
        <v>2022-07-06</v>
      </c>
      <c r="D1034" s="3" t="s">
        <v>9</v>
      </c>
      <c r="E1034" s="3" t="s">
        <v>5</v>
      </c>
      <c r="F1034" s="3" t="s">
        <v>12</v>
      </c>
      <c r="G1034" s="3" t="s">
        <v>2295</v>
      </c>
      <c r="H1034" s="3" t="s">
        <v>2296</v>
      </c>
      <c r="I1034" s="5">
        <v>1999</v>
      </c>
      <c r="J1034" s="3" t="s">
        <v>14</v>
      </c>
      <c r="K1034" t="e">
        <f>MATCH(A1034,Database!$A$2:$A$948,0)</f>
        <v>#N/A</v>
      </c>
      <c r="L1034" t="e">
        <f>VLOOKUP(A1034,Database!$A$2:$I$948,4,0)</f>
        <v>#N/A</v>
      </c>
      <c r="M1034" t="e">
        <f t="shared" si="33"/>
        <v>#N/A</v>
      </c>
      <c r="N1034" t="e">
        <f>VLOOKUP(A1034,Database!$A$2:$I$948,5,0)</f>
        <v>#N/A</v>
      </c>
    </row>
    <row r="1035" spans="1:14" hidden="1" x14ac:dyDescent="0.35">
      <c r="A1035" s="3">
        <v>103406803</v>
      </c>
      <c r="B1035" s="3" t="s">
        <v>2297</v>
      </c>
      <c r="C1035" s="3" t="str">
        <f t="shared" si="34"/>
        <v>2022-07-06</v>
      </c>
      <c r="D1035" s="3" t="s">
        <v>9</v>
      </c>
      <c r="E1035" s="3" t="s">
        <v>5</v>
      </c>
      <c r="F1035" s="3" t="s">
        <v>12</v>
      </c>
      <c r="G1035" s="3" t="s">
        <v>2298</v>
      </c>
      <c r="H1035" s="3" t="s">
        <v>2299</v>
      </c>
      <c r="I1035" s="5">
        <v>1379</v>
      </c>
      <c r="J1035" s="3" t="s">
        <v>14</v>
      </c>
      <c r="K1035" t="e">
        <f>MATCH(A1035,Database!$A$2:$A$948,0)</f>
        <v>#N/A</v>
      </c>
      <c r="L1035" t="e">
        <f>VLOOKUP(A1035,Database!$A$2:$I$948,4,0)</f>
        <v>#N/A</v>
      </c>
      <c r="M1035" t="e">
        <f t="shared" si="33"/>
        <v>#N/A</v>
      </c>
      <c r="N1035" t="e">
        <f>VLOOKUP(A1035,Database!$A$2:$I$948,5,0)</f>
        <v>#N/A</v>
      </c>
    </row>
    <row r="1036" spans="1:14" hidden="1" x14ac:dyDescent="0.35">
      <c r="A1036" s="3">
        <v>103406868</v>
      </c>
      <c r="B1036" s="3" t="s">
        <v>2297</v>
      </c>
      <c r="C1036" s="3" t="str">
        <f t="shared" si="34"/>
        <v>2022-07-06</v>
      </c>
      <c r="D1036" s="3" t="s">
        <v>9</v>
      </c>
      <c r="E1036" s="3" t="s">
        <v>5</v>
      </c>
      <c r="F1036" s="3" t="s">
        <v>10</v>
      </c>
      <c r="G1036" s="3" t="s">
        <v>2300</v>
      </c>
      <c r="H1036" s="3" t="s">
        <v>2301</v>
      </c>
      <c r="I1036" s="4">
        <v>1462.45</v>
      </c>
      <c r="J1036" s="3" t="s">
        <v>14</v>
      </c>
      <c r="K1036" t="e">
        <f>MATCH(A1036,Database!$A$2:$A$948,0)</f>
        <v>#N/A</v>
      </c>
      <c r="L1036" t="e">
        <f>VLOOKUP(A1036,Database!$A$2:$I$948,4,0)</f>
        <v>#N/A</v>
      </c>
      <c r="M1036" t="e">
        <f t="shared" ref="M1036:M1099" si="35">I1036=L1036</f>
        <v>#N/A</v>
      </c>
      <c r="N1036" t="e">
        <f>VLOOKUP(A1036,Database!$A$2:$I$948,5,0)</f>
        <v>#N/A</v>
      </c>
    </row>
    <row r="1037" spans="1:14" hidden="1" x14ac:dyDescent="0.35">
      <c r="A1037" s="3">
        <v>103406867</v>
      </c>
      <c r="B1037" s="3" t="s">
        <v>2302</v>
      </c>
      <c r="C1037" s="3" t="str">
        <f t="shared" si="34"/>
        <v>2022-07-06</v>
      </c>
      <c r="D1037" s="3" t="s">
        <v>9</v>
      </c>
      <c r="E1037" s="3" t="s">
        <v>5</v>
      </c>
      <c r="F1037" s="3" t="s">
        <v>10</v>
      </c>
      <c r="G1037" s="3" t="s">
        <v>2303</v>
      </c>
      <c r="H1037" s="3" t="s">
        <v>2304</v>
      </c>
      <c r="I1037" s="4">
        <v>1139.05</v>
      </c>
      <c r="J1037" s="3" t="s">
        <v>14</v>
      </c>
      <c r="K1037" t="e">
        <f>MATCH(A1037,Database!$A$2:$A$948,0)</f>
        <v>#N/A</v>
      </c>
      <c r="L1037" t="e">
        <f>VLOOKUP(A1037,Database!$A$2:$I$948,4,0)</f>
        <v>#N/A</v>
      </c>
      <c r="M1037" t="e">
        <f t="shared" si="35"/>
        <v>#N/A</v>
      </c>
      <c r="N1037" t="e">
        <f>VLOOKUP(A1037,Database!$A$2:$I$948,5,0)</f>
        <v>#N/A</v>
      </c>
    </row>
    <row r="1038" spans="1:14" hidden="1" x14ac:dyDescent="0.35">
      <c r="A1038" s="3">
        <v>103406764</v>
      </c>
      <c r="B1038" s="3" t="s">
        <v>2305</v>
      </c>
      <c r="C1038" s="3" t="str">
        <f t="shared" si="34"/>
        <v>2022-07-06</v>
      </c>
      <c r="D1038" s="3" t="s">
        <v>9</v>
      </c>
      <c r="E1038" s="3" t="s">
        <v>5</v>
      </c>
      <c r="F1038" s="3" t="s">
        <v>10</v>
      </c>
      <c r="G1038" s="3" t="s">
        <v>2306</v>
      </c>
      <c r="H1038" s="3" t="s">
        <v>2307</v>
      </c>
      <c r="I1038" s="5">
        <v>2309</v>
      </c>
      <c r="J1038" s="3" t="s">
        <v>14</v>
      </c>
      <c r="K1038" t="e">
        <f>MATCH(A1038,Database!$A$2:$A$948,0)</f>
        <v>#N/A</v>
      </c>
      <c r="L1038" t="e">
        <f>VLOOKUP(A1038,Database!$A$2:$I$948,4,0)</f>
        <v>#N/A</v>
      </c>
      <c r="M1038" t="e">
        <f t="shared" si="35"/>
        <v>#N/A</v>
      </c>
      <c r="N1038" t="e">
        <f>VLOOKUP(A1038,Database!$A$2:$I$948,5,0)</f>
        <v>#N/A</v>
      </c>
    </row>
    <row r="1039" spans="1:14" hidden="1" x14ac:dyDescent="0.35">
      <c r="A1039" s="3">
        <v>103406758</v>
      </c>
      <c r="B1039" s="3" t="s">
        <v>2308</v>
      </c>
      <c r="C1039" s="3" t="str">
        <f t="shared" si="34"/>
        <v>2022-07-06</v>
      </c>
      <c r="D1039" s="3" t="s">
        <v>9</v>
      </c>
      <c r="E1039" s="3" t="s">
        <v>5</v>
      </c>
      <c r="F1039" s="3" t="s">
        <v>10</v>
      </c>
      <c r="G1039" s="3" t="s">
        <v>2309</v>
      </c>
      <c r="H1039" s="3" t="s">
        <v>2310</v>
      </c>
      <c r="I1039" s="3">
        <v>749</v>
      </c>
      <c r="J1039" s="3" t="s">
        <v>14</v>
      </c>
      <c r="K1039" t="e">
        <f>MATCH(A1039,Database!$A$2:$A$948,0)</f>
        <v>#N/A</v>
      </c>
      <c r="L1039" t="e">
        <f>VLOOKUP(A1039,Database!$A$2:$I$948,4,0)</f>
        <v>#N/A</v>
      </c>
      <c r="M1039" t="e">
        <f t="shared" si="35"/>
        <v>#N/A</v>
      </c>
      <c r="N1039" t="e">
        <f>VLOOKUP(A1039,Database!$A$2:$I$948,5,0)</f>
        <v>#N/A</v>
      </c>
    </row>
    <row r="1040" spans="1:14" hidden="1" x14ac:dyDescent="0.35">
      <c r="A1040" s="3">
        <v>103406798</v>
      </c>
      <c r="B1040" s="3" t="s">
        <v>2311</v>
      </c>
      <c r="C1040" s="3" t="str">
        <f t="shared" si="34"/>
        <v>2022-07-06</v>
      </c>
      <c r="D1040" s="3" t="s">
        <v>9</v>
      </c>
      <c r="E1040" s="3" t="s">
        <v>5</v>
      </c>
      <c r="F1040" s="3" t="s">
        <v>10</v>
      </c>
      <c r="G1040" s="3" t="s">
        <v>2312</v>
      </c>
      <c r="H1040" s="3" t="s">
        <v>2313</v>
      </c>
      <c r="I1040" s="4">
        <v>1139.05</v>
      </c>
      <c r="J1040" s="3" t="s">
        <v>14</v>
      </c>
      <c r="K1040" t="e">
        <f>MATCH(A1040,Database!$A$2:$A$948,0)</f>
        <v>#N/A</v>
      </c>
      <c r="L1040" t="e">
        <f>VLOOKUP(A1040,Database!$A$2:$I$948,4,0)</f>
        <v>#N/A</v>
      </c>
      <c r="M1040" t="e">
        <f t="shared" si="35"/>
        <v>#N/A</v>
      </c>
      <c r="N1040" t="e">
        <f>VLOOKUP(A1040,Database!$A$2:$I$948,5,0)</f>
        <v>#N/A</v>
      </c>
    </row>
    <row r="1041" spans="1:14" hidden="1" x14ac:dyDescent="0.35">
      <c r="A1041" s="3">
        <v>103406752</v>
      </c>
      <c r="B1041" s="3" t="s">
        <v>2314</v>
      </c>
      <c r="C1041" s="3" t="str">
        <f t="shared" si="34"/>
        <v>2022-07-06</v>
      </c>
      <c r="D1041" s="3" t="s">
        <v>9</v>
      </c>
      <c r="E1041" s="3" t="s">
        <v>5</v>
      </c>
      <c r="F1041" s="3" t="s">
        <v>10</v>
      </c>
      <c r="G1041" s="3" t="s">
        <v>2235</v>
      </c>
      <c r="H1041" s="3" t="s">
        <v>2315</v>
      </c>
      <c r="I1041" s="5">
        <v>4499</v>
      </c>
      <c r="J1041" s="3" t="s">
        <v>14</v>
      </c>
      <c r="K1041" t="e">
        <f>MATCH(A1041,Database!$A$2:$A$948,0)</f>
        <v>#N/A</v>
      </c>
      <c r="L1041" t="e">
        <f>VLOOKUP(A1041,Database!$A$2:$I$948,4,0)</f>
        <v>#N/A</v>
      </c>
      <c r="M1041" t="e">
        <f t="shared" si="35"/>
        <v>#N/A</v>
      </c>
      <c r="N1041" t="e">
        <f>VLOOKUP(A1041,Database!$A$2:$I$948,5,0)</f>
        <v>#N/A</v>
      </c>
    </row>
    <row r="1042" spans="1:14" hidden="1" x14ac:dyDescent="0.35">
      <c r="A1042" s="3">
        <v>103406748</v>
      </c>
      <c r="B1042" s="3" t="s">
        <v>2316</v>
      </c>
      <c r="C1042" s="3" t="str">
        <f t="shared" si="34"/>
        <v>2022-07-06</v>
      </c>
      <c r="D1042" s="3" t="s">
        <v>9</v>
      </c>
      <c r="E1042" s="3" t="s">
        <v>5</v>
      </c>
      <c r="F1042" s="3" t="s">
        <v>10</v>
      </c>
      <c r="G1042" s="3" t="s">
        <v>1561</v>
      </c>
      <c r="H1042" s="3" t="s">
        <v>1562</v>
      </c>
      <c r="I1042" s="4">
        <v>3324.05</v>
      </c>
      <c r="J1042" s="3" t="s">
        <v>14</v>
      </c>
      <c r="K1042" t="e">
        <f>MATCH(A1042,Database!$A$2:$A$948,0)</f>
        <v>#N/A</v>
      </c>
      <c r="L1042" t="e">
        <f>VLOOKUP(A1042,Database!$A$2:$I$948,4,0)</f>
        <v>#N/A</v>
      </c>
      <c r="M1042" t="e">
        <f t="shared" si="35"/>
        <v>#N/A</v>
      </c>
      <c r="N1042" t="e">
        <f>VLOOKUP(A1042,Database!$A$2:$I$948,5,0)</f>
        <v>#N/A</v>
      </c>
    </row>
    <row r="1043" spans="1:14" hidden="1" x14ac:dyDescent="0.35">
      <c r="A1043" s="3">
        <v>103406747</v>
      </c>
      <c r="B1043" s="3" t="s">
        <v>2317</v>
      </c>
      <c r="C1043" s="3" t="str">
        <f t="shared" si="34"/>
        <v>2022-07-06</v>
      </c>
      <c r="D1043" s="3" t="s">
        <v>9</v>
      </c>
      <c r="E1043" s="3" t="s">
        <v>5</v>
      </c>
      <c r="F1043" s="3" t="s">
        <v>10</v>
      </c>
      <c r="G1043" s="3" t="s">
        <v>2318</v>
      </c>
      <c r="H1043" s="3" t="s">
        <v>2319</v>
      </c>
      <c r="I1043" s="4">
        <v>2659.05</v>
      </c>
      <c r="J1043" s="3" t="s">
        <v>14</v>
      </c>
      <c r="K1043" t="e">
        <f>MATCH(A1043,Database!$A$2:$A$948,0)</f>
        <v>#N/A</v>
      </c>
      <c r="L1043" t="e">
        <f>VLOOKUP(A1043,Database!$A$2:$I$948,4,0)</f>
        <v>#N/A</v>
      </c>
      <c r="M1043" t="e">
        <f t="shared" si="35"/>
        <v>#N/A</v>
      </c>
      <c r="N1043" t="e">
        <f>VLOOKUP(A1043,Database!$A$2:$I$948,5,0)</f>
        <v>#N/A</v>
      </c>
    </row>
    <row r="1044" spans="1:14" hidden="1" x14ac:dyDescent="0.35">
      <c r="A1044" s="3">
        <v>103406792</v>
      </c>
      <c r="B1044" s="3" t="s">
        <v>2320</v>
      </c>
      <c r="C1044" s="3" t="str">
        <f t="shared" si="34"/>
        <v>2022-07-06</v>
      </c>
      <c r="D1044" s="3" t="s">
        <v>9</v>
      </c>
      <c r="E1044" s="3" t="s">
        <v>5</v>
      </c>
      <c r="F1044" s="3" t="s">
        <v>12</v>
      </c>
      <c r="G1044" s="3" t="s">
        <v>2321</v>
      </c>
      <c r="H1044" s="3" t="s">
        <v>2322</v>
      </c>
      <c r="I1044" s="5">
        <v>5599</v>
      </c>
      <c r="J1044" s="3" t="s">
        <v>14</v>
      </c>
      <c r="K1044" t="e">
        <f>MATCH(A1044,Database!$A$2:$A$948,0)</f>
        <v>#N/A</v>
      </c>
      <c r="L1044" t="e">
        <f>VLOOKUP(A1044,Database!$A$2:$I$948,4,0)</f>
        <v>#N/A</v>
      </c>
      <c r="M1044" t="e">
        <f t="shared" si="35"/>
        <v>#N/A</v>
      </c>
      <c r="N1044" t="e">
        <f>VLOOKUP(A1044,Database!$A$2:$I$948,5,0)</f>
        <v>#N/A</v>
      </c>
    </row>
    <row r="1045" spans="1:14" hidden="1" x14ac:dyDescent="0.35">
      <c r="A1045" s="3">
        <v>103406745</v>
      </c>
      <c r="B1045" s="3" t="s">
        <v>2323</v>
      </c>
      <c r="C1045" s="3" t="str">
        <f t="shared" si="34"/>
        <v>2022-07-06</v>
      </c>
      <c r="D1045" s="3" t="s">
        <v>9</v>
      </c>
      <c r="E1045" s="3" t="s">
        <v>5</v>
      </c>
      <c r="F1045" s="3" t="s">
        <v>10</v>
      </c>
      <c r="G1045" s="3" t="s">
        <v>2324</v>
      </c>
      <c r="H1045" s="3" t="s">
        <v>2325</v>
      </c>
      <c r="I1045" s="4">
        <v>3989.05</v>
      </c>
      <c r="J1045" s="3" t="s">
        <v>14</v>
      </c>
      <c r="K1045" t="e">
        <f>MATCH(A1045,Database!$A$2:$A$948,0)</f>
        <v>#N/A</v>
      </c>
      <c r="L1045" t="e">
        <f>VLOOKUP(A1045,Database!$A$2:$I$948,4,0)</f>
        <v>#N/A</v>
      </c>
      <c r="M1045" t="e">
        <f t="shared" si="35"/>
        <v>#N/A</v>
      </c>
      <c r="N1045" t="e">
        <f>VLOOKUP(A1045,Database!$A$2:$I$948,5,0)</f>
        <v>#N/A</v>
      </c>
    </row>
    <row r="1046" spans="1:14" hidden="1" x14ac:dyDescent="0.35">
      <c r="A1046" s="3">
        <v>103406788</v>
      </c>
      <c r="B1046" s="3" t="s">
        <v>2326</v>
      </c>
      <c r="C1046" s="3" t="str">
        <f t="shared" si="34"/>
        <v>2022-07-06</v>
      </c>
      <c r="D1046" s="3" t="s">
        <v>9</v>
      </c>
      <c r="E1046" s="3" t="s">
        <v>5</v>
      </c>
      <c r="F1046" s="3" t="s">
        <v>10</v>
      </c>
      <c r="G1046" s="3" t="s">
        <v>4786</v>
      </c>
      <c r="H1046" s="3" t="s">
        <v>4787</v>
      </c>
      <c r="I1046" s="4">
        <v>2222.14</v>
      </c>
      <c r="J1046" s="3" t="s">
        <v>13</v>
      </c>
      <c r="K1046">
        <f>MATCH(A1046,Database!$A$2:$A$948,0)</f>
        <v>20</v>
      </c>
      <c r="L1046">
        <f>VLOOKUP(A1046,Database!$A$2:$I$948,4,0)</f>
        <v>2222.14</v>
      </c>
      <c r="M1046" t="b">
        <f t="shared" si="35"/>
        <v>1</v>
      </c>
      <c r="N1046">
        <f>VLOOKUP(A1046,Database!$A$2:$I$948,5,0)</f>
        <v>1</v>
      </c>
    </row>
    <row r="1047" spans="1:14" hidden="1" x14ac:dyDescent="0.35">
      <c r="A1047" s="3">
        <v>103406742</v>
      </c>
      <c r="B1047" s="3" t="s">
        <v>2326</v>
      </c>
      <c r="C1047" s="3" t="str">
        <f t="shared" si="34"/>
        <v>2022-07-06</v>
      </c>
      <c r="D1047" s="3" t="s">
        <v>9</v>
      </c>
      <c r="E1047" s="3" t="s">
        <v>5</v>
      </c>
      <c r="F1047" s="3" t="s">
        <v>10</v>
      </c>
      <c r="G1047" s="3" t="s">
        <v>2327</v>
      </c>
      <c r="H1047" s="3" t="s">
        <v>2328</v>
      </c>
      <c r="I1047" s="5">
        <v>2599</v>
      </c>
      <c r="J1047" s="3" t="s">
        <v>11</v>
      </c>
      <c r="K1047" t="e">
        <f>MATCH(A1047,Database!$A$2:$A$948,0)</f>
        <v>#N/A</v>
      </c>
      <c r="L1047" t="e">
        <f>VLOOKUP(A1047,Database!$A$2:$I$948,4,0)</f>
        <v>#N/A</v>
      </c>
      <c r="M1047" t="e">
        <f t="shared" si="35"/>
        <v>#N/A</v>
      </c>
      <c r="N1047" t="e">
        <f>VLOOKUP(A1047,Database!$A$2:$I$948,5,0)</f>
        <v>#N/A</v>
      </c>
    </row>
    <row r="1048" spans="1:14" hidden="1" x14ac:dyDescent="0.35">
      <c r="A1048" s="3">
        <v>103406785</v>
      </c>
      <c r="B1048" s="3" t="s">
        <v>2329</v>
      </c>
      <c r="C1048" s="3" t="str">
        <f t="shared" si="34"/>
        <v>2022-07-06</v>
      </c>
      <c r="D1048" s="3" t="s">
        <v>9</v>
      </c>
      <c r="E1048" s="3" t="s">
        <v>5</v>
      </c>
      <c r="F1048" s="3" t="s">
        <v>10</v>
      </c>
      <c r="G1048" s="3" t="s">
        <v>2330</v>
      </c>
      <c r="H1048" s="3" t="s">
        <v>2331</v>
      </c>
      <c r="I1048" s="4">
        <v>3473.72</v>
      </c>
      <c r="J1048" s="3" t="s">
        <v>11</v>
      </c>
      <c r="K1048" t="e">
        <f>MATCH(A1048,Database!$A$2:$A$948,0)</f>
        <v>#N/A</v>
      </c>
      <c r="L1048" t="e">
        <f>VLOOKUP(A1048,Database!$A$2:$I$948,4,0)</f>
        <v>#N/A</v>
      </c>
      <c r="M1048" t="e">
        <f t="shared" si="35"/>
        <v>#N/A</v>
      </c>
      <c r="N1048" t="e">
        <f>VLOOKUP(A1048,Database!$A$2:$I$948,5,0)</f>
        <v>#N/A</v>
      </c>
    </row>
    <row r="1049" spans="1:14" hidden="1" x14ac:dyDescent="0.35">
      <c r="A1049" s="3">
        <v>103406737</v>
      </c>
      <c r="B1049" s="3" t="s">
        <v>2332</v>
      </c>
      <c r="C1049" s="3" t="str">
        <f t="shared" si="34"/>
        <v>2022-07-06</v>
      </c>
      <c r="D1049" s="3" t="s">
        <v>9</v>
      </c>
      <c r="E1049" s="3" t="s">
        <v>5</v>
      </c>
      <c r="F1049" s="3" t="s">
        <v>10</v>
      </c>
      <c r="G1049" s="3" t="s">
        <v>2333</v>
      </c>
      <c r="H1049" s="3" t="s">
        <v>2334</v>
      </c>
      <c r="I1049" s="3">
        <v>819</v>
      </c>
      <c r="J1049" s="3" t="s">
        <v>11</v>
      </c>
      <c r="K1049" t="e">
        <f>MATCH(A1049,Database!$A$2:$A$948,0)</f>
        <v>#N/A</v>
      </c>
      <c r="L1049" t="e">
        <f>VLOOKUP(A1049,Database!$A$2:$I$948,4,0)</f>
        <v>#N/A</v>
      </c>
      <c r="M1049" t="e">
        <f t="shared" si="35"/>
        <v>#N/A</v>
      </c>
      <c r="N1049" t="e">
        <f>VLOOKUP(A1049,Database!$A$2:$I$948,5,0)</f>
        <v>#N/A</v>
      </c>
    </row>
    <row r="1050" spans="1:14" hidden="1" x14ac:dyDescent="0.35">
      <c r="A1050" s="3">
        <v>103406781</v>
      </c>
      <c r="B1050" s="3" t="s">
        <v>2335</v>
      </c>
      <c r="C1050" s="3" t="str">
        <f t="shared" si="34"/>
        <v>2022-07-06</v>
      </c>
      <c r="D1050" s="3" t="s">
        <v>9</v>
      </c>
      <c r="E1050" s="3" t="s">
        <v>5</v>
      </c>
      <c r="F1050" s="3" t="s">
        <v>10</v>
      </c>
      <c r="G1050" s="3" t="s">
        <v>2336</v>
      </c>
      <c r="H1050" s="3" t="s">
        <v>2337</v>
      </c>
      <c r="I1050" s="5">
        <v>3899</v>
      </c>
      <c r="J1050" s="3" t="s">
        <v>11</v>
      </c>
      <c r="K1050" t="e">
        <f>MATCH(A1050,Database!$A$2:$A$948,0)</f>
        <v>#N/A</v>
      </c>
      <c r="L1050" t="e">
        <f>VLOOKUP(A1050,Database!$A$2:$I$948,4,0)</f>
        <v>#N/A</v>
      </c>
      <c r="M1050" t="e">
        <f t="shared" si="35"/>
        <v>#N/A</v>
      </c>
      <c r="N1050" t="e">
        <f>VLOOKUP(A1050,Database!$A$2:$I$948,5,0)</f>
        <v>#N/A</v>
      </c>
    </row>
    <row r="1051" spans="1:14" hidden="1" x14ac:dyDescent="0.35">
      <c r="A1051" s="3">
        <v>103406734</v>
      </c>
      <c r="B1051" s="3" t="s">
        <v>2338</v>
      </c>
      <c r="C1051" s="3" t="str">
        <f t="shared" si="34"/>
        <v>2022-07-06</v>
      </c>
      <c r="D1051" s="3" t="s">
        <v>9</v>
      </c>
      <c r="E1051" s="3" t="s">
        <v>5</v>
      </c>
      <c r="F1051" s="3" t="s">
        <v>12</v>
      </c>
      <c r="G1051" s="3" t="s">
        <v>2339</v>
      </c>
      <c r="H1051" s="3" t="s">
        <v>2340</v>
      </c>
      <c r="I1051" s="4">
        <v>2849.05</v>
      </c>
      <c r="J1051" s="3" t="s">
        <v>11</v>
      </c>
      <c r="K1051" t="e">
        <f>MATCH(A1051,Database!$A$2:$A$948,0)</f>
        <v>#N/A</v>
      </c>
      <c r="L1051" t="e">
        <f>VLOOKUP(A1051,Database!$A$2:$I$948,4,0)</f>
        <v>#N/A</v>
      </c>
      <c r="M1051" t="e">
        <f t="shared" si="35"/>
        <v>#N/A</v>
      </c>
      <c r="N1051" t="e">
        <f>VLOOKUP(A1051,Database!$A$2:$I$948,5,0)</f>
        <v>#N/A</v>
      </c>
    </row>
    <row r="1052" spans="1:14" hidden="1" x14ac:dyDescent="0.35">
      <c r="A1052" s="3">
        <v>103406777</v>
      </c>
      <c r="B1052" s="3" t="s">
        <v>2341</v>
      </c>
      <c r="C1052" s="3" t="str">
        <f t="shared" si="34"/>
        <v>2022-07-06</v>
      </c>
      <c r="D1052" s="3" t="s">
        <v>9</v>
      </c>
      <c r="E1052" s="3" t="s">
        <v>5</v>
      </c>
      <c r="F1052" s="3" t="s">
        <v>12</v>
      </c>
      <c r="G1052" s="3" t="s">
        <v>2342</v>
      </c>
      <c r="H1052" s="3" t="s">
        <v>2343</v>
      </c>
      <c r="I1052" s="5">
        <v>3019</v>
      </c>
      <c r="J1052" s="3" t="s">
        <v>11</v>
      </c>
      <c r="K1052" t="e">
        <f>MATCH(A1052,Database!$A$2:$A$948,0)</f>
        <v>#N/A</v>
      </c>
      <c r="L1052" t="e">
        <f>VLOOKUP(A1052,Database!$A$2:$I$948,4,0)</f>
        <v>#N/A</v>
      </c>
      <c r="M1052" t="e">
        <f t="shared" si="35"/>
        <v>#N/A</v>
      </c>
      <c r="N1052" t="e">
        <f>VLOOKUP(A1052,Database!$A$2:$I$948,5,0)</f>
        <v>#N/A</v>
      </c>
    </row>
    <row r="1053" spans="1:14" hidden="1" x14ac:dyDescent="0.35">
      <c r="A1053" s="3">
        <v>103406731</v>
      </c>
      <c r="B1053" s="3" t="s">
        <v>2344</v>
      </c>
      <c r="C1053" s="3" t="str">
        <f t="shared" si="34"/>
        <v>2022-07-06</v>
      </c>
      <c r="D1053" s="3" t="s">
        <v>9</v>
      </c>
      <c r="E1053" s="3" t="s">
        <v>5</v>
      </c>
      <c r="F1053" s="3" t="s">
        <v>10</v>
      </c>
      <c r="G1053" s="3" t="s">
        <v>2345</v>
      </c>
      <c r="H1053" s="3" t="s">
        <v>2346</v>
      </c>
      <c r="I1053" s="4">
        <v>1414.55</v>
      </c>
      <c r="J1053" s="3" t="s">
        <v>11</v>
      </c>
      <c r="K1053" t="e">
        <f>MATCH(A1053,Database!$A$2:$A$948,0)</f>
        <v>#N/A</v>
      </c>
      <c r="L1053" t="e">
        <f>VLOOKUP(A1053,Database!$A$2:$I$948,4,0)</f>
        <v>#N/A</v>
      </c>
      <c r="M1053" t="e">
        <f t="shared" si="35"/>
        <v>#N/A</v>
      </c>
      <c r="N1053" t="e">
        <f>VLOOKUP(A1053,Database!$A$2:$I$948,5,0)</f>
        <v>#N/A</v>
      </c>
    </row>
    <row r="1054" spans="1:14" hidden="1" x14ac:dyDescent="0.35">
      <c r="A1054" s="3">
        <v>103406730</v>
      </c>
      <c r="B1054" s="3" t="s">
        <v>2347</v>
      </c>
      <c r="C1054" s="3" t="str">
        <f t="shared" si="34"/>
        <v>2022-07-06</v>
      </c>
      <c r="D1054" s="3" t="s">
        <v>9</v>
      </c>
      <c r="E1054" s="3" t="s">
        <v>5</v>
      </c>
      <c r="F1054" s="3" t="s">
        <v>10</v>
      </c>
      <c r="G1054" s="3" t="s">
        <v>2348</v>
      </c>
      <c r="H1054" s="3" t="s">
        <v>2349</v>
      </c>
      <c r="I1054" s="4">
        <v>2991.55</v>
      </c>
      <c r="J1054" s="3" t="s">
        <v>11</v>
      </c>
      <c r="K1054" t="e">
        <f>MATCH(A1054,Database!$A$2:$A$948,0)</f>
        <v>#N/A</v>
      </c>
      <c r="L1054" t="e">
        <f>VLOOKUP(A1054,Database!$A$2:$I$948,4,0)</f>
        <v>#N/A</v>
      </c>
      <c r="M1054" t="e">
        <f t="shared" si="35"/>
        <v>#N/A</v>
      </c>
      <c r="N1054" t="e">
        <f>VLOOKUP(A1054,Database!$A$2:$I$948,5,0)</f>
        <v>#N/A</v>
      </c>
    </row>
    <row r="1055" spans="1:14" hidden="1" x14ac:dyDescent="0.35">
      <c r="A1055" s="3">
        <v>103406729</v>
      </c>
      <c r="B1055" s="3" t="s">
        <v>2350</v>
      </c>
      <c r="C1055" s="3" t="str">
        <f t="shared" si="34"/>
        <v>2022-07-06</v>
      </c>
      <c r="D1055" s="3" t="s">
        <v>9</v>
      </c>
      <c r="E1055" s="3" t="s">
        <v>5</v>
      </c>
      <c r="F1055" s="3" t="s">
        <v>10</v>
      </c>
      <c r="G1055" s="3" t="s">
        <v>2351</v>
      </c>
      <c r="H1055" s="3" t="s">
        <v>2352</v>
      </c>
      <c r="I1055" s="4">
        <v>3419.05</v>
      </c>
      <c r="J1055" s="3" t="s">
        <v>11</v>
      </c>
      <c r="K1055" t="e">
        <f>MATCH(A1055,Database!$A$2:$A$948,0)</f>
        <v>#N/A</v>
      </c>
      <c r="L1055" t="e">
        <f>VLOOKUP(A1055,Database!$A$2:$I$948,4,0)</f>
        <v>#N/A</v>
      </c>
      <c r="M1055" t="e">
        <f t="shared" si="35"/>
        <v>#N/A</v>
      </c>
      <c r="N1055" t="e">
        <f>VLOOKUP(A1055,Database!$A$2:$I$948,5,0)</f>
        <v>#N/A</v>
      </c>
    </row>
    <row r="1056" spans="1:14" hidden="1" x14ac:dyDescent="0.35">
      <c r="A1056" s="3">
        <v>103406776</v>
      </c>
      <c r="B1056" s="3" t="s">
        <v>2353</v>
      </c>
      <c r="C1056" s="3" t="str">
        <f t="shared" si="34"/>
        <v>2022-07-06</v>
      </c>
      <c r="D1056" s="3" t="s">
        <v>9</v>
      </c>
      <c r="E1056" s="3" t="s">
        <v>5</v>
      </c>
      <c r="F1056" s="3" t="s">
        <v>10</v>
      </c>
      <c r="G1056" s="3" t="s">
        <v>2354</v>
      </c>
      <c r="H1056" s="3" t="s">
        <v>2355</v>
      </c>
      <c r="I1056" s="4">
        <v>1851.55</v>
      </c>
      <c r="J1056" s="3" t="s">
        <v>11</v>
      </c>
      <c r="K1056" t="e">
        <f>MATCH(A1056,Database!$A$2:$A$948,0)</f>
        <v>#N/A</v>
      </c>
      <c r="L1056" t="e">
        <f>VLOOKUP(A1056,Database!$A$2:$I$948,4,0)</f>
        <v>#N/A</v>
      </c>
      <c r="M1056" t="e">
        <f t="shared" si="35"/>
        <v>#N/A</v>
      </c>
      <c r="N1056" t="e">
        <f>VLOOKUP(A1056,Database!$A$2:$I$948,5,0)</f>
        <v>#N/A</v>
      </c>
    </row>
    <row r="1057" spans="1:14" hidden="1" x14ac:dyDescent="0.35">
      <c r="A1057" s="3">
        <v>103406721</v>
      </c>
      <c r="B1057" s="3" t="s">
        <v>2356</v>
      </c>
      <c r="C1057" s="3" t="str">
        <f t="shared" si="34"/>
        <v>2022-07-06</v>
      </c>
      <c r="D1057" s="3" t="s">
        <v>9</v>
      </c>
      <c r="E1057" s="3" t="s">
        <v>5</v>
      </c>
      <c r="F1057" s="3" t="s">
        <v>10</v>
      </c>
      <c r="G1057" s="3" t="s">
        <v>2357</v>
      </c>
      <c r="H1057" s="3" t="s">
        <v>2358</v>
      </c>
      <c r="I1057" s="4">
        <v>1633.05</v>
      </c>
      <c r="J1057" s="3" t="s">
        <v>11</v>
      </c>
      <c r="K1057" t="e">
        <f>MATCH(A1057,Database!$A$2:$A$948,0)</f>
        <v>#N/A</v>
      </c>
      <c r="L1057" t="e">
        <f>VLOOKUP(A1057,Database!$A$2:$I$948,4,0)</f>
        <v>#N/A</v>
      </c>
      <c r="M1057" t="e">
        <f t="shared" si="35"/>
        <v>#N/A</v>
      </c>
      <c r="N1057" t="e">
        <f>VLOOKUP(A1057,Database!$A$2:$I$948,5,0)</f>
        <v>#N/A</v>
      </c>
    </row>
    <row r="1058" spans="1:14" hidden="1" x14ac:dyDescent="0.35">
      <c r="A1058" s="3">
        <v>103406720</v>
      </c>
      <c r="B1058" s="3" t="s">
        <v>2359</v>
      </c>
      <c r="C1058" s="3" t="str">
        <f t="shared" si="34"/>
        <v>2022-07-06</v>
      </c>
      <c r="D1058" s="3" t="s">
        <v>9</v>
      </c>
      <c r="E1058" s="3" t="s">
        <v>5</v>
      </c>
      <c r="F1058" s="3" t="s">
        <v>10</v>
      </c>
      <c r="G1058" s="3" t="s">
        <v>2360</v>
      </c>
      <c r="H1058" s="3" t="s">
        <v>2361</v>
      </c>
      <c r="I1058" s="3">
        <v>879</v>
      </c>
      <c r="J1058" s="3" t="s">
        <v>11</v>
      </c>
      <c r="K1058" t="e">
        <f>MATCH(A1058,Database!$A$2:$A$948,0)</f>
        <v>#N/A</v>
      </c>
      <c r="L1058" t="e">
        <f>VLOOKUP(A1058,Database!$A$2:$I$948,4,0)</f>
        <v>#N/A</v>
      </c>
      <c r="M1058" t="e">
        <f t="shared" si="35"/>
        <v>#N/A</v>
      </c>
      <c r="N1058" t="e">
        <f>VLOOKUP(A1058,Database!$A$2:$I$948,5,0)</f>
        <v>#N/A</v>
      </c>
    </row>
    <row r="1059" spans="1:14" hidden="1" x14ac:dyDescent="0.35">
      <c r="A1059" s="3">
        <v>103406718</v>
      </c>
      <c r="B1059" s="3" t="s">
        <v>2362</v>
      </c>
      <c r="C1059" s="3" t="str">
        <f t="shared" si="34"/>
        <v>2022-07-06</v>
      </c>
      <c r="D1059" s="3" t="s">
        <v>9</v>
      </c>
      <c r="E1059" s="3" t="s">
        <v>5</v>
      </c>
      <c r="F1059" s="3" t="s">
        <v>10</v>
      </c>
      <c r="G1059" s="3" t="s">
        <v>2363</v>
      </c>
      <c r="H1059" s="3" t="s">
        <v>2364</v>
      </c>
      <c r="I1059" s="5">
        <v>1259</v>
      </c>
      <c r="J1059" s="3" t="s">
        <v>11</v>
      </c>
      <c r="K1059" t="e">
        <f>MATCH(A1059,Database!$A$2:$A$948,0)</f>
        <v>#N/A</v>
      </c>
      <c r="L1059" t="e">
        <f>VLOOKUP(A1059,Database!$A$2:$I$948,4,0)</f>
        <v>#N/A</v>
      </c>
      <c r="M1059" t="e">
        <f t="shared" si="35"/>
        <v>#N/A</v>
      </c>
      <c r="N1059" t="e">
        <f>VLOOKUP(A1059,Database!$A$2:$I$948,5,0)</f>
        <v>#N/A</v>
      </c>
    </row>
    <row r="1060" spans="1:14" hidden="1" x14ac:dyDescent="0.35">
      <c r="A1060" s="3">
        <v>103406768</v>
      </c>
      <c r="B1060" s="3" t="s">
        <v>2365</v>
      </c>
      <c r="C1060" s="3" t="str">
        <f t="shared" si="34"/>
        <v>2022-07-06</v>
      </c>
      <c r="D1060" s="3" t="s">
        <v>9</v>
      </c>
      <c r="E1060" s="3" t="s">
        <v>5</v>
      </c>
      <c r="F1060" s="3" t="s">
        <v>10</v>
      </c>
      <c r="G1060" s="3" t="s">
        <v>2366</v>
      </c>
      <c r="H1060" s="3" t="s">
        <v>2367</v>
      </c>
      <c r="I1060" s="4">
        <v>3717.4</v>
      </c>
      <c r="J1060" s="3" t="s">
        <v>11</v>
      </c>
      <c r="K1060" t="e">
        <f>MATCH(A1060,Database!$A$2:$A$948,0)</f>
        <v>#N/A</v>
      </c>
      <c r="L1060" t="e">
        <f>VLOOKUP(A1060,Database!$A$2:$I$948,4,0)</f>
        <v>#N/A</v>
      </c>
      <c r="M1060" t="e">
        <f t="shared" si="35"/>
        <v>#N/A</v>
      </c>
      <c r="N1060" t="e">
        <f>VLOOKUP(A1060,Database!$A$2:$I$948,5,0)</f>
        <v>#N/A</v>
      </c>
    </row>
    <row r="1061" spans="1:14" hidden="1" x14ac:dyDescent="0.35">
      <c r="A1061" s="3">
        <v>103406717</v>
      </c>
      <c r="B1061" s="3" t="s">
        <v>2368</v>
      </c>
      <c r="C1061" s="3" t="str">
        <f t="shared" si="34"/>
        <v>2022-07-06</v>
      </c>
      <c r="D1061" s="3" t="s">
        <v>9</v>
      </c>
      <c r="E1061" s="3" t="s">
        <v>5</v>
      </c>
      <c r="F1061" s="3" t="s">
        <v>10</v>
      </c>
      <c r="G1061" s="3" t="s">
        <v>2369</v>
      </c>
      <c r="H1061" s="3" t="s">
        <v>2370</v>
      </c>
      <c r="I1061" s="4">
        <v>1084.1400000000001</v>
      </c>
      <c r="J1061" s="3" t="s">
        <v>11</v>
      </c>
      <c r="K1061" t="e">
        <f>MATCH(A1061,Database!$A$2:$A$948,0)</f>
        <v>#N/A</v>
      </c>
      <c r="L1061" t="e">
        <f>VLOOKUP(A1061,Database!$A$2:$I$948,4,0)</f>
        <v>#N/A</v>
      </c>
      <c r="M1061" t="e">
        <f t="shared" si="35"/>
        <v>#N/A</v>
      </c>
      <c r="N1061" t="e">
        <f>VLOOKUP(A1061,Database!$A$2:$I$948,5,0)</f>
        <v>#N/A</v>
      </c>
    </row>
    <row r="1062" spans="1:14" hidden="1" x14ac:dyDescent="0.35">
      <c r="A1062" s="3">
        <v>103406767</v>
      </c>
      <c r="B1062" s="3" t="s">
        <v>2371</v>
      </c>
      <c r="C1062" s="3" t="str">
        <f t="shared" si="34"/>
        <v>2022-07-06</v>
      </c>
      <c r="D1062" s="3" t="s">
        <v>9</v>
      </c>
      <c r="E1062" s="3" t="s">
        <v>5</v>
      </c>
      <c r="F1062" s="3" t="s">
        <v>10</v>
      </c>
      <c r="G1062" s="3" t="s">
        <v>2372</v>
      </c>
      <c r="H1062" s="3" t="s">
        <v>2373</v>
      </c>
      <c r="I1062" s="5">
        <v>1249</v>
      </c>
      <c r="J1062" s="3" t="s">
        <v>11</v>
      </c>
      <c r="K1062" t="e">
        <f>MATCH(A1062,Database!$A$2:$A$948,0)</f>
        <v>#N/A</v>
      </c>
      <c r="L1062" t="e">
        <f>VLOOKUP(A1062,Database!$A$2:$I$948,4,0)</f>
        <v>#N/A</v>
      </c>
      <c r="M1062" t="e">
        <f t="shared" si="35"/>
        <v>#N/A</v>
      </c>
      <c r="N1062" t="e">
        <f>VLOOKUP(A1062,Database!$A$2:$I$948,5,0)</f>
        <v>#N/A</v>
      </c>
    </row>
    <row r="1063" spans="1:14" hidden="1" x14ac:dyDescent="0.35">
      <c r="A1063" s="3">
        <v>103406714</v>
      </c>
      <c r="B1063" s="3" t="s">
        <v>2374</v>
      </c>
      <c r="C1063" s="3" t="str">
        <f t="shared" si="34"/>
        <v>2022-07-06</v>
      </c>
      <c r="D1063" s="3" t="s">
        <v>9</v>
      </c>
      <c r="E1063" s="3" t="s">
        <v>5</v>
      </c>
      <c r="F1063" s="3" t="s">
        <v>10</v>
      </c>
      <c r="G1063" s="3" t="s">
        <v>2375</v>
      </c>
      <c r="H1063" s="3" t="s">
        <v>2376</v>
      </c>
      <c r="I1063" s="3">
        <v>887.49</v>
      </c>
      <c r="J1063" s="3" t="s">
        <v>11</v>
      </c>
      <c r="K1063" t="e">
        <f>MATCH(A1063,Database!$A$2:$A$948,0)</f>
        <v>#N/A</v>
      </c>
      <c r="L1063" t="e">
        <f>VLOOKUP(A1063,Database!$A$2:$I$948,4,0)</f>
        <v>#N/A</v>
      </c>
      <c r="M1063" t="e">
        <f t="shared" si="35"/>
        <v>#N/A</v>
      </c>
      <c r="N1063" t="e">
        <f>VLOOKUP(A1063,Database!$A$2:$I$948,5,0)</f>
        <v>#N/A</v>
      </c>
    </row>
    <row r="1064" spans="1:14" hidden="1" x14ac:dyDescent="0.35">
      <c r="A1064" s="3">
        <v>103406713</v>
      </c>
      <c r="B1064" s="3" t="s">
        <v>2377</v>
      </c>
      <c r="C1064" s="3" t="str">
        <f t="shared" si="34"/>
        <v>2022-07-06</v>
      </c>
      <c r="D1064" s="3" t="s">
        <v>9</v>
      </c>
      <c r="E1064" s="3" t="s">
        <v>5</v>
      </c>
      <c r="F1064" s="3" t="s">
        <v>10</v>
      </c>
      <c r="G1064" s="3" t="s">
        <v>2378</v>
      </c>
      <c r="H1064" s="3" t="s">
        <v>2379</v>
      </c>
      <c r="I1064" s="4">
        <v>2136.5500000000002</v>
      </c>
      <c r="J1064" s="3" t="s">
        <v>11</v>
      </c>
      <c r="K1064" t="e">
        <f>MATCH(A1064,Database!$A$2:$A$948,0)</f>
        <v>#N/A</v>
      </c>
      <c r="L1064" t="e">
        <f>VLOOKUP(A1064,Database!$A$2:$I$948,4,0)</f>
        <v>#N/A</v>
      </c>
      <c r="M1064" t="e">
        <f t="shared" si="35"/>
        <v>#N/A</v>
      </c>
      <c r="N1064" t="e">
        <f>VLOOKUP(A1064,Database!$A$2:$I$948,5,0)</f>
        <v>#N/A</v>
      </c>
    </row>
    <row r="1065" spans="1:14" hidden="1" x14ac:dyDescent="0.35">
      <c r="A1065" s="3">
        <v>103406662</v>
      </c>
      <c r="B1065" s="3" t="s">
        <v>2380</v>
      </c>
      <c r="C1065" s="3" t="str">
        <f t="shared" si="34"/>
        <v>2022-07-06</v>
      </c>
      <c r="D1065" s="3" t="s">
        <v>9</v>
      </c>
      <c r="E1065" s="3" t="s">
        <v>5</v>
      </c>
      <c r="F1065" s="3" t="s">
        <v>10</v>
      </c>
      <c r="G1065" s="3" t="s">
        <v>2381</v>
      </c>
      <c r="H1065" s="3" t="s">
        <v>2382</v>
      </c>
      <c r="I1065" s="5">
        <v>3599</v>
      </c>
      <c r="J1065" s="3" t="s">
        <v>11</v>
      </c>
      <c r="K1065" t="e">
        <f>MATCH(A1065,Database!$A$2:$A$948,0)</f>
        <v>#N/A</v>
      </c>
      <c r="L1065" t="e">
        <f>VLOOKUP(A1065,Database!$A$2:$I$948,4,0)</f>
        <v>#N/A</v>
      </c>
      <c r="M1065" t="e">
        <f t="shared" si="35"/>
        <v>#N/A</v>
      </c>
      <c r="N1065" t="e">
        <f>VLOOKUP(A1065,Database!$A$2:$I$948,5,0)</f>
        <v>#N/A</v>
      </c>
    </row>
    <row r="1066" spans="1:14" hidden="1" x14ac:dyDescent="0.35">
      <c r="A1066" s="3">
        <v>103406659</v>
      </c>
      <c r="B1066" s="3" t="s">
        <v>2383</v>
      </c>
      <c r="C1066" s="3" t="str">
        <f t="shared" si="34"/>
        <v>2022-07-06</v>
      </c>
      <c r="D1066" s="3" t="s">
        <v>9</v>
      </c>
      <c r="E1066" s="3" t="s">
        <v>5</v>
      </c>
      <c r="F1066" s="3" t="s">
        <v>10</v>
      </c>
      <c r="G1066" s="3" t="s">
        <v>2384</v>
      </c>
      <c r="H1066" s="3" t="s">
        <v>2385</v>
      </c>
      <c r="I1066" s="5">
        <v>3816</v>
      </c>
      <c r="J1066" s="3" t="s">
        <v>11</v>
      </c>
      <c r="K1066" t="e">
        <f>MATCH(A1066,Database!$A$2:$A$948,0)</f>
        <v>#N/A</v>
      </c>
      <c r="L1066" t="e">
        <f>VLOOKUP(A1066,Database!$A$2:$I$948,4,0)</f>
        <v>#N/A</v>
      </c>
      <c r="M1066" t="e">
        <f t="shared" si="35"/>
        <v>#N/A</v>
      </c>
      <c r="N1066" t="e">
        <f>VLOOKUP(A1066,Database!$A$2:$I$948,5,0)</f>
        <v>#N/A</v>
      </c>
    </row>
    <row r="1067" spans="1:14" hidden="1" x14ac:dyDescent="0.35">
      <c r="A1067" s="3">
        <v>103406708</v>
      </c>
      <c r="B1067" s="3" t="s">
        <v>2386</v>
      </c>
      <c r="C1067" s="3" t="str">
        <f t="shared" si="34"/>
        <v>2022-07-06</v>
      </c>
      <c r="D1067" s="3" t="s">
        <v>9</v>
      </c>
      <c r="E1067" s="3" t="s">
        <v>5</v>
      </c>
      <c r="F1067" s="3" t="s">
        <v>10</v>
      </c>
      <c r="G1067" s="3" t="s">
        <v>2387</v>
      </c>
      <c r="H1067" s="3" t="s">
        <v>2388</v>
      </c>
      <c r="I1067" s="4">
        <v>2089.0500000000002</v>
      </c>
      <c r="J1067" s="3" t="s">
        <v>11</v>
      </c>
      <c r="K1067" t="e">
        <f>MATCH(A1067,Database!$A$2:$A$948,0)</f>
        <v>#N/A</v>
      </c>
      <c r="L1067" t="e">
        <f>VLOOKUP(A1067,Database!$A$2:$I$948,4,0)</f>
        <v>#N/A</v>
      </c>
      <c r="M1067" t="e">
        <f t="shared" si="35"/>
        <v>#N/A</v>
      </c>
      <c r="N1067" t="e">
        <f>VLOOKUP(A1067,Database!$A$2:$I$948,5,0)</f>
        <v>#N/A</v>
      </c>
    </row>
    <row r="1068" spans="1:14" hidden="1" x14ac:dyDescent="0.35">
      <c r="A1068" s="3">
        <v>103406704</v>
      </c>
      <c r="B1068" s="3" t="s">
        <v>2389</v>
      </c>
      <c r="C1068" s="3" t="str">
        <f t="shared" si="34"/>
        <v>2022-07-06</v>
      </c>
      <c r="D1068" s="3" t="s">
        <v>9</v>
      </c>
      <c r="E1068" s="3" t="s">
        <v>5</v>
      </c>
      <c r="F1068" s="3" t="s">
        <v>10</v>
      </c>
      <c r="G1068" s="3" t="s">
        <v>2390</v>
      </c>
      <c r="H1068" s="3" t="s">
        <v>2391</v>
      </c>
      <c r="I1068" s="5">
        <v>4999</v>
      </c>
      <c r="J1068" s="3" t="s">
        <v>11</v>
      </c>
      <c r="K1068" t="e">
        <f>MATCH(A1068,Database!$A$2:$A$948,0)</f>
        <v>#N/A</v>
      </c>
      <c r="L1068" t="e">
        <f>VLOOKUP(A1068,Database!$A$2:$I$948,4,0)</f>
        <v>#N/A</v>
      </c>
      <c r="M1068" t="e">
        <f t="shared" si="35"/>
        <v>#N/A</v>
      </c>
      <c r="N1068" t="e">
        <f>VLOOKUP(A1068,Database!$A$2:$I$948,5,0)</f>
        <v>#N/A</v>
      </c>
    </row>
    <row r="1069" spans="1:14" hidden="1" x14ac:dyDescent="0.35">
      <c r="A1069" s="3">
        <v>103406701</v>
      </c>
      <c r="B1069" s="3" t="s">
        <v>2392</v>
      </c>
      <c r="C1069" s="3" t="str">
        <f t="shared" si="34"/>
        <v>2022-07-06</v>
      </c>
      <c r="D1069" s="3" t="s">
        <v>9</v>
      </c>
      <c r="E1069" s="3" t="s">
        <v>5</v>
      </c>
      <c r="F1069" s="3" t="s">
        <v>10</v>
      </c>
      <c r="G1069" s="3" t="s">
        <v>2393</v>
      </c>
      <c r="H1069" s="3" t="s">
        <v>2394</v>
      </c>
      <c r="I1069" s="5">
        <v>1199</v>
      </c>
      <c r="J1069" s="3" t="s">
        <v>11</v>
      </c>
      <c r="K1069" t="e">
        <f>MATCH(A1069,Database!$A$2:$A$948,0)</f>
        <v>#N/A</v>
      </c>
      <c r="L1069" t="e">
        <f>VLOOKUP(A1069,Database!$A$2:$I$948,4,0)</f>
        <v>#N/A</v>
      </c>
      <c r="M1069" t="e">
        <f t="shared" si="35"/>
        <v>#N/A</v>
      </c>
      <c r="N1069" t="e">
        <f>VLOOKUP(A1069,Database!$A$2:$I$948,5,0)</f>
        <v>#N/A</v>
      </c>
    </row>
    <row r="1070" spans="1:14" hidden="1" x14ac:dyDescent="0.35">
      <c r="A1070" s="3">
        <v>103406695</v>
      </c>
      <c r="B1070" s="3" t="s">
        <v>2395</v>
      </c>
      <c r="C1070" s="3" t="str">
        <f t="shared" si="34"/>
        <v>2022-07-06</v>
      </c>
      <c r="D1070" s="3" t="s">
        <v>9</v>
      </c>
      <c r="E1070" s="3" t="s">
        <v>5</v>
      </c>
      <c r="F1070" s="3" t="s">
        <v>10</v>
      </c>
      <c r="G1070" s="3" t="s">
        <v>2396</v>
      </c>
      <c r="H1070" s="3" t="s">
        <v>2397</v>
      </c>
      <c r="I1070" s="3">
        <v>489</v>
      </c>
      <c r="J1070" s="3" t="s">
        <v>11</v>
      </c>
      <c r="K1070" t="e">
        <f>MATCH(A1070,Database!$A$2:$A$948,0)</f>
        <v>#N/A</v>
      </c>
      <c r="L1070" t="e">
        <f>VLOOKUP(A1070,Database!$A$2:$I$948,4,0)</f>
        <v>#N/A</v>
      </c>
      <c r="M1070" t="e">
        <f t="shared" si="35"/>
        <v>#N/A</v>
      </c>
      <c r="N1070" t="e">
        <f>VLOOKUP(A1070,Database!$A$2:$I$948,5,0)</f>
        <v>#N/A</v>
      </c>
    </row>
    <row r="1071" spans="1:14" hidden="1" x14ac:dyDescent="0.35">
      <c r="A1071" s="3">
        <v>103406693</v>
      </c>
      <c r="B1071" s="3" t="s">
        <v>2398</v>
      </c>
      <c r="C1071" s="3" t="str">
        <f t="shared" si="34"/>
        <v>2022-07-06</v>
      </c>
      <c r="D1071" s="3" t="s">
        <v>9</v>
      </c>
      <c r="E1071" s="3" t="s">
        <v>5</v>
      </c>
      <c r="F1071" s="3" t="s">
        <v>10</v>
      </c>
      <c r="G1071" s="3" t="s">
        <v>2399</v>
      </c>
      <c r="H1071" s="3" t="s">
        <v>2400</v>
      </c>
      <c r="I1071" s="5">
        <v>2449</v>
      </c>
      <c r="J1071" s="3" t="s">
        <v>11</v>
      </c>
      <c r="K1071" t="e">
        <f>MATCH(A1071,Database!$A$2:$A$948,0)</f>
        <v>#N/A</v>
      </c>
      <c r="L1071" t="e">
        <f>VLOOKUP(A1071,Database!$A$2:$I$948,4,0)</f>
        <v>#N/A</v>
      </c>
      <c r="M1071" t="e">
        <f t="shared" si="35"/>
        <v>#N/A</v>
      </c>
      <c r="N1071" t="e">
        <f>VLOOKUP(A1071,Database!$A$2:$I$948,5,0)</f>
        <v>#N/A</v>
      </c>
    </row>
    <row r="1072" spans="1:14" hidden="1" x14ac:dyDescent="0.35">
      <c r="A1072" s="3">
        <v>103406641</v>
      </c>
      <c r="B1072" s="3" t="s">
        <v>2401</v>
      </c>
      <c r="C1072" s="3" t="str">
        <f t="shared" si="34"/>
        <v>2022-07-06</v>
      </c>
      <c r="D1072" s="3" t="s">
        <v>9</v>
      </c>
      <c r="E1072" s="3" t="s">
        <v>5</v>
      </c>
      <c r="F1072" s="3" t="s">
        <v>10</v>
      </c>
      <c r="G1072" s="3" t="s">
        <v>2402</v>
      </c>
      <c r="H1072" s="3" t="s">
        <v>2403</v>
      </c>
      <c r="I1072" s="3">
        <v>599</v>
      </c>
      <c r="J1072" s="3" t="s">
        <v>11</v>
      </c>
      <c r="K1072" t="e">
        <f>MATCH(A1072,Database!$A$2:$A$948,0)</f>
        <v>#N/A</v>
      </c>
      <c r="L1072" t="e">
        <f>VLOOKUP(A1072,Database!$A$2:$I$948,4,0)</f>
        <v>#N/A</v>
      </c>
      <c r="M1072" t="e">
        <f t="shared" si="35"/>
        <v>#N/A</v>
      </c>
      <c r="N1072" t="e">
        <f>VLOOKUP(A1072,Database!$A$2:$I$948,5,0)</f>
        <v>#N/A</v>
      </c>
    </row>
    <row r="1073" spans="1:14" hidden="1" x14ac:dyDescent="0.35">
      <c r="A1073" s="3">
        <v>103406684</v>
      </c>
      <c r="B1073" s="3" t="s">
        <v>2404</v>
      </c>
      <c r="C1073" s="3" t="str">
        <f t="shared" si="34"/>
        <v>2022-07-06</v>
      </c>
      <c r="D1073" s="3" t="s">
        <v>9</v>
      </c>
      <c r="E1073" s="3" t="s">
        <v>5</v>
      </c>
      <c r="F1073" s="3" t="s">
        <v>10</v>
      </c>
      <c r="G1073" s="3" t="s">
        <v>2405</v>
      </c>
      <c r="H1073" s="3" t="s">
        <v>2406</v>
      </c>
      <c r="I1073" s="3">
        <v>419</v>
      </c>
      <c r="J1073" s="3" t="s">
        <v>11</v>
      </c>
      <c r="K1073" t="e">
        <f>MATCH(A1073,Database!$A$2:$A$948,0)</f>
        <v>#N/A</v>
      </c>
      <c r="L1073" t="e">
        <f>VLOOKUP(A1073,Database!$A$2:$I$948,4,0)</f>
        <v>#N/A</v>
      </c>
      <c r="M1073" t="e">
        <f t="shared" si="35"/>
        <v>#N/A</v>
      </c>
      <c r="N1073" t="e">
        <f>VLOOKUP(A1073,Database!$A$2:$I$948,5,0)</f>
        <v>#N/A</v>
      </c>
    </row>
    <row r="1074" spans="1:14" hidden="1" x14ac:dyDescent="0.35">
      <c r="A1074" s="3">
        <v>103406671</v>
      </c>
      <c r="B1074" s="3" t="s">
        <v>2407</v>
      </c>
      <c r="C1074" s="3" t="str">
        <f t="shared" si="34"/>
        <v>2022-07-06</v>
      </c>
      <c r="D1074" s="3" t="s">
        <v>9</v>
      </c>
      <c r="E1074" s="3" t="s">
        <v>5</v>
      </c>
      <c r="F1074" s="3" t="s">
        <v>10</v>
      </c>
      <c r="G1074" s="3" t="s">
        <v>2408</v>
      </c>
      <c r="H1074" s="3" t="s">
        <v>2409</v>
      </c>
      <c r="I1074" s="4">
        <v>1110.55</v>
      </c>
      <c r="J1074" s="3" t="s">
        <v>11</v>
      </c>
      <c r="K1074" t="e">
        <f>MATCH(A1074,Database!$A$2:$A$948,0)</f>
        <v>#N/A</v>
      </c>
      <c r="L1074" t="e">
        <f>VLOOKUP(A1074,Database!$A$2:$I$948,4,0)</f>
        <v>#N/A</v>
      </c>
      <c r="M1074" t="e">
        <f t="shared" si="35"/>
        <v>#N/A</v>
      </c>
      <c r="N1074" t="e">
        <f>VLOOKUP(A1074,Database!$A$2:$I$948,5,0)</f>
        <v>#N/A</v>
      </c>
    </row>
    <row r="1075" spans="1:14" hidden="1" x14ac:dyDescent="0.35">
      <c r="A1075" s="3">
        <v>103406627</v>
      </c>
      <c r="B1075" s="3" t="s">
        <v>2410</v>
      </c>
      <c r="C1075" s="3" t="str">
        <f t="shared" si="34"/>
        <v>2022-07-06</v>
      </c>
      <c r="D1075" s="3" t="s">
        <v>9</v>
      </c>
      <c r="E1075" s="3" t="s">
        <v>5</v>
      </c>
      <c r="F1075" s="3" t="s">
        <v>10</v>
      </c>
      <c r="G1075" s="3" t="s">
        <v>2411</v>
      </c>
      <c r="H1075" s="3" t="s">
        <v>2412</v>
      </c>
      <c r="I1075" s="4">
        <v>1251.1500000000001</v>
      </c>
      <c r="J1075" s="3" t="s">
        <v>11</v>
      </c>
      <c r="K1075" t="e">
        <f>MATCH(A1075,Database!$A$2:$A$948,0)</f>
        <v>#N/A</v>
      </c>
      <c r="L1075" t="e">
        <f>VLOOKUP(A1075,Database!$A$2:$I$948,4,0)</f>
        <v>#N/A</v>
      </c>
      <c r="M1075" t="e">
        <f t="shared" si="35"/>
        <v>#N/A</v>
      </c>
      <c r="N1075" t="e">
        <f>VLOOKUP(A1075,Database!$A$2:$I$948,5,0)</f>
        <v>#N/A</v>
      </c>
    </row>
    <row r="1076" spans="1:14" hidden="1" x14ac:dyDescent="0.35">
      <c r="A1076" s="3">
        <v>103406666</v>
      </c>
      <c r="B1076" s="3" t="s">
        <v>2413</v>
      </c>
      <c r="C1076" s="3" t="str">
        <f t="shared" si="34"/>
        <v>2022-07-06</v>
      </c>
      <c r="D1076" s="3" t="s">
        <v>9</v>
      </c>
      <c r="E1076" s="3" t="s">
        <v>5</v>
      </c>
      <c r="F1076" s="3" t="s">
        <v>10</v>
      </c>
      <c r="G1076" s="3" t="s">
        <v>2414</v>
      </c>
      <c r="H1076" s="3" t="s">
        <v>2415</v>
      </c>
      <c r="I1076" s="4">
        <v>1217.47</v>
      </c>
      <c r="J1076" s="3" t="s">
        <v>11</v>
      </c>
      <c r="K1076" t="e">
        <f>MATCH(A1076,Database!$A$2:$A$948,0)</f>
        <v>#N/A</v>
      </c>
      <c r="L1076" t="e">
        <f>VLOOKUP(A1076,Database!$A$2:$I$948,4,0)</f>
        <v>#N/A</v>
      </c>
      <c r="M1076" t="e">
        <f t="shared" si="35"/>
        <v>#N/A</v>
      </c>
      <c r="N1076" t="e">
        <f>VLOOKUP(A1076,Database!$A$2:$I$948,5,0)</f>
        <v>#N/A</v>
      </c>
    </row>
    <row r="1077" spans="1:14" hidden="1" x14ac:dyDescent="0.35">
      <c r="A1077" s="3">
        <v>103406615</v>
      </c>
      <c r="B1077" s="3" t="s">
        <v>2416</v>
      </c>
      <c r="C1077" s="3" t="str">
        <f t="shared" si="34"/>
        <v>2022-07-06</v>
      </c>
      <c r="D1077" s="3" t="s">
        <v>9</v>
      </c>
      <c r="E1077" s="3" t="s">
        <v>5</v>
      </c>
      <c r="F1077" s="3" t="s">
        <v>10</v>
      </c>
      <c r="G1077" s="3" t="s">
        <v>2214</v>
      </c>
      <c r="H1077" s="3" t="s">
        <v>2215</v>
      </c>
      <c r="I1077" s="4">
        <v>2849.05</v>
      </c>
      <c r="J1077" s="3" t="s">
        <v>11</v>
      </c>
      <c r="K1077" t="e">
        <f>MATCH(A1077,Database!$A$2:$A$948,0)</f>
        <v>#N/A</v>
      </c>
      <c r="L1077" t="e">
        <f>VLOOKUP(A1077,Database!$A$2:$I$948,4,0)</f>
        <v>#N/A</v>
      </c>
      <c r="M1077" t="e">
        <f t="shared" si="35"/>
        <v>#N/A</v>
      </c>
      <c r="N1077" t="e">
        <f>VLOOKUP(A1077,Database!$A$2:$I$948,5,0)</f>
        <v>#N/A</v>
      </c>
    </row>
    <row r="1078" spans="1:14" hidden="1" x14ac:dyDescent="0.35">
      <c r="A1078" s="3">
        <v>103406613</v>
      </c>
      <c r="B1078" s="3" t="s">
        <v>2417</v>
      </c>
      <c r="C1078" s="3" t="str">
        <f t="shared" si="34"/>
        <v>2022-07-06</v>
      </c>
      <c r="D1078" s="3" t="s">
        <v>9</v>
      </c>
      <c r="E1078" s="3" t="s">
        <v>5</v>
      </c>
      <c r="F1078" s="3" t="s">
        <v>10</v>
      </c>
      <c r="G1078" s="3" t="s">
        <v>2418</v>
      </c>
      <c r="H1078" s="3" t="s">
        <v>2419</v>
      </c>
      <c r="I1078" s="5">
        <v>2399</v>
      </c>
      <c r="J1078" s="3" t="s">
        <v>11</v>
      </c>
      <c r="K1078" t="e">
        <f>MATCH(A1078,Database!$A$2:$A$948,0)</f>
        <v>#N/A</v>
      </c>
      <c r="L1078" t="e">
        <f>VLOOKUP(A1078,Database!$A$2:$I$948,4,0)</f>
        <v>#N/A</v>
      </c>
      <c r="M1078" t="e">
        <f t="shared" si="35"/>
        <v>#N/A</v>
      </c>
      <c r="N1078" t="e">
        <f>VLOOKUP(A1078,Database!$A$2:$I$948,5,0)</f>
        <v>#N/A</v>
      </c>
    </row>
    <row r="1079" spans="1:14" hidden="1" x14ac:dyDescent="0.35">
      <c r="A1079" s="3">
        <v>103406563</v>
      </c>
      <c r="B1079" s="3" t="s">
        <v>2420</v>
      </c>
      <c r="C1079" s="3" t="str">
        <f t="shared" si="34"/>
        <v>2022-07-06</v>
      </c>
      <c r="D1079" s="3" t="s">
        <v>9</v>
      </c>
      <c r="E1079" s="3" t="s">
        <v>5</v>
      </c>
      <c r="F1079" s="3" t="s">
        <v>10</v>
      </c>
      <c r="G1079" s="3" t="s">
        <v>2421</v>
      </c>
      <c r="H1079" s="3" t="s">
        <v>2422</v>
      </c>
      <c r="I1079" s="5">
        <v>3849</v>
      </c>
      <c r="J1079" s="3" t="s">
        <v>11</v>
      </c>
      <c r="K1079" t="e">
        <f>MATCH(A1079,Database!$A$2:$A$948,0)</f>
        <v>#N/A</v>
      </c>
      <c r="L1079" t="e">
        <f>VLOOKUP(A1079,Database!$A$2:$I$948,4,0)</f>
        <v>#N/A</v>
      </c>
      <c r="M1079" t="e">
        <f t="shared" si="35"/>
        <v>#N/A</v>
      </c>
      <c r="N1079" t="e">
        <f>VLOOKUP(A1079,Database!$A$2:$I$948,5,0)</f>
        <v>#N/A</v>
      </c>
    </row>
    <row r="1080" spans="1:14" hidden="1" x14ac:dyDescent="0.35">
      <c r="A1080" s="3">
        <v>103406557</v>
      </c>
      <c r="B1080" s="3" t="s">
        <v>2423</v>
      </c>
      <c r="C1080" s="3" t="str">
        <f t="shared" si="34"/>
        <v>2022-07-06</v>
      </c>
      <c r="D1080" s="3" t="s">
        <v>9</v>
      </c>
      <c r="E1080" s="3" t="s">
        <v>5</v>
      </c>
      <c r="F1080" s="3" t="s">
        <v>12</v>
      </c>
      <c r="G1080" s="3" t="s">
        <v>2424</v>
      </c>
      <c r="H1080" s="3" t="s">
        <v>2425</v>
      </c>
      <c r="I1080" s="5">
        <v>1999</v>
      </c>
      <c r="J1080" s="3" t="s">
        <v>11</v>
      </c>
      <c r="K1080" t="e">
        <f>MATCH(A1080,Database!$A$2:$A$948,0)</f>
        <v>#N/A</v>
      </c>
      <c r="L1080" t="e">
        <f>VLOOKUP(A1080,Database!$A$2:$I$948,4,0)</f>
        <v>#N/A</v>
      </c>
      <c r="M1080" t="e">
        <f t="shared" si="35"/>
        <v>#N/A</v>
      </c>
      <c r="N1080" t="e">
        <f>VLOOKUP(A1080,Database!$A$2:$I$948,5,0)</f>
        <v>#N/A</v>
      </c>
    </row>
    <row r="1081" spans="1:14" hidden="1" x14ac:dyDescent="0.35">
      <c r="A1081" s="3">
        <v>103406606</v>
      </c>
      <c r="B1081" s="3" t="s">
        <v>2426</v>
      </c>
      <c r="C1081" s="3" t="str">
        <f t="shared" si="34"/>
        <v>2022-07-06</v>
      </c>
      <c r="D1081" s="3" t="s">
        <v>9</v>
      </c>
      <c r="E1081" s="3" t="s">
        <v>5</v>
      </c>
      <c r="F1081" s="3" t="s">
        <v>10</v>
      </c>
      <c r="G1081" s="3" t="s">
        <v>2427</v>
      </c>
      <c r="H1081" s="3" t="s">
        <v>2428</v>
      </c>
      <c r="I1081" s="5">
        <v>2599</v>
      </c>
      <c r="J1081" s="3" t="s">
        <v>11</v>
      </c>
      <c r="K1081" t="e">
        <f>MATCH(A1081,Database!$A$2:$A$948,0)</f>
        <v>#N/A</v>
      </c>
      <c r="L1081" t="e">
        <f>VLOOKUP(A1081,Database!$A$2:$I$948,4,0)</f>
        <v>#N/A</v>
      </c>
      <c r="M1081" t="e">
        <f t="shared" si="35"/>
        <v>#N/A</v>
      </c>
      <c r="N1081" t="e">
        <f>VLOOKUP(A1081,Database!$A$2:$I$948,5,0)</f>
        <v>#N/A</v>
      </c>
    </row>
    <row r="1082" spans="1:14" hidden="1" x14ac:dyDescent="0.35">
      <c r="A1082" s="3">
        <v>103406605</v>
      </c>
      <c r="B1082" s="3" t="s">
        <v>4788</v>
      </c>
      <c r="C1082" s="3" t="str">
        <f t="shared" si="34"/>
        <v>2022-07-06</v>
      </c>
      <c r="D1082" s="3" t="s">
        <v>9</v>
      </c>
      <c r="E1082" s="3" t="s">
        <v>5</v>
      </c>
      <c r="F1082" s="3" t="s">
        <v>10</v>
      </c>
      <c r="G1082" s="3" t="s">
        <v>4789</v>
      </c>
      <c r="H1082" s="3" t="s">
        <v>4790</v>
      </c>
      <c r="I1082" s="4">
        <v>1196.05</v>
      </c>
      <c r="J1082" s="3" t="s">
        <v>13</v>
      </c>
      <c r="K1082">
        <f>MATCH(A1082,Database!$A$2:$A$948,0)</f>
        <v>19</v>
      </c>
      <c r="L1082">
        <f>VLOOKUP(A1082,Database!$A$2:$I$948,4,0)</f>
        <v>1196.05</v>
      </c>
      <c r="M1082" t="b">
        <f t="shared" si="35"/>
        <v>1</v>
      </c>
      <c r="N1082">
        <f>VLOOKUP(A1082,Database!$A$2:$I$948,5,0)</f>
        <v>1</v>
      </c>
    </row>
    <row r="1083" spans="1:14" hidden="1" x14ac:dyDescent="0.35">
      <c r="A1083" s="3">
        <v>103406603</v>
      </c>
      <c r="B1083" s="3" t="s">
        <v>2429</v>
      </c>
      <c r="C1083" s="3" t="str">
        <f t="shared" si="34"/>
        <v>2022-07-06</v>
      </c>
      <c r="D1083" s="3" t="s">
        <v>9</v>
      </c>
      <c r="E1083" s="3" t="s">
        <v>5</v>
      </c>
      <c r="F1083" s="3" t="s">
        <v>10</v>
      </c>
      <c r="G1083" s="3" t="s">
        <v>2430</v>
      </c>
      <c r="H1083" s="3" t="s">
        <v>2431</v>
      </c>
      <c r="I1083" s="3">
        <v>531.04999999999995</v>
      </c>
      <c r="J1083" s="3" t="s">
        <v>11</v>
      </c>
      <c r="K1083" t="e">
        <f>MATCH(A1083,Database!$A$2:$A$948,0)</f>
        <v>#N/A</v>
      </c>
      <c r="L1083" t="e">
        <f>VLOOKUP(A1083,Database!$A$2:$I$948,4,0)</f>
        <v>#N/A</v>
      </c>
      <c r="M1083" t="e">
        <f t="shared" si="35"/>
        <v>#N/A</v>
      </c>
      <c r="N1083" t="e">
        <f>VLOOKUP(A1083,Database!$A$2:$I$948,5,0)</f>
        <v>#N/A</v>
      </c>
    </row>
    <row r="1084" spans="1:14" hidden="1" x14ac:dyDescent="0.35">
      <c r="A1084" s="3">
        <v>103406539</v>
      </c>
      <c r="B1084" s="3" t="s">
        <v>2432</v>
      </c>
      <c r="C1084" s="3" t="str">
        <f t="shared" si="34"/>
        <v>2022-07-06</v>
      </c>
      <c r="D1084" s="3" t="s">
        <v>9</v>
      </c>
      <c r="E1084" s="3" t="s">
        <v>5</v>
      </c>
      <c r="F1084" s="3" t="s">
        <v>10</v>
      </c>
      <c r="G1084" s="3" t="s">
        <v>2433</v>
      </c>
      <c r="H1084" s="3" t="s">
        <v>2434</v>
      </c>
      <c r="I1084" s="5">
        <v>1499</v>
      </c>
      <c r="J1084" s="3" t="s">
        <v>11</v>
      </c>
      <c r="K1084" t="e">
        <f>MATCH(A1084,Database!$A$2:$A$948,0)</f>
        <v>#N/A</v>
      </c>
      <c r="L1084" t="e">
        <f>VLOOKUP(A1084,Database!$A$2:$I$948,4,0)</f>
        <v>#N/A</v>
      </c>
      <c r="M1084" t="e">
        <f t="shared" si="35"/>
        <v>#N/A</v>
      </c>
      <c r="N1084" t="e">
        <f>VLOOKUP(A1084,Database!$A$2:$I$948,5,0)</f>
        <v>#N/A</v>
      </c>
    </row>
    <row r="1085" spans="1:14" hidden="1" x14ac:dyDescent="0.35">
      <c r="A1085" s="3">
        <v>103406601</v>
      </c>
      <c r="B1085" s="3" t="s">
        <v>2435</v>
      </c>
      <c r="C1085" s="3" t="str">
        <f t="shared" si="34"/>
        <v>2022-07-06</v>
      </c>
      <c r="D1085" s="3" t="s">
        <v>9</v>
      </c>
      <c r="E1085" s="3" t="s">
        <v>5</v>
      </c>
      <c r="F1085" s="3" t="s">
        <v>10</v>
      </c>
      <c r="G1085" s="3" t="s">
        <v>2436</v>
      </c>
      <c r="H1085" s="3" t="s">
        <v>2437</v>
      </c>
      <c r="I1085" s="5">
        <v>1399</v>
      </c>
      <c r="J1085" s="3" t="s">
        <v>11</v>
      </c>
      <c r="K1085" t="e">
        <f>MATCH(A1085,Database!$A$2:$A$948,0)</f>
        <v>#N/A</v>
      </c>
      <c r="L1085" t="e">
        <f>VLOOKUP(A1085,Database!$A$2:$I$948,4,0)</f>
        <v>#N/A</v>
      </c>
      <c r="M1085" t="e">
        <f t="shared" si="35"/>
        <v>#N/A</v>
      </c>
      <c r="N1085" t="e">
        <f>VLOOKUP(A1085,Database!$A$2:$I$948,5,0)</f>
        <v>#N/A</v>
      </c>
    </row>
    <row r="1086" spans="1:14" hidden="1" x14ac:dyDescent="0.35">
      <c r="A1086" s="3">
        <v>103406535</v>
      </c>
      <c r="B1086" s="3" t="s">
        <v>2438</v>
      </c>
      <c r="C1086" s="3" t="str">
        <f t="shared" si="34"/>
        <v>2022-07-06</v>
      </c>
      <c r="D1086" s="3" t="s">
        <v>9</v>
      </c>
      <c r="E1086" s="3" t="s">
        <v>5</v>
      </c>
      <c r="F1086" s="3" t="s">
        <v>10</v>
      </c>
      <c r="G1086" s="3" t="s">
        <v>2439</v>
      </c>
      <c r="H1086" s="3" t="s">
        <v>2440</v>
      </c>
      <c r="I1086" s="4">
        <v>3656.55</v>
      </c>
      <c r="J1086" s="3" t="s">
        <v>11</v>
      </c>
      <c r="K1086" t="e">
        <f>MATCH(A1086,Database!$A$2:$A$948,0)</f>
        <v>#N/A</v>
      </c>
      <c r="L1086" t="e">
        <f>VLOOKUP(A1086,Database!$A$2:$I$948,4,0)</f>
        <v>#N/A</v>
      </c>
      <c r="M1086" t="e">
        <f t="shared" si="35"/>
        <v>#N/A</v>
      </c>
      <c r="N1086" t="e">
        <f>VLOOKUP(A1086,Database!$A$2:$I$948,5,0)</f>
        <v>#N/A</v>
      </c>
    </row>
    <row r="1087" spans="1:14" hidden="1" x14ac:dyDescent="0.35">
      <c r="A1087" s="3">
        <v>103406531</v>
      </c>
      <c r="B1087" s="3" t="s">
        <v>2441</v>
      </c>
      <c r="C1087" s="3" t="str">
        <f t="shared" si="34"/>
        <v>2022-07-06</v>
      </c>
      <c r="D1087" s="3" t="s">
        <v>9</v>
      </c>
      <c r="E1087" s="3" t="s">
        <v>5</v>
      </c>
      <c r="F1087" s="3" t="s">
        <v>10</v>
      </c>
      <c r="G1087" s="3" t="s">
        <v>2442</v>
      </c>
      <c r="H1087" s="3" t="s">
        <v>2443</v>
      </c>
      <c r="I1087" s="4">
        <v>14246.2</v>
      </c>
      <c r="J1087" s="3" t="s">
        <v>11</v>
      </c>
      <c r="K1087" t="e">
        <f>MATCH(A1087,Database!$A$2:$A$948,0)</f>
        <v>#N/A</v>
      </c>
      <c r="L1087" t="e">
        <f>VLOOKUP(A1087,Database!$A$2:$I$948,4,0)</f>
        <v>#N/A</v>
      </c>
      <c r="M1087" t="e">
        <f t="shared" si="35"/>
        <v>#N/A</v>
      </c>
      <c r="N1087" t="e">
        <f>VLOOKUP(A1087,Database!$A$2:$I$948,5,0)</f>
        <v>#N/A</v>
      </c>
    </row>
    <row r="1088" spans="1:14" hidden="1" x14ac:dyDescent="0.35">
      <c r="A1088" s="3">
        <v>103406529</v>
      </c>
      <c r="B1088" s="3" t="s">
        <v>2444</v>
      </c>
      <c r="C1088" s="3" t="str">
        <f t="shared" si="34"/>
        <v>2022-07-06</v>
      </c>
      <c r="D1088" s="3" t="s">
        <v>9</v>
      </c>
      <c r="E1088" s="3" t="s">
        <v>5</v>
      </c>
      <c r="F1088" s="3" t="s">
        <v>10</v>
      </c>
      <c r="G1088" s="3" t="s">
        <v>2445</v>
      </c>
      <c r="H1088" s="3" t="s">
        <v>2446</v>
      </c>
      <c r="I1088" s="4">
        <v>1281.6400000000001</v>
      </c>
      <c r="J1088" s="3" t="s">
        <v>11</v>
      </c>
      <c r="K1088" t="e">
        <f>MATCH(A1088,Database!$A$2:$A$948,0)</f>
        <v>#N/A</v>
      </c>
      <c r="L1088" t="e">
        <f>VLOOKUP(A1088,Database!$A$2:$I$948,4,0)</f>
        <v>#N/A</v>
      </c>
      <c r="M1088" t="e">
        <f t="shared" si="35"/>
        <v>#N/A</v>
      </c>
      <c r="N1088" t="e">
        <f>VLOOKUP(A1088,Database!$A$2:$I$948,5,0)</f>
        <v>#N/A</v>
      </c>
    </row>
    <row r="1089" spans="1:14" hidden="1" x14ac:dyDescent="0.35">
      <c r="A1089" s="3">
        <v>103406526</v>
      </c>
      <c r="B1089" s="3" t="s">
        <v>2447</v>
      </c>
      <c r="C1089" s="3" t="str">
        <f t="shared" si="34"/>
        <v>2022-07-06</v>
      </c>
      <c r="D1089" s="3" t="s">
        <v>9</v>
      </c>
      <c r="E1089" s="3" t="s">
        <v>5</v>
      </c>
      <c r="F1089" s="3" t="s">
        <v>10</v>
      </c>
      <c r="G1089" s="3" t="s">
        <v>2448</v>
      </c>
      <c r="H1089" s="3" t="s">
        <v>2449</v>
      </c>
      <c r="I1089" s="5">
        <v>2398</v>
      </c>
      <c r="J1089" s="3" t="s">
        <v>11</v>
      </c>
      <c r="K1089" t="e">
        <f>MATCH(A1089,Database!$A$2:$A$948,0)</f>
        <v>#N/A</v>
      </c>
      <c r="L1089" t="e">
        <f>VLOOKUP(A1089,Database!$A$2:$I$948,4,0)</f>
        <v>#N/A</v>
      </c>
      <c r="M1089" t="e">
        <f t="shared" si="35"/>
        <v>#N/A</v>
      </c>
      <c r="N1089" t="e">
        <f>VLOOKUP(A1089,Database!$A$2:$I$948,5,0)</f>
        <v>#N/A</v>
      </c>
    </row>
    <row r="1090" spans="1:14" hidden="1" x14ac:dyDescent="0.35">
      <c r="A1090" s="3">
        <v>103406523</v>
      </c>
      <c r="B1090" s="3" t="s">
        <v>2450</v>
      </c>
      <c r="C1090" s="3" t="str">
        <f t="shared" si="34"/>
        <v>2022-07-06</v>
      </c>
      <c r="D1090" s="3" t="s">
        <v>9</v>
      </c>
      <c r="E1090" s="3" t="s">
        <v>5</v>
      </c>
      <c r="F1090" s="3" t="s">
        <v>10</v>
      </c>
      <c r="G1090" s="3" t="s">
        <v>2451</v>
      </c>
      <c r="H1090" s="3" t="s">
        <v>2452</v>
      </c>
      <c r="I1090" s="4">
        <v>1651.1</v>
      </c>
      <c r="J1090" s="3" t="s">
        <v>11</v>
      </c>
      <c r="K1090" t="e">
        <f>MATCH(A1090,Database!$A$2:$A$948,0)</f>
        <v>#N/A</v>
      </c>
      <c r="L1090" t="e">
        <f>VLOOKUP(A1090,Database!$A$2:$I$948,4,0)</f>
        <v>#N/A</v>
      </c>
      <c r="M1090" t="e">
        <f t="shared" si="35"/>
        <v>#N/A</v>
      </c>
      <c r="N1090" t="e">
        <f>VLOOKUP(A1090,Database!$A$2:$I$948,5,0)</f>
        <v>#N/A</v>
      </c>
    </row>
    <row r="1091" spans="1:14" hidden="1" x14ac:dyDescent="0.35">
      <c r="A1091" s="3">
        <v>103406587</v>
      </c>
      <c r="B1091" s="3" t="s">
        <v>2453</v>
      </c>
      <c r="C1091" s="3" t="str">
        <f t="shared" ref="C1091:C1154" si="36">LEFT(B1091,FIND("T",B1091)-1)</f>
        <v>2022-07-06</v>
      </c>
      <c r="D1091" s="3" t="s">
        <v>9</v>
      </c>
      <c r="E1091" s="3" t="s">
        <v>5</v>
      </c>
      <c r="F1091" s="3" t="s">
        <v>10</v>
      </c>
      <c r="G1091" s="3" t="s">
        <v>2454</v>
      </c>
      <c r="H1091" s="3" t="s">
        <v>2455</v>
      </c>
      <c r="I1091" s="4">
        <v>1091.55</v>
      </c>
      <c r="J1091" s="3" t="s">
        <v>11</v>
      </c>
      <c r="K1091" t="e">
        <f>MATCH(A1091,Database!$A$2:$A$948,0)</f>
        <v>#N/A</v>
      </c>
      <c r="L1091" t="e">
        <f>VLOOKUP(A1091,Database!$A$2:$I$948,4,0)</f>
        <v>#N/A</v>
      </c>
      <c r="M1091" t="e">
        <f t="shared" si="35"/>
        <v>#N/A</v>
      </c>
      <c r="N1091" t="e">
        <f>VLOOKUP(A1091,Database!$A$2:$I$948,5,0)</f>
        <v>#N/A</v>
      </c>
    </row>
    <row r="1092" spans="1:14" hidden="1" x14ac:dyDescent="0.35">
      <c r="A1092" s="3">
        <v>103406582</v>
      </c>
      <c r="B1092" s="3" t="s">
        <v>2456</v>
      </c>
      <c r="C1092" s="3" t="str">
        <f t="shared" si="36"/>
        <v>2022-07-06</v>
      </c>
      <c r="D1092" s="3" t="s">
        <v>9</v>
      </c>
      <c r="E1092" s="3" t="s">
        <v>5</v>
      </c>
      <c r="F1092" s="3" t="s">
        <v>10</v>
      </c>
      <c r="G1092" s="3" t="s">
        <v>2457</v>
      </c>
      <c r="H1092" s="3" t="s">
        <v>2458</v>
      </c>
      <c r="I1092" s="4">
        <v>4274.05</v>
      </c>
      <c r="J1092" s="3" t="s">
        <v>11</v>
      </c>
      <c r="K1092" t="e">
        <f>MATCH(A1092,Database!$A$2:$A$948,0)</f>
        <v>#N/A</v>
      </c>
      <c r="L1092" t="e">
        <f>VLOOKUP(A1092,Database!$A$2:$I$948,4,0)</f>
        <v>#N/A</v>
      </c>
      <c r="M1092" t="e">
        <f t="shared" si="35"/>
        <v>#N/A</v>
      </c>
      <c r="N1092" t="e">
        <f>VLOOKUP(A1092,Database!$A$2:$I$948,5,0)</f>
        <v>#N/A</v>
      </c>
    </row>
    <row r="1093" spans="1:14" hidden="1" x14ac:dyDescent="0.35">
      <c r="A1093" s="3">
        <v>103406518</v>
      </c>
      <c r="B1093" s="3" t="s">
        <v>2459</v>
      </c>
      <c r="C1093" s="3" t="str">
        <f t="shared" si="36"/>
        <v>2022-07-06</v>
      </c>
      <c r="D1093" s="3" t="s">
        <v>9</v>
      </c>
      <c r="E1093" s="3" t="s">
        <v>5</v>
      </c>
      <c r="F1093" s="3" t="s">
        <v>10</v>
      </c>
      <c r="G1093" s="3" t="s">
        <v>2460</v>
      </c>
      <c r="H1093" s="3" t="s">
        <v>2461</v>
      </c>
      <c r="I1093" s="5">
        <v>1839</v>
      </c>
      <c r="J1093" s="3" t="s">
        <v>11</v>
      </c>
      <c r="K1093" t="e">
        <f>MATCH(A1093,Database!$A$2:$A$948,0)</f>
        <v>#N/A</v>
      </c>
      <c r="L1093" t="e">
        <f>VLOOKUP(A1093,Database!$A$2:$I$948,4,0)</f>
        <v>#N/A</v>
      </c>
      <c r="M1093" t="e">
        <f t="shared" si="35"/>
        <v>#N/A</v>
      </c>
      <c r="N1093" t="e">
        <f>VLOOKUP(A1093,Database!$A$2:$I$948,5,0)</f>
        <v>#N/A</v>
      </c>
    </row>
    <row r="1094" spans="1:14" hidden="1" x14ac:dyDescent="0.35">
      <c r="A1094" s="3">
        <v>103406513</v>
      </c>
      <c r="B1094" s="3" t="s">
        <v>2462</v>
      </c>
      <c r="C1094" s="3" t="str">
        <f t="shared" si="36"/>
        <v>2022-07-06</v>
      </c>
      <c r="D1094" s="3" t="s">
        <v>9</v>
      </c>
      <c r="E1094" s="3" t="s">
        <v>5</v>
      </c>
      <c r="F1094" s="3" t="s">
        <v>10</v>
      </c>
      <c r="G1094" s="3" t="s">
        <v>2463</v>
      </c>
      <c r="H1094" s="3" t="s">
        <v>2464</v>
      </c>
      <c r="I1094" s="4">
        <v>1167.55</v>
      </c>
      <c r="J1094" s="3" t="s">
        <v>11</v>
      </c>
      <c r="K1094" t="e">
        <f>MATCH(A1094,Database!$A$2:$A$948,0)</f>
        <v>#N/A</v>
      </c>
      <c r="L1094" t="e">
        <f>VLOOKUP(A1094,Database!$A$2:$I$948,4,0)</f>
        <v>#N/A</v>
      </c>
      <c r="M1094" t="e">
        <f t="shared" si="35"/>
        <v>#N/A</v>
      </c>
      <c r="N1094" t="e">
        <f>VLOOKUP(A1094,Database!$A$2:$I$948,5,0)</f>
        <v>#N/A</v>
      </c>
    </row>
    <row r="1095" spans="1:14" hidden="1" x14ac:dyDescent="0.35">
      <c r="A1095" s="3">
        <v>103406512</v>
      </c>
      <c r="B1095" s="3" t="s">
        <v>2465</v>
      </c>
      <c r="C1095" s="3" t="str">
        <f t="shared" si="36"/>
        <v>2022-07-06</v>
      </c>
      <c r="D1095" s="3" t="s">
        <v>9</v>
      </c>
      <c r="E1095" s="3" t="s">
        <v>5</v>
      </c>
      <c r="F1095" s="3" t="s">
        <v>10</v>
      </c>
      <c r="G1095" s="3" t="s">
        <v>2466</v>
      </c>
      <c r="H1095" s="3" t="s">
        <v>2467</v>
      </c>
      <c r="I1095" s="4">
        <v>1899.05</v>
      </c>
      <c r="J1095" s="3" t="s">
        <v>11</v>
      </c>
      <c r="K1095" t="e">
        <f>MATCH(A1095,Database!$A$2:$A$948,0)</f>
        <v>#N/A</v>
      </c>
      <c r="L1095" t="e">
        <f>VLOOKUP(A1095,Database!$A$2:$I$948,4,0)</f>
        <v>#N/A</v>
      </c>
      <c r="M1095" t="e">
        <f t="shared" si="35"/>
        <v>#N/A</v>
      </c>
      <c r="N1095" t="e">
        <f>VLOOKUP(A1095,Database!$A$2:$I$948,5,0)</f>
        <v>#N/A</v>
      </c>
    </row>
    <row r="1096" spans="1:14" hidden="1" x14ac:dyDescent="0.35">
      <c r="A1096" s="3">
        <v>103406510</v>
      </c>
      <c r="B1096" s="3" t="s">
        <v>2468</v>
      </c>
      <c r="C1096" s="3" t="str">
        <f t="shared" si="36"/>
        <v>2022-07-06</v>
      </c>
      <c r="D1096" s="3" t="s">
        <v>9</v>
      </c>
      <c r="E1096" s="3" t="s">
        <v>5</v>
      </c>
      <c r="F1096" s="3" t="s">
        <v>10</v>
      </c>
      <c r="G1096" s="3" t="s">
        <v>2469</v>
      </c>
      <c r="H1096" s="3" t="s">
        <v>2470</v>
      </c>
      <c r="I1096" s="4">
        <v>3324.05</v>
      </c>
      <c r="J1096" s="3" t="s">
        <v>11</v>
      </c>
      <c r="K1096" t="e">
        <f>MATCH(A1096,Database!$A$2:$A$948,0)</f>
        <v>#N/A</v>
      </c>
      <c r="L1096" t="e">
        <f>VLOOKUP(A1096,Database!$A$2:$I$948,4,0)</f>
        <v>#N/A</v>
      </c>
      <c r="M1096" t="e">
        <f t="shared" si="35"/>
        <v>#N/A</v>
      </c>
      <c r="N1096" t="e">
        <f>VLOOKUP(A1096,Database!$A$2:$I$948,5,0)</f>
        <v>#N/A</v>
      </c>
    </row>
    <row r="1097" spans="1:14" hidden="1" x14ac:dyDescent="0.35">
      <c r="A1097" s="3">
        <v>103406573</v>
      </c>
      <c r="B1097" s="3" t="s">
        <v>2471</v>
      </c>
      <c r="C1097" s="3" t="str">
        <f t="shared" si="36"/>
        <v>2022-07-06</v>
      </c>
      <c r="D1097" s="3" t="s">
        <v>9</v>
      </c>
      <c r="E1097" s="3" t="s">
        <v>5</v>
      </c>
      <c r="F1097" s="3" t="s">
        <v>10</v>
      </c>
      <c r="G1097" s="3" t="s">
        <v>2472</v>
      </c>
      <c r="H1097" s="3" t="s">
        <v>2473</v>
      </c>
      <c r="I1097" s="3">
        <v>649</v>
      </c>
      <c r="J1097" s="3" t="s">
        <v>11</v>
      </c>
      <c r="K1097" t="e">
        <f>MATCH(A1097,Database!$A$2:$A$948,0)</f>
        <v>#N/A</v>
      </c>
      <c r="L1097" t="e">
        <f>VLOOKUP(A1097,Database!$A$2:$I$948,4,0)</f>
        <v>#N/A</v>
      </c>
      <c r="M1097" t="e">
        <f t="shared" si="35"/>
        <v>#N/A</v>
      </c>
      <c r="N1097" t="e">
        <f>VLOOKUP(A1097,Database!$A$2:$I$948,5,0)</f>
        <v>#N/A</v>
      </c>
    </row>
    <row r="1098" spans="1:14" hidden="1" x14ac:dyDescent="0.35">
      <c r="A1098" s="3">
        <v>103406507</v>
      </c>
      <c r="B1098" s="3" t="s">
        <v>2474</v>
      </c>
      <c r="C1098" s="3" t="str">
        <f t="shared" si="36"/>
        <v>2022-07-06</v>
      </c>
      <c r="D1098" s="3" t="s">
        <v>9</v>
      </c>
      <c r="E1098" s="3" t="s">
        <v>5</v>
      </c>
      <c r="F1098" s="3" t="s">
        <v>10</v>
      </c>
      <c r="G1098" s="3" t="s">
        <v>2475</v>
      </c>
      <c r="H1098" s="3" t="s">
        <v>2476</v>
      </c>
      <c r="I1098" s="4">
        <v>2611.5500000000002</v>
      </c>
      <c r="J1098" s="3" t="s">
        <v>11</v>
      </c>
      <c r="K1098" t="e">
        <f>MATCH(A1098,Database!$A$2:$A$948,0)</f>
        <v>#N/A</v>
      </c>
      <c r="L1098" t="e">
        <f>VLOOKUP(A1098,Database!$A$2:$I$948,4,0)</f>
        <v>#N/A</v>
      </c>
      <c r="M1098" t="e">
        <f t="shared" si="35"/>
        <v>#N/A</v>
      </c>
      <c r="N1098" t="e">
        <f>VLOOKUP(A1098,Database!$A$2:$I$948,5,0)</f>
        <v>#N/A</v>
      </c>
    </row>
    <row r="1099" spans="1:14" hidden="1" x14ac:dyDescent="0.35">
      <c r="A1099" s="3">
        <v>103406506</v>
      </c>
      <c r="B1099" s="3" t="s">
        <v>2477</v>
      </c>
      <c r="C1099" s="3" t="str">
        <f t="shared" si="36"/>
        <v>2022-07-06</v>
      </c>
      <c r="D1099" s="3" t="s">
        <v>9</v>
      </c>
      <c r="E1099" s="3" t="s">
        <v>5</v>
      </c>
      <c r="F1099" s="3" t="s">
        <v>10</v>
      </c>
      <c r="G1099" s="3" t="s">
        <v>2478</v>
      </c>
      <c r="H1099" s="3" t="s">
        <v>2479</v>
      </c>
      <c r="I1099" s="4">
        <v>1519.05</v>
      </c>
      <c r="J1099" s="3" t="s">
        <v>11</v>
      </c>
      <c r="K1099" t="e">
        <f>MATCH(A1099,Database!$A$2:$A$948,0)</f>
        <v>#N/A</v>
      </c>
      <c r="L1099" t="e">
        <f>VLOOKUP(A1099,Database!$A$2:$I$948,4,0)</f>
        <v>#N/A</v>
      </c>
      <c r="M1099" t="e">
        <f t="shared" si="35"/>
        <v>#N/A</v>
      </c>
      <c r="N1099" t="e">
        <f>VLOOKUP(A1099,Database!$A$2:$I$948,5,0)</f>
        <v>#N/A</v>
      </c>
    </row>
    <row r="1100" spans="1:14" hidden="1" x14ac:dyDescent="0.35">
      <c r="A1100" s="3">
        <v>103406572</v>
      </c>
      <c r="B1100" s="3" t="s">
        <v>2480</v>
      </c>
      <c r="C1100" s="3" t="str">
        <f t="shared" si="36"/>
        <v>2022-07-06</v>
      </c>
      <c r="D1100" s="3" t="s">
        <v>9</v>
      </c>
      <c r="E1100" s="3" t="s">
        <v>5</v>
      </c>
      <c r="F1100" s="3" t="s">
        <v>10</v>
      </c>
      <c r="G1100" s="3" t="s">
        <v>2481</v>
      </c>
      <c r="H1100" s="3" t="s">
        <v>2482</v>
      </c>
      <c r="I1100" s="4">
        <v>6667.29</v>
      </c>
      <c r="J1100" s="3" t="s">
        <v>11</v>
      </c>
      <c r="K1100" t="e">
        <f>MATCH(A1100,Database!$A$2:$A$948,0)</f>
        <v>#N/A</v>
      </c>
      <c r="L1100" t="e">
        <f>VLOOKUP(A1100,Database!$A$2:$I$948,4,0)</f>
        <v>#N/A</v>
      </c>
      <c r="M1100" t="e">
        <f t="shared" ref="M1100:M1163" si="37">I1100=L1100</f>
        <v>#N/A</v>
      </c>
      <c r="N1100" t="e">
        <f>VLOOKUP(A1100,Database!$A$2:$I$948,5,0)</f>
        <v>#N/A</v>
      </c>
    </row>
    <row r="1101" spans="1:14" hidden="1" x14ac:dyDescent="0.35">
      <c r="A1101" s="3">
        <v>103406504</v>
      </c>
      <c r="B1101" s="3" t="s">
        <v>2483</v>
      </c>
      <c r="C1101" s="3" t="str">
        <f t="shared" si="36"/>
        <v>2022-07-06</v>
      </c>
      <c r="D1101" s="3" t="s">
        <v>9</v>
      </c>
      <c r="E1101" s="3" t="s">
        <v>5</v>
      </c>
      <c r="F1101" s="3" t="s">
        <v>12</v>
      </c>
      <c r="G1101" s="3" t="s">
        <v>2484</v>
      </c>
      <c r="H1101" s="3" t="s">
        <v>2485</v>
      </c>
      <c r="I1101" s="4">
        <v>2136.64</v>
      </c>
      <c r="J1101" s="3" t="s">
        <v>11</v>
      </c>
      <c r="K1101" t="e">
        <f>MATCH(A1101,Database!$A$2:$A$948,0)</f>
        <v>#N/A</v>
      </c>
      <c r="L1101" t="e">
        <f>VLOOKUP(A1101,Database!$A$2:$I$948,4,0)</f>
        <v>#N/A</v>
      </c>
      <c r="M1101" t="e">
        <f t="shared" si="37"/>
        <v>#N/A</v>
      </c>
      <c r="N1101" t="e">
        <f>VLOOKUP(A1101,Database!$A$2:$I$948,5,0)</f>
        <v>#N/A</v>
      </c>
    </row>
    <row r="1102" spans="1:14" hidden="1" x14ac:dyDescent="0.35">
      <c r="A1102" s="3">
        <v>103406502</v>
      </c>
      <c r="B1102" s="3" t="s">
        <v>4791</v>
      </c>
      <c r="C1102" s="3" t="str">
        <f t="shared" si="36"/>
        <v>2022-07-06</v>
      </c>
      <c r="D1102" s="3" t="s">
        <v>9</v>
      </c>
      <c r="E1102" s="3" t="s">
        <v>5</v>
      </c>
      <c r="F1102" s="3" t="s">
        <v>10</v>
      </c>
      <c r="G1102" s="3" t="s">
        <v>2223</v>
      </c>
      <c r="H1102" s="3" t="s">
        <v>2224</v>
      </c>
      <c r="I1102" s="4">
        <v>2849.05</v>
      </c>
      <c r="J1102" s="3" t="s">
        <v>13</v>
      </c>
      <c r="K1102">
        <f>MATCH(A1102,Database!$A$2:$A$948,0)</f>
        <v>18</v>
      </c>
      <c r="L1102">
        <f>VLOOKUP(A1102,Database!$A$2:$I$948,4,0)</f>
        <v>2849.05</v>
      </c>
      <c r="M1102" t="b">
        <f t="shared" si="37"/>
        <v>1</v>
      </c>
      <c r="N1102">
        <f>VLOOKUP(A1102,Database!$A$2:$I$948,5,0)</f>
        <v>1</v>
      </c>
    </row>
    <row r="1103" spans="1:14" hidden="1" x14ac:dyDescent="0.35">
      <c r="A1103" s="3">
        <v>103406497</v>
      </c>
      <c r="B1103" s="3" t="s">
        <v>2486</v>
      </c>
      <c r="C1103" s="3" t="str">
        <f t="shared" si="36"/>
        <v>2022-07-06</v>
      </c>
      <c r="D1103" s="3" t="s">
        <v>9</v>
      </c>
      <c r="E1103" s="3" t="s">
        <v>5</v>
      </c>
      <c r="F1103" s="3" t="s">
        <v>10</v>
      </c>
      <c r="G1103" s="3" t="s">
        <v>2487</v>
      </c>
      <c r="H1103" s="3" t="s">
        <v>2488</v>
      </c>
      <c r="I1103" s="5">
        <v>1369</v>
      </c>
      <c r="J1103" s="3" t="s">
        <v>11</v>
      </c>
      <c r="K1103" t="e">
        <f>MATCH(A1103,Database!$A$2:$A$948,0)</f>
        <v>#N/A</v>
      </c>
      <c r="L1103" t="e">
        <f>VLOOKUP(A1103,Database!$A$2:$I$948,4,0)</f>
        <v>#N/A</v>
      </c>
      <c r="M1103" t="e">
        <f t="shared" si="37"/>
        <v>#N/A</v>
      </c>
      <c r="N1103" t="e">
        <f>VLOOKUP(A1103,Database!$A$2:$I$948,5,0)</f>
        <v>#N/A</v>
      </c>
    </row>
    <row r="1104" spans="1:14" hidden="1" x14ac:dyDescent="0.35">
      <c r="A1104" s="3">
        <v>103406495</v>
      </c>
      <c r="B1104" s="3" t="s">
        <v>2489</v>
      </c>
      <c r="C1104" s="3" t="str">
        <f t="shared" si="36"/>
        <v>2022-07-06</v>
      </c>
      <c r="D1104" s="3" t="s">
        <v>9</v>
      </c>
      <c r="E1104" s="3" t="s">
        <v>5</v>
      </c>
      <c r="F1104" s="3" t="s">
        <v>10</v>
      </c>
      <c r="G1104" s="3" t="s">
        <v>2490</v>
      </c>
      <c r="H1104" s="3" t="s">
        <v>2491</v>
      </c>
      <c r="I1104" s="4">
        <v>2136.5500000000002</v>
      </c>
      <c r="J1104" s="3" t="s">
        <v>11</v>
      </c>
      <c r="K1104" t="e">
        <f>MATCH(A1104,Database!$A$2:$A$948,0)</f>
        <v>#N/A</v>
      </c>
      <c r="L1104" t="e">
        <f>VLOOKUP(A1104,Database!$A$2:$I$948,4,0)</f>
        <v>#N/A</v>
      </c>
      <c r="M1104" t="e">
        <f t="shared" si="37"/>
        <v>#N/A</v>
      </c>
      <c r="N1104" t="e">
        <f>VLOOKUP(A1104,Database!$A$2:$I$948,5,0)</f>
        <v>#N/A</v>
      </c>
    </row>
    <row r="1105" spans="1:14" hidden="1" x14ac:dyDescent="0.35">
      <c r="A1105" s="3">
        <v>103406463</v>
      </c>
      <c r="B1105" s="3" t="s">
        <v>2492</v>
      </c>
      <c r="C1105" s="3" t="str">
        <f t="shared" si="36"/>
        <v>2022-07-06</v>
      </c>
      <c r="D1105" s="3" t="s">
        <v>9</v>
      </c>
      <c r="E1105" s="3" t="s">
        <v>5</v>
      </c>
      <c r="F1105" s="3" t="s">
        <v>10</v>
      </c>
      <c r="G1105" s="3" t="s">
        <v>2493</v>
      </c>
      <c r="H1105" s="3" t="s">
        <v>2494</v>
      </c>
      <c r="I1105" s="4">
        <v>1139.05</v>
      </c>
      <c r="J1105" s="3" t="s">
        <v>11</v>
      </c>
      <c r="K1105" t="e">
        <f>MATCH(A1105,Database!$A$2:$A$948,0)</f>
        <v>#N/A</v>
      </c>
      <c r="L1105" t="e">
        <f>VLOOKUP(A1105,Database!$A$2:$I$948,4,0)</f>
        <v>#N/A</v>
      </c>
      <c r="M1105" t="e">
        <f t="shared" si="37"/>
        <v>#N/A</v>
      </c>
      <c r="N1105" t="e">
        <f>VLOOKUP(A1105,Database!$A$2:$I$948,5,0)</f>
        <v>#N/A</v>
      </c>
    </row>
    <row r="1106" spans="1:14" hidden="1" x14ac:dyDescent="0.35">
      <c r="A1106" s="3">
        <v>103406492</v>
      </c>
      <c r="B1106" s="3" t="s">
        <v>2495</v>
      </c>
      <c r="C1106" s="3" t="str">
        <f t="shared" si="36"/>
        <v>2022-07-06</v>
      </c>
      <c r="D1106" s="3" t="s">
        <v>9</v>
      </c>
      <c r="E1106" s="3" t="s">
        <v>5</v>
      </c>
      <c r="F1106" s="3" t="s">
        <v>10</v>
      </c>
      <c r="G1106" s="3" t="s">
        <v>2496</v>
      </c>
      <c r="H1106" s="3" t="s">
        <v>2497</v>
      </c>
      <c r="I1106" s="4">
        <v>1505.37</v>
      </c>
      <c r="J1106" s="3" t="s">
        <v>11</v>
      </c>
      <c r="K1106" t="e">
        <f>MATCH(A1106,Database!$A$2:$A$948,0)</f>
        <v>#N/A</v>
      </c>
      <c r="L1106" t="e">
        <f>VLOOKUP(A1106,Database!$A$2:$I$948,4,0)</f>
        <v>#N/A</v>
      </c>
      <c r="M1106" t="e">
        <f t="shared" si="37"/>
        <v>#N/A</v>
      </c>
      <c r="N1106" t="e">
        <f>VLOOKUP(A1106,Database!$A$2:$I$948,5,0)</f>
        <v>#N/A</v>
      </c>
    </row>
    <row r="1107" spans="1:14" hidden="1" x14ac:dyDescent="0.35">
      <c r="A1107" s="3">
        <v>103406461</v>
      </c>
      <c r="B1107" s="3" t="s">
        <v>2498</v>
      </c>
      <c r="C1107" s="3" t="str">
        <f t="shared" si="36"/>
        <v>2022-07-06</v>
      </c>
      <c r="D1107" s="3" t="s">
        <v>9</v>
      </c>
      <c r="E1107" s="3" t="s">
        <v>5</v>
      </c>
      <c r="F1107" s="3" t="s">
        <v>10</v>
      </c>
      <c r="G1107" s="3" t="s">
        <v>2463</v>
      </c>
      <c r="H1107" s="3" t="s">
        <v>2464</v>
      </c>
      <c r="I1107" s="3">
        <v>806.55</v>
      </c>
      <c r="J1107" s="3" t="s">
        <v>11</v>
      </c>
      <c r="K1107" t="e">
        <f>MATCH(A1107,Database!$A$2:$A$948,0)</f>
        <v>#N/A</v>
      </c>
      <c r="L1107" t="e">
        <f>VLOOKUP(A1107,Database!$A$2:$I$948,4,0)</f>
        <v>#N/A</v>
      </c>
      <c r="M1107" t="e">
        <f t="shared" si="37"/>
        <v>#N/A</v>
      </c>
      <c r="N1107" t="e">
        <f>VLOOKUP(A1107,Database!$A$2:$I$948,5,0)</f>
        <v>#N/A</v>
      </c>
    </row>
    <row r="1108" spans="1:14" hidden="1" x14ac:dyDescent="0.35">
      <c r="A1108" s="3">
        <v>103406489</v>
      </c>
      <c r="B1108" s="3" t="s">
        <v>2499</v>
      </c>
      <c r="C1108" s="3" t="str">
        <f t="shared" si="36"/>
        <v>2022-07-06</v>
      </c>
      <c r="D1108" s="3" t="s">
        <v>9</v>
      </c>
      <c r="E1108" s="3" t="s">
        <v>5</v>
      </c>
      <c r="F1108" s="3" t="s">
        <v>10</v>
      </c>
      <c r="G1108" s="3" t="s">
        <v>2500</v>
      </c>
      <c r="H1108" s="3" t="s">
        <v>2501</v>
      </c>
      <c r="I1108" s="3">
        <v>737.1</v>
      </c>
      <c r="J1108" s="3" t="s">
        <v>11</v>
      </c>
      <c r="K1108" t="e">
        <f>MATCH(A1108,Database!$A$2:$A$948,0)</f>
        <v>#N/A</v>
      </c>
      <c r="L1108" t="e">
        <f>VLOOKUP(A1108,Database!$A$2:$I$948,4,0)</f>
        <v>#N/A</v>
      </c>
      <c r="M1108" t="e">
        <f t="shared" si="37"/>
        <v>#N/A</v>
      </c>
      <c r="N1108" t="e">
        <f>VLOOKUP(A1108,Database!$A$2:$I$948,5,0)</f>
        <v>#N/A</v>
      </c>
    </row>
    <row r="1109" spans="1:14" hidden="1" x14ac:dyDescent="0.35">
      <c r="A1109" s="3">
        <v>103406454</v>
      </c>
      <c r="B1109" s="3" t="s">
        <v>2502</v>
      </c>
      <c r="C1109" s="3" t="str">
        <f t="shared" si="36"/>
        <v>2022-07-06</v>
      </c>
      <c r="D1109" s="3" t="s">
        <v>9</v>
      </c>
      <c r="E1109" s="3" t="s">
        <v>5</v>
      </c>
      <c r="F1109" s="3" t="s">
        <v>10</v>
      </c>
      <c r="G1109" s="3" t="s">
        <v>2503</v>
      </c>
      <c r="H1109" s="3" t="s">
        <v>2504</v>
      </c>
      <c r="I1109" s="4">
        <v>3799.05</v>
      </c>
      <c r="J1109" s="3" t="s">
        <v>11</v>
      </c>
      <c r="K1109" t="e">
        <f>MATCH(A1109,Database!$A$2:$A$948,0)</f>
        <v>#N/A</v>
      </c>
      <c r="L1109" t="e">
        <f>VLOOKUP(A1109,Database!$A$2:$I$948,4,0)</f>
        <v>#N/A</v>
      </c>
      <c r="M1109" t="e">
        <f t="shared" si="37"/>
        <v>#N/A</v>
      </c>
      <c r="N1109" t="e">
        <f>VLOOKUP(A1109,Database!$A$2:$I$948,5,0)</f>
        <v>#N/A</v>
      </c>
    </row>
    <row r="1110" spans="1:14" hidden="1" x14ac:dyDescent="0.35">
      <c r="A1110" s="3">
        <v>103406486</v>
      </c>
      <c r="B1110" s="3" t="s">
        <v>2505</v>
      </c>
      <c r="C1110" s="3" t="str">
        <f t="shared" si="36"/>
        <v>2022-07-06</v>
      </c>
      <c r="D1110" s="3" t="s">
        <v>9</v>
      </c>
      <c r="E1110" s="3" t="s">
        <v>5</v>
      </c>
      <c r="F1110" s="3" t="s">
        <v>10</v>
      </c>
      <c r="G1110" s="3" t="s">
        <v>2506</v>
      </c>
      <c r="H1110" s="3" t="s">
        <v>2507</v>
      </c>
      <c r="I1110" s="5">
        <v>2249</v>
      </c>
      <c r="J1110" s="3" t="s">
        <v>11</v>
      </c>
      <c r="K1110" t="e">
        <f>MATCH(A1110,Database!$A$2:$A$948,0)</f>
        <v>#N/A</v>
      </c>
      <c r="L1110" t="e">
        <f>VLOOKUP(A1110,Database!$A$2:$I$948,4,0)</f>
        <v>#N/A</v>
      </c>
      <c r="M1110" t="e">
        <f t="shared" si="37"/>
        <v>#N/A</v>
      </c>
      <c r="N1110" t="e">
        <f>VLOOKUP(A1110,Database!$A$2:$I$948,5,0)</f>
        <v>#N/A</v>
      </c>
    </row>
    <row r="1111" spans="1:14" hidden="1" x14ac:dyDescent="0.35">
      <c r="A1111" s="3">
        <v>103406448</v>
      </c>
      <c r="B1111" s="3" t="s">
        <v>2508</v>
      </c>
      <c r="C1111" s="3" t="str">
        <f t="shared" si="36"/>
        <v>2022-07-06</v>
      </c>
      <c r="D1111" s="3" t="s">
        <v>9</v>
      </c>
      <c r="E1111" s="3" t="s">
        <v>5</v>
      </c>
      <c r="F1111" s="3" t="s">
        <v>10</v>
      </c>
      <c r="G1111" s="3" t="s">
        <v>2509</v>
      </c>
      <c r="H1111" s="3" t="s">
        <v>2510</v>
      </c>
      <c r="I1111" s="4">
        <v>1243.6400000000001</v>
      </c>
      <c r="J1111" s="3" t="s">
        <v>11</v>
      </c>
      <c r="K1111" t="e">
        <f>MATCH(A1111,Database!$A$2:$A$948,0)</f>
        <v>#N/A</v>
      </c>
      <c r="L1111" t="e">
        <f>VLOOKUP(A1111,Database!$A$2:$I$948,4,0)</f>
        <v>#N/A</v>
      </c>
      <c r="M1111" t="e">
        <f t="shared" si="37"/>
        <v>#N/A</v>
      </c>
      <c r="N1111" t="e">
        <f>VLOOKUP(A1111,Database!$A$2:$I$948,5,0)</f>
        <v>#N/A</v>
      </c>
    </row>
    <row r="1112" spans="1:14" hidden="1" x14ac:dyDescent="0.35">
      <c r="A1112" s="3">
        <v>103406447</v>
      </c>
      <c r="B1112" s="3" t="s">
        <v>2511</v>
      </c>
      <c r="C1112" s="3" t="str">
        <f t="shared" si="36"/>
        <v>2022-07-06</v>
      </c>
      <c r="D1112" s="3" t="s">
        <v>9</v>
      </c>
      <c r="E1112" s="3" t="s">
        <v>5</v>
      </c>
      <c r="F1112" s="3" t="s">
        <v>12</v>
      </c>
      <c r="G1112" s="3" t="s">
        <v>2512</v>
      </c>
      <c r="H1112" s="3" t="s">
        <v>2513</v>
      </c>
      <c r="I1112" s="4">
        <v>1709.05</v>
      </c>
      <c r="J1112" s="3" t="s">
        <v>11</v>
      </c>
      <c r="K1112" t="e">
        <f>MATCH(A1112,Database!$A$2:$A$948,0)</f>
        <v>#N/A</v>
      </c>
      <c r="L1112" t="e">
        <f>VLOOKUP(A1112,Database!$A$2:$I$948,4,0)</f>
        <v>#N/A</v>
      </c>
      <c r="M1112" t="e">
        <f t="shared" si="37"/>
        <v>#N/A</v>
      </c>
      <c r="N1112" t="e">
        <f>VLOOKUP(A1112,Database!$A$2:$I$948,5,0)</f>
        <v>#N/A</v>
      </c>
    </row>
    <row r="1113" spans="1:14" hidden="1" x14ac:dyDescent="0.35">
      <c r="A1113" s="3">
        <v>103406481</v>
      </c>
      <c r="B1113" s="3" t="s">
        <v>2514</v>
      </c>
      <c r="C1113" s="3" t="str">
        <f t="shared" si="36"/>
        <v>2022-07-06</v>
      </c>
      <c r="D1113" s="3" t="s">
        <v>9</v>
      </c>
      <c r="E1113" s="3" t="s">
        <v>5</v>
      </c>
      <c r="F1113" s="3" t="s">
        <v>10</v>
      </c>
      <c r="G1113" s="3" t="s">
        <v>2515</v>
      </c>
      <c r="H1113" s="3" t="s">
        <v>2516</v>
      </c>
      <c r="I1113" s="5">
        <v>4199</v>
      </c>
      <c r="J1113" s="3" t="s">
        <v>11</v>
      </c>
      <c r="K1113" t="e">
        <f>MATCH(A1113,Database!$A$2:$A$948,0)</f>
        <v>#N/A</v>
      </c>
      <c r="L1113" t="e">
        <f>VLOOKUP(A1113,Database!$A$2:$I$948,4,0)</f>
        <v>#N/A</v>
      </c>
      <c r="M1113" t="e">
        <f t="shared" si="37"/>
        <v>#N/A</v>
      </c>
      <c r="N1113" t="e">
        <f>VLOOKUP(A1113,Database!$A$2:$I$948,5,0)</f>
        <v>#N/A</v>
      </c>
    </row>
    <row r="1114" spans="1:14" hidden="1" x14ac:dyDescent="0.35">
      <c r="A1114" s="3">
        <v>103406482</v>
      </c>
      <c r="B1114" s="3" t="s">
        <v>2514</v>
      </c>
      <c r="C1114" s="3" t="str">
        <f t="shared" si="36"/>
        <v>2022-07-06</v>
      </c>
      <c r="D1114" s="3" t="s">
        <v>9</v>
      </c>
      <c r="E1114" s="3" t="s">
        <v>5</v>
      </c>
      <c r="F1114" s="3" t="s">
        <v>10</v>
      </c>
      <c r="G1114" s="3" t="s">
        <v>2517</v>
      </c>
      <c r="H1114" s="3" t="s">
        <v>2518</v>
      </c>
      <c r="I1114" s="4">
        <v>1851.55</v>
      </c>
      <c r="J1114" s="3" t="s">
        <v>11</v>
      </c>
      <c r="K1114" t="e">
        <f>MATCH(A1114,Database!$A$2:$A$948,0)</f>
        <v>#N/A</v>
      </c>
      <c r="L1114" t="e">
        <f>VLOOKUP(A1114,Database!$A$2:$I$948,4,0)</f>
        <v>#N/A</v>
      </c>
      <c r="M1114" t="e">
        <f t="shared" si="37"/>
        <v>#N/A</v>
      </c>
      <c r="N1114" t="e">
        <f>VLOOKUP(A1114,Database!$A$2:$I$948,5,0)</f>
        <v>#N/A</v>
      </c>
    </row>
    <row r="1115" spans="1:14" hidden="1" x14ac:dyDescent="0.35">
      <c r="A1115" s="3">
        <v>103406469</v>
      </c>
      <c r="B1115" s="3" t="s">
        <v>2519</v>
      </c>
      <c r="C1115" s="3" t="str">
        <f t="shared" si="36"/>
        <v>2022-07-06</v>
      </c>
      <c r="D1115" s="3" t="s">
        <v>9</v>
      </c>
      <c r="E1115" s="3" t="s">
        <v>5</v>
      </c>
      <c r="F1115" s="3" t="s">
        <v>10</v>
      </c>
      <c r="G1115" s="3" t="s">
        <v>2520</v>
      </c>
      <c r="H1115" s="3" t="s">
        <v>2521</v>
      </c>
      <c r="I1115" s="4">
        <v>10733.1</v>
      </c>
      <c r="J1115" s="3" t="s">
        <v>11</v>
      </c>
      <c r="K1115" t="e">
        <f>MATCH(A1115,Database!$A$2:$A$948,0)</f>
        <v>#N/A</v>
      </c>
      <c r="L1115" t="e">
        <f>VLOOKUP(A1115,Database!$A$2:$I$948,4,0)</f>
        <v>#N/A</v>
      </c>
      <c r="M1115" t="e">
        <f t="shared" si="37"/>
        <v>#N/A</v>
      </c>
      <c r="N1115" t="e">
        <f>VLOOKUP(A1115,Database!$A$2:$I$948,5,0)</f>
        <v>#N/A</v>
      </c>
    </row>
    <row r="1116" spans="1:14" hidden="1" x14ac:dyDescent="0.35">
      <c r="A1116" s="3">
        <v>103406467</v>
      </c>
      <c r="B1116" s="3" t="s">
        <v>2522</v>
      </c>
      <c r="C1116" s="3" t="str">
        <f t="shared" si="36"/>
        <v>2022-07-06</v>
      </c>
      <c r="D1116" s="3" t="s">
        <v>9</v>
      </c>
      <c r="E1116" s="3" t="s">
        <v>5</v>
      </c>
      <c r="F1116" s="3" t="s">
        <v>10</v>
      </c>
      <c r="G1116" s="3" t="s">
        <v>2523</v>
      </c>
      <c r="H1116" s="3" t="s">
        <v>2524</v>
      </c>
      <c r="I1116" s="4">
        <v>2977.35</v>
      </c>
      <c r="J1116" s="3" t="s">
        <v>11</v>
      </c>
      <c r="K1116" t="e">
        <f>MATCH(A1116,Database!$A$2:$A$948,0)</f>
        <v>#N/A</v>
      </c>
      <c r="L1116" t="e">
        <f>VLOOKUP(A1116,Database!$A$2:$I$948,4,0)</f>
        <v>#N/A</v>
      </c>
      <c r="M1116" t="e">
        <f t="shared" si="37"/>
        <v>#N/A</v>
      </c>
      <c r="N1116" t="e">
        <f>VLOOKUP(A1116,Database!$A$2:$I$948,5,0)</f>
        <v>#N/A</v>
      </c>
    </row>
    <row r="1117" spans="1:14" hidden="1" x14ac:dyDescent="0.35">
      <c r="A1117" s="3">
        <v>103406438</v>
      </c>
      <c r="B1117" s="3" t="s">
        <v>2525</v>
      </c>
      <c r="C1117" s="3" t="str">
        <f t="shared" si="36"/>
        <v>2022-07-06</v>
      </c>
      <c r="D1117" s="3" t="s">
        <v>9</v>
      </c>
      <c r="E1117" s="3" t="s">
        <v>5</v>
      </c>
      <c r="F1117" s="3" t="s">
        <v>10</v>
      </c>
      <c r="G1117" s="3" t="s">
        <v>2526</v>
      </c>
      <c r="H1117" s="3" t="s">
        <v>2527</v>
      </c>
      <c r="I1117" s="4">
        <v>1110.55</v>
      </c>
      <c r="J1117" s="3" t="s">
        <v>11</v>
      </c>
      <c r="K1117" t="e">
        <f>MATCH(A1117,Database!$A$2:$A$948,0)</f>
        <v>#N/A</v>
      </c>
      <c r="L1117" t="e">
        <f>VLOOKUP(A1117,Database!$A$2:$I$948,4,0)</f>
        <v>#N/A</v>
      </c>
      <c r="M1117" t="e">
        <f t="shared" si="37"/>
        <v>#N/A</v>
      </c>
      <c r="N1117" t="e">
        <f>VLOOKUP(A1117,Database!$A$2:$I$948,5,0)</f>
        <v>#N/A</v>
      </c>
    </row>
    <row r="1118" spans="1:14" hidden="1" x14ac:dyDescent="0.35">
      <c r="A1118" s="3">
        <v>103406437</v>
      </c>
      <c r="B1118" s="3" t="s">
        <v>2528</v>
      </c>
      <c r="C1118" s="3" t="str">
        <f t="shared" si="36"/>
        <v>2022-07-06</v>
      </c>
      <c r="D1118" s="3" t="s">
        <v>9</v>
      </c>
      <c r="E1118" s="3" t="s">
        <v>5</v>
      </c>
      <c r="F1118" s="3" t="s">
        <v>12</v>
      </c>
      <c r="G1118" s="3" t="s">
        <v>2529</v>
      </c>
      <c r="H1118" s="3" t="s">
        <v>2530</v>
      </c>
      <c r="I1118" s="5">
        <v>2399</v>
      </c>
      <c r="J1118" s="3" t="s">
        <v>11</v>
      </c>
      <c r="K1118" t="e">
        <f>MATCH(A1118,Database!$A$2:$A$948,0)</f>
        <v>#N/A</v>
      </c>
      <c r="L1118" t="e">
        <f>VLOOKUP(A1118,Database!$A$2:$I$948,4,0)</f>
        <v>#N/A</v>
      </c>
      <c r="M1118" t="e">
        <f t="shared" si="37"/>
        <v>#N/A</v>
      </c>
      <c r="N1118" t="e">
        <f>VLOOKUP(A1118,Database!$A$2:$I$948,5,0)</f>
        <v>#N/A</v>
      </c>
    </row>
    <row r="1119" spans="1:14" hidden="1" x14ac:dyDescent="0.35">
      <c r="A1119" s="3">
        <v>103406361</v>
      </c>
      <c r="B1119" s="3" t="s">
        <v>2531</v>
      </c>
      <c r="C1119" s="3" t="str">
        <f t="shared" si="36"/>
        <v>2022-07-06</v>
      </c>
      <c r="D1119" s="3" t="s">
        <v>9</v>
      </c>
      <c r="E1119" s="3" t="s">
        <v>5</v>
      </c>
      <c r="F1119" s="3" t="s">
        <v>10</v>
      </c>
      <c r="G1119" s="3" t="s">
        <v>2532</v>
      </c>
      <c r="H1119" s="3" t="s">
        <v>2533</v>
      </c>
      <c r="I1119" s="5">
        <v>2309</v>
      </c>
      <c r="J1119" s="3" t="s">
        <v>11</v>
      </c>
      <c r="K1119" t="e">
        <f>MATCH(A1119,Database!$A$2:$A$948,0)</f>
        <v>#N/A</v>
      </c>
      <c r="L1119" t="e">
        <f>VLOOKUP(A1119,Database!$A$2:$I$948,4,0)</f>
        <v>#N/A</v>
      </c>
      <c r="M1119" t="e">
        <f t="shared" si="37"/>
        <v>#N/A</v>
      </c>
      <c r="N1119" t="e">
        <f>VLOOKUP(A1119,Database!$A$2:$I$948,5,0)</f>
        <v>#N/A</v>
      </c>
    </row>
    <row r="1120" spans="1:14" hidden="1" x14ac:dyDescent="0.35">
      <c r="A1120" s="3">
        <v>103406431</v>
      </c>
      <c r="B1120" s="3" t="s">
        <v>2534</v>
      </c>
      <c r="C1120" s="3" t="str">
        <f t="shared" si="36"/>
        <v>2022-07-06</v>
      </c>
      <c r="D1120" s="3" t="s">
        <v>9</v>
      </c>
      <c r="E1120" s="3" t="s">
        <v>5</v>
      </c>
      <c r="F1120" s="3" t="s">
        <v>10</v>
      </c>
      <c r="G1120" s="3" t="s">
        <v>2535</v>
      </c>
      <c r="H1120" s="3" t="s">
        <v>2536</v>
      </c>
      <c r="I1120" s="4">
        <v>2724.65</v>
      </c>
      <c r="J1120" s="3" t="s">
        <v>11</v>
      </c>
      <c r="K1120" t="e">
        <f>MATCH(A1120,Database!$A$2:$A$948,0)</f>
        <v>#N/A</v>
      </c>
      <c r="L1120" t="e">
        <f>VLOOKUP(A1120,Database!$A$2:$I$948,4,0)</f>
        <v>#N/A</v>
      </c>
      <c r="M1120" t="e">
        <f t="shared" si="37"/>
        <v>#N/A</v>
      </c>
      <c r="N1120" t="e">
        <f>VLOOKUP(A1120,Database!$A$2:$I$948,5,0)</f>
        <v>#N/A</v>
      </c>
    </row>
    <row r="1121" spans="1:14" hidden="1" x14ac:dyDescent="0.35">
      <c r="A1121" s="3">
        <v>103406426</v>
      </c>
      <c r="B1121" s="3" t="s">
        <v>2537</v>
      </c>
      <c r="C1121" s="3" t="str">
        <f t="shared" si="36"/>
        <v>2022-07-06</v>
      </c>
      <c r="D1121" s="3" t="s">
        <v>9</v>
      </c>
      <c r="E1121" s="3" t="s">
        <v>5</v>
      </c>
      <c r="F1121" s="3" t="s">
        <v>10</v>
      </c>
      <c r="G1121" s="3" t="s">
        <v>2538</v>
      </c>
      <c r="H1121" s="3" t="s">
        <v>2539</v>
      </c>
      <c r="I1121" s="4">
        <v>2193.5500000000002</v>
      </c>
      <c r="J1121" s="3" t="s">
        <v>11</v>
      </c>
      <c r="K1121" t="e">
        <f>MATCH(A1121,Database!$A$2:$A$948,0)</f>
        <v>#N/A</v>
      </c>
      <c r="L1121" t="e">
        <f>VLOOKUP(A1121,Database!$A$2:$I$948,4,0)</f>
        <v>#N/A</v>
      </c>
      <c r="M1121" t="e">
        <f t="shared" si="37"/>
        <v>#N/A</v>
      </c>
      <c r="N1121" t="e">
        <f>VLOOKUP(A1121,Database!$A$2:$I$948,5,0)</f>
        <v>#N/A</v>
      </c>
    </row>
    <row r="1122" spans="1:14" hidden="1" x14ac:dyDescent="0.35">
      <c r="A1122" s="3">
        <v>103406357</v>
      </c>
      <c r="B1122" s="3" t="s">
        <v>2540</v>
      </c>
      <c r="C1122" s="3" t="str">
        <f t="shared" si="36"/>
        <v>2022-07-06</v>
      </c>
      <c r="D1122" s="3" t="s">
        <v>9</v>
      </c>
      <c r="E1122" s="3" t="s">
        <v>5</v>
      </c>
      <c r="F1122" s="3" t="s">
        <v>10</v>
      </c>
      <c r="G1122" s="3" t="s">
        <v>2541</v>
      </c>
      <c r="H1122" s="3" t="s">
        <v>2542</v>
      </c>
      <c r="I1122" s="4">
        <v>2724.65</v>
      </c>
      <c r="J1122" s="3" t="s">
        <v>11</v>
      </c>
      <c r="K1122" t="e">
        <f>MATCH(A1122,Database!$A$2:$A$948,0)</f>
        <v>#N/A</v>
      </c>
      <c r="L1122" t="e">
        <f>VLOOKUP(A1122,Database!$A$2:$I$948,4,0)</f>
        <v>#N/A</v>
      </c>
      <c r="M1122" t="e">
        <f t="shared" si="37"/>
        <v>#N/A</v>
      </c>
      <c r="N1122" t="e">
        <f>VLOOKUP(A1122,Database!$A$2:$I$948,5,0)</f>
        <v>#N/A</v>
      </c>
    </row>
    <row r="1123" spans="1:14" hidden="1" x14ac:dyDescent="0.35">
      <c r="A1123" s="3">
        <v>103406356</v>
      </c>
      <c r="B1123" s="3" t="s">
        <v>2543</v>
      </c>
      <c r="C1123" s="3" t="str">
        <f t="shared" si="36"/>
        <v>2022-07-06</v>
      </c>
      <c r="D1123" s="3" t="s">
        <v>9</v>
      </c>
      <c r="E1123" s="3" t="s">
        <v>5</v>
      </c>
      <c r="F1123" s="3" t="s">
        <v>10</v>
      </c>
      <c r="G1123" s="3" t="s">
        <v>2544</v>
      </c>
      <c r="H1123" s="3" t="s">
        <v>2545</v>
      </c>
      <c r="I1123" s="5">
        <v>3548</v>
      </c>
      <c r="J1123" s="3" t="s">
        <v>11</v>
      </c>
      <c r="K1123" t="e">
        <f>MATCH(A1123,Database!$A$2:$A$948,0)</f>
        <v>#N/A</v>
      </c>
      <c r="L1123" t="e">
        <f>VLOOKUP(A1123,Database!$A$2:$I$948,4,0)</f>
        <v>#N/A</v>
      </c>
      <c r="M1123" t="e">
        <f t="shared" si="37"/>
        <v>#N/A</v>
      </c>
      <c r="N1123" t="e">
        <f>VLOOKUP(A1123,Database!$A$2:$I$948,5,0)</f>
        <v>#N/A</v>
      </c>
    </row>
    <row r="1124" spans="1:14" hidden="1" x14ac:dyDescent="0.35">
      <c r="A1124" s="3">
        <v>103406349</v>
      </c>
      <c r="B1124" s="3" t="s">
        <v>2546</v>
      </c>
      <c r="C1124" s="3" t="str">
        <f t="shared" si="36"/>
        <v>2022-07-06</v>
      </c>
      <c r="D1124" s="3" t="s">
        <v>9</v>
      </c>
      <c r="E1124" s="3" t="s">
        <v>5</v>
      </c>
      <c r="F1124" s="3" t="s">
        <v>10</v>
      </c>
      <c r="G1124" s="3" t="s">
        <v>2547</v>
      </c>
      <c r="H1124" s="3" t="s">
        <v>2548</v>
      </c>
      <c r="I1124" s="4">
        <v>2708.64</v>
      </c>
      <c r="J1124" s="3" t="s">
        <v>11</v>
      </c>
      <c r="K1124" t="e">
        <f>MATCH(A1124,Database!$A$2:$A$948,0)</f>
        <v>#N/A</v>
      </c>
      <c r="L1124" t="e">
        <f>VLOOKUP(A1124,Database!$A$2:$I$948,4,0)</f>
        <v>#N/A</v>
      </c>
      <c r="M1124" t="e">
        <f t="shared" si="37"/>
        <v>#N/A</v>
      </c>
      <c r="N1124" t="e">
        <f>VLOOKUP(A1124,Database!$A$2:$I$948,5,0)</f>
        <v>#N/A</v>
      </c>
    </row>
    <row r="1125" spans="1:14" hidden="1" x14ac:dyDescent="0.35">
      <c r="A1125" s="3">
        <v>103406418</v>
      </c>
      <c r="B1125" s="3" t="s">
        <v>2549</v>
      </c>
      <c r="C1125" s="3" t="str">
        <f t="shared" si="36"/>
        <v>2022-07-06</v>
      </c>
      <c r="D1125" s="3" t="s">
        <v>9</v>
      </c>
      <c r="E1125" s="3" t="s">
        <v>5</v>
      </c>
      <c r="F1125" s="3" t="s">
        <v>12</v>
      </c>
      <c r="G1125" s="3" t="s">
        <v>2550</v>
      </c>
      <c r="H1125" s="3" t="s">
        <v>2551</v>
      </c>
      <c r="I1125" s="3">
        <v>369</v>
      </c>
      <c r="J1125" s="3" t="s">
        <v>11</v>
      </c>
      <c r="K1125" t="e">
        <f>MATCH(A1125,Database!$A$2:$A$948,0)</f>
        <v>#N/A</v>
      </c>
      <c r="L1125" t="e">
        <f>VLOOKUP(A1125,Database!$A$2:$I$948,4,0)</f>
        <v>#N/A</v>
      </c>
      <c r="M1125" t="e">
        <f t="shared" si="37"/>
        <v>#N/A</v>
      </c>
      <c r="N1125" t="e">
        <f>VLOOKUP(A1125,Database!$A$2:$I$948,5,0)</f>
        <v>#N/A</v>
      </c>
    </row>
    <row r="1126" spans="1:14" hidden="1" x14ac:dyDescent="0.35">
      <c r="A1126" s="3">
        <v>103406416</v>
      </c>
      <c r="B1126" s="3" t="s">
        <v>2552</v>
      </c>
      <c r="C1126" s="3" t="str">
        <f t="shared" si="36"/>
        <v>2022-07-06</v>
      </c>
      <c r="D1126" s="3" t="s">
        <v>9</v>
      </c>
      <c r="E1126" s="3" t="s">
        <v>5</v>
      </c>
      <c r="F1126" s="3" t="s">
        <v>10</v>
      </c>
      <c r="G1126" s="3" t="s">
        <v>2553</v>
      </c>
      <c r="H1126" s="3" t="s">
        <v>2554</v>
      </c>
      <c r="I1126" s="4">
        <v>2849.05</v>
      </c>
      <c r="J1126" s="3" t="s">
        <v>11</v>
      </c>
      <c r="K1126" t="e">
        <f>MATCH(A1126,Database!$A$2:$A$948,0)</f>
        <v>#N/A</v>
      </c>
      <c r="L1126" t="e">
        <f>VLOOKUP(A1126,Database!$A$2:$I$948,4,0)</f>
        <v>#N/A</v>
      </c>
      <c r="M1126" t="e">
        <f t="shared" si="37"/>
        <v>#N/A</v>
      </c>
      <c r="N1126" t="e">
        <f>VLOOKUP(A1126,Database!$A$2:$I$948,5,0)</f>
        <v>#N/A</v>
      </c>
    </row>
    <row r="1127" spans="1:14" hidden="1" x14ac:dyDescent="0.35">
      <c r="A1127" s="3">
        <v>103406415</v>
      </c>
      <c r="B1127" s="3" t="s">
        <v>2555</v>
      </c>
      <c r="C1127" s="3" t="str">
        <f t="shared" si="36"/>
        <v>2022-07-06</v>
      </c>
      <c r="D1127" s="3" t="s">
        <v>9</v>
      </c>
      <c r="E1127" s="3" t="s">
        <v>5</v>
      </c>
      <c r="F1127" s="3" t="s">
        <v>12</v>
      </c>
      <c r="G1127" s="3" t="s">
        <v>2556</v>
      </c>
      <c r="H1127" s="3" t="s">
        <v>2557</v>
      </c>
      <c r="I1127" s="3">
        <v>479</v>
      </c>
      <c r="J1127" s="3" t="s">
        <v>11</v>
      </c>
      <c r="K1127" t="e">
        <f>MATCH(A1127,Database!$A$2:$A$948,0)</f>
        <v>#N/A</v>
      </c>
      <c r="L1127" t="e">
        <f>VLOOKUP(A1127,Database!$A$2:$I$948,4,0)</f>
        <v>#N/A</v>
      </c>
      <c r="M1127" t="e">
        <f t="shared" si="37"/>
        <v>#N/A</v>
      </c>
      <c r="N1127" t="e">
        <f>VLOOKUP(A1127,Database!$A$2:$I$948,5,0)</f>
        <v>#N/A</v>
      </c>
    </row>
    <row r="1128" spans="1:14" hidden="1" x14ac:dyDescent="0.35">
      <c r="A1128" s="3">
        <v>103406339</v>
      </c>
      <c r="B1128" s="3" t="s">
        <v>2558</v>
      </c>
      <c r="C1128" s="3" t="str">
        <f t="shared" si="36"/>
        <v>2022-07-06</v>
      </c>
      <c r="D1128" s="3" t="s">
        <v>9</v>
      </c>
      <c r="E1128" s="3" t="s">
        <v>5</v>
      </c>
      <c r="F1128" s="3" t="s">
        <v>10</v>
      </c>
      <c r="G1128" s="3" t="s">
        <v>2559</v>
      </c>
      <c r="H1128" s="3" t="s">
        <v>2560</v>
      </c>
      <c r="I1128" s="4">
        <v>3138.89</v>
      </c>
      <c r="J1128" s="3" t="s">
        <v>11</v>
      </c>
      <c r="K1128" t="e">
        <f>MATCH(A1128,Database!$A$2:$A$948,0)</f>
        <v>#N/A</v>
      </c>
      <c r="L1128" t="e">
        <f>VLOOKUP(A1128,Database!$A$2:$I$948,4,0)</f>
        <v>#N/A</v>
      </c>
      <c r="M1128" t="e">
        <f t="shared" si="37"/>
        <v>#N/A</v>
      </c>
      <c r="N1128" t="e">
        <f>VLOOKUP(A1128,Database!$A$2:$I$948,5,0)</f>
        <v>#N/A</v>
      </c>
    </row>
    <row r="1129" spans="1:14" hidden="1" x14ac:dyDescent="0.35">
      <c r="A1129" s="3">
        <v>103406414</v>
      </c>
      <c r="B1129" s="3" t="s">
        <v>2561</v>
      </c>
      <c r="C1129" s="3" t="str">
        <f t="shared" si="36"/>
        <v>2022-07-06</v>
      </c>
      <c r="D1129" s="3" t="s">
        <v>9</v>
      </c>
      <c r="E1129" s="3" t="s">
        <v>5</v>
      </c>
      <c r="F1129" s="3" t="s">
        <v>10</v>
      </c>
      <c r="G1129" s="3" t="s">
        <v>2562</v>
      </c>
      <c r="H1129" s="3" t="s">
        <v>2563</v>
      </c>
      <c r="I1129" s="5">
        <v>2499</v>
      </c>
      <c r="J1129" s="3" t="s">
        <v>11</v>
      </c>
      <c r="K1129" t="e">
        <f>MATCH(A1129,Database!$A$2:$A$948,0)</f>
        <v>#N/A</v>
      </c>
      <c r="L1129" t="e">
        <f>VLOOKUP(A1129,Database!$A$2:$I$948,4,0)</f>
        <v>#N/A</v>
      </c>
      <c r="M1129" t="e">
        <f t="shared" si="37"/>
        <v>#N/A</v>
      </c>
      <c r="N1129" t="e">
        <f>VLOOKUP(A1129,Database!$A$2:$I$948,5,0)</f>
        <v>#N/A</v>
      </c>
    </row>
    <row r="1130" spans="1:14" hidden="1" x14ac:dyDescent="0.35">
      <c r="A1130" s="3">
        <v>103406413</v>
      </c>
      <c r="B1130" s="3" t="s">
        <v>2564</v>
      </c>
      <c r="C1130" s="3" t="str">
        <f t="shared" si="36"/>
        <v>2022-07-06</v>
      </c>
      <c r="D1130" s="3" t="s">
        <v>9</v>
      </c>
      <c r="E1130" s="3" t="s">
        <v>5</v>
      </c>
      <c r="F1130" s="3" t="s">
        <v>10</v>
      </c>
      <c r="G1130" s="3" t="s">
        <v>2565</v>
      </c>
      <c r="H1130" s="3" t="s">
        <v>2566</v>
      </c>
      <c r="I1130" s="4">
        <v>1794.64</v>
      </c>
      <c r="J1130" s="3" t="s">
        <v>11</v>
      </c>
      <c r="K1130" t="e">
        <f>MATCH(A1130,Database!$A$2:$A$948,0)</f>
        <v>#N/A</v>
      </c>
      <c r="L1130" t="e">
        <f>VLOOKUP(A1130,Database!$A$2:$I$948,4,0)</f>
        <v>#N/A</v>
      </c>
      <c r="M1130" t="e">
        <f t="shared" si="37"/>
        <v>#N/A</v>
      </c>
      <c r="N1130" t="e">
        <f>VLOOKUP(A1130,Database!$A$2:$I$948,5,0)</f>
        <v>#N/A</v>
      </c>
    </row>
    <row r="1131" spans="1:14" hidden="1" x14ac:dyDescent="0.35">
      <c r="A1131" s="3">
        <v>103406335</v>
      </c>
      <c r="B1131" s="3" t="s">
        <v>2567</v>
      </c>
      <c r="C1131" s="3" t="str">
        <f t="shared" si="36"/>
        <v>2022-07-06</v>
      </c>
      <c r="D1131" s="3" t="s">
        <v>9</v>
      </c>
      <c r="E1131" s="3" t="s">
        <v>5</v>
      </c>
      <c r="F1131" s="3" t="s">
        <v>10</v>
      </c>
      <c r="G1131" s="3" t="s">
        <v>2568</v>
      </c>
      <c r="H1131" s="3" t="s">
        <v>2569</v>
      </c>
      <c r="I1131" s="4">
        <v>4653.1000000000004</v>
      </c>
      <c r="J1131" s="3" t="s">
        <v>11</v>
      </c>
      <c r="K1131" t="e">
        <f>MATCH(A1131,Database!$A$2:$A$948,0)</f>
        <v>#N/A</v>
      </c>
      <c r="L1131" t="e">
        <f>VLOOKUP(A1131,Database!$A$2:$I$948,4,0)</f>
        <v>#N/A</v>
      </c>
      <c r="M1131" t="e">
        <f t="shared" si="37"/>
        <v>#N/A</v>
      </c>
      <c r="N1131" t="e">
        <f>VLOOKUP(A1131,Database!$A$2:$I$948,5,0)</f>
        <v>#N/A</v>
      </c>
    </row>
    <row r="1132" spans="1:14" hidden="1" x14ac:dyDescent="0.35">
      <c r="A1132" s="3">
        <v>103406408</v>
      </c>
      <c r="B1132" s="3" t="s">
        <v>2570</v>
      </c>
      <c r="C1132" s="3" t="str">
        <f t="shared" si="36"/>
        <v>2022-07-06</v>
      </c>
      <c r="D1132" s="3" t="s">
        <v>9</v>
      </c>
      <c r="E1132" s="3" t="s">
        <v>5</v>
      </c>
      <c r="F1132" s="3" t="s">
        <v>10</v>
      </c>
      <c r="G1132" s="3" t="s">
        <v>2571</v>
      </c>
      <c r="H1132" s="3" t="s">
        <v>2572</v>
      </c>
      <c r="I1132" s="3">
        <v>369</v>
      </c>
      <c r="J1132" s="3" t="s">
        <v>11</v>
      </c>
      <c r="K1132" t="e">
        <f>MATCH(A1132,Database!$A$2:$A$948,0)</f>
        <v>#N/A</v>
      </c>
      <c r="L1132" t="e">
        <f>VLOOKUP(A1132,Database!$A$2:$I$948,4,0)</f>
        <v>#N/A</v>
      </c>
      <c r="M1132" t="e">
        <f t="shared" si="37"/>
        <v>#N/A</v>
      </c>
      <c r="N1132" t="e">
        <f>VLOOKUP(A1132,Database!$A$2:$I$948,5,0)</f>
        <v>#N/A</v>
      </c>
    </row>
    <row r="1133" spans="1:14" hidden="1" x14ac:dyDescent="0.35">
      <c r="A1133" s="3">
        <v>103406330</v>
      </c>
      <c r="B1133" s="3" t="s">
        <v>2573</v>
      </c>
      <c r="C1133" s="3" t="str">
        <f t="shared" si="36"/>
        <v>2022-07-06</v>
      </c>
      <c r="D1133" s="3" t="s">
        <v>9</v>
      </c>
      <c r="E1133" s="3" t="s">
        <v>5</v>
      </c>
      <c r="F1133" s="3" t="s">
        <v>12</v>
      </c>
      <c r="G1133" s="3" t="s">
        <v>2574</v>
      </c>
      <c r="H1133" s="3" t="s">
        <v>2575</v>
      </c>
      <c r="I1133" s="3">
        <v>419</v>
      </c>
      <c r="J1133" s="3" t="s">
        <v>11</v>
      </c>
      <c r="K1133" t="e">
        <f>MATCH(A1133,Database!$A$2:$A$948,0)</f>
        <v>#N/A</v>
      </c>
      <c r="L1133" t="e">
        <f>VLOOKUP(A1133,Database!$A$2:$I$948,4,0)</f>
        <v>#N/A</v>
      </c>
      <c r="M1133" t="e">
        <f t="shared" si="37"/>
        <v>#N/A</v>
      </c>
      <c r="N1133" t="e">
        <f>VLOOKUP(A1133,Database!$A$2:$I$948,5,0)</f>
        <v>#N/A</v>
      </c>
    </row>
    <row r="1134" spans="1:14" hidden="1" x14ac:dyDescent="0.35">
      <c r="A1134" s="3">
        <v>103406323</v>
      </c>
      <c r="B1134" s="3" t="s">
        <v>2576</v>
      </c>
      <c r="C1134" s="3" t="str">
        <f t="shared" si="36"/>
        <v>2022-07-06</v>
      </c>
      <c r="D1134" s="3" t="s">
        <v>9</v>
      </c>
      <c r="E1134" s="3" t="s">
        <v>5</v>
      </c>
      <c r="F1134" s="3" t="s">
        <v>10</v>
      </c>
      <c r="G1134" s="3" t="s">
        <v>2577</v>
      </c>
      <c r="H1134" s="3" t="s">
        <v>2578</v>
      </c>
      <c r="I1134" s="3">
        <v>999</v>
      </c>
      <c r="J1134" s="3" t="s">
        <v>13</v>
      </c>
      <c r="K1134" t="e">
        <f>MATCH(A1134,Database!$A$2:$A$948,0)</f>
        <v>#N/A</v>
      </c>
      <c r="L1134" t="e">
        <f>VLOOKUP(A1134,Database!$A$2:$I$948,4,0)</f>
        <v>#N/A</v>
      </c>
      <c r="M1134" t="e">
        <f t="shared" si="37"/>
        <v>#N/A</v>
      </c>
      <c r="N1134" t="e">
        <f>VLOOKUP(A1134,Database!$A$2:$I$948,5,0)</f>
        <v>#N/A</v>
      </c>
    </row>
    <row r="1135" spans="1:14" hidden="1" x14ac:dyDescent="0.35">
      <c r="A1135" s="3">
        <v>103406324</v>
      </c>
      <c r="B1135" s="3" t="s">
        <v>2576</v>
      </c>
      <c r="C1135" s="3" t="str">
        <f t="shared" si="36"/>
        <v>2022-07-06</v>
      </c>
      <c r="D1135" s="3" t="s">
        <v>9</v>
      </c>
      <c r="E1135" s="3" t="s">
        <v>5</v>
      </c>
      <c r="F1135" s="3" t="s">
        <v>10</v>
      </c>
      <c r="G1135" s="3" t="s">
        <v>2579</v>
      </c>
      <c r="H1135" s="3" t="s">
        <v>2580</v>
      </c>
      <c r="I1135" s="4">
        <v>3157.85</v>
      </c>
      <c r="J1135" s="3" t="s">
        <v>11</v>
      </c>
      <c r="K1135" t="e">
        <f>MATCH(A1135,Database!$A$2:$A$948,0)</f>
        <v>#N/A</v>
      </c>
      <c r="L1135" t="e">
        <f>VLOOKUP(A1135,Database!$A$2:$I$948,4,0)</f>
        <v>#N/A</v>
      </c>
      <c r="M1135" t="e">
        <f t="shared" si="37"/>
        <v>#N/A</v>
      </c>
      <c r="N1135" t="e">
        <f>VLOOKUP(A1135,Database!$A$2:$I$948,5,0)</f>
        <v>#N/A</v>
      </c>
    </row>
    <row r="1136" spans="1:14" hidden="1" x14ac:dyDescent="0.35">
      <c r="A1136" s="3">
        <v>103406402</v>
      </c>
      <c r="B1136" s="3" t="s">
        <v>2576</v>
      </c>
      <c r="C1136" s="3" t="str">
        <f t="shared" si="36"/>
        <v>2022-07-06</v>
      </c>
      <c r="D1136" s="3" t="s">
        <v>9</v>
      </c>
      <c r="E1136" s="3" t="s">
        <v>5</v>
      </c>
      <c r="F1136" s="3" t="s">
        <v>10</v>
      </c>
      <c r="G1136" s="3" t="s">
        <v>2581</v>
      </c>
      <c r="H1136" s="3" t="s">
        <v>2582</v>
      </c>
      <c r="I1136" s="3">
        <v>839</v>
      </c>
      <c r="J1136" s="3" t="s">
        <v>11</v>
      </c>
      <c r="K1136" t="e">
        <f>MATCH(A1136,Database!$A$2:$A$948,0)</f>
        <v>#N/A</v>
      </c>
      <c r="L1136" t="e">
        <f>VLOOKUP(A1136,Database!$A$2:$I$948,4,0)</f>
        <v>#N/A</v>
      </c>
      <c r="M1136" t="e">
        <f t="shared" si="37"/>
        <v>#N/A</v>
      </c>
      <c r="N1136" t="e">
        <f>VLOOKUP(A1136,Database!$A$2:$I$948,5,0)</f>
        <v>#N/A</v>
      </c>
    </row>
    <row r="1137" spans="1:14" hidden="1" x14ac:dyDescent="0.35">
      <c r="A1137" s="3">
        <v>103406399</v>
      </c>
      <c r="B1137" s="3" t="s">
        <v>2583</v>
      </c>
      <c r="C1137" s="3" t="str">
        <f t="shared" si="36"/>
        <v>2022-07-06</v>
      </c>
      <c r="D1137" s="3" t="s">
        <v>9</v>
      </c>
      <c r="E1137" s="3" t="s">
        <v>5</v>
      </c>
      <c r="F1137" s="3" t="s">
        <v>10</v>
      </c>
      <c r="G1137" s="3" t="s">
        <v>2581</v>
      </c>
      <c r="H1137" s="3" t="s">
        <v>2582</v>
      </c>
      <c r="I1137" s="5">
        <v>1119</v>
      </c>
      <c r="J1137" s="3" t="s">
        <v>11</v>
      </c>
      <c r="K1137" t="e">
        <f>MATCH(A1137,Database!$A$2:$A$948,0)</f>
        <v>#N/A</v>
      </c>
      <c r="L1137" t="e">
        <f>VLOOKUP(A1137,Database!$A$2:$I$948,4,0)</f>
        <v>#N/A</v>
      </c>
      <c r="M1137" t="e">
        <f t="shared" si="37"/>
        <v>#N/A</v>
      </c>
      <c r="N1137" t="e">
        <f>VLOOKUP(A1137,Database!$A$2:$I$948,5,0)</f>
        <v>#N/A</v>
      </c>
    </row>
    <row r="1138" spans="1:14" hidden="1" x14ac:dyDescent="0.35">
      <c r="A1138" s="3">
        <v>103406396</v>
      </c>
      <c r="B1138" s="3" t="s">
        <v>2584</v>
      </c>
      <c r="C1138" s="3" t="str">
        <f t="shared" si="36"/>
        <v>2022-07-06</v>
      </c>
      <c r="D1138" s="3" t="s">
        <v>9</v>
      </c>
      <c r="E1138" s="3" t="s">
        <v>5</v>
      </c>
      <c r="F1138" s="3" t="s">
        <v>10</v>
      </c>
      <c r="G1138" s="3" t="s">
        <v>2585</v>
      </c>
      <c r="H1138" s="3" t="s">
        <v>2586</v>
      </c>
      <c r="I1138" s="5">
        <v>2599</v>
      </c>
      <c r="J1138" s="3" t="s">
        <v>11</v>
      </c>
      <c r="K1138" t="e">
        <f>MATCH(A1138,Database!$A$2:$A$948,0)</f>
        <v>#N/A</v>
      </c>
      <c r="L1138" t="e">
        <f>VLOOKUP(A1138,Database!$A$2:$I$948,4,0)</f>
        <v>#N/A</v>
      </c>
      <c r="M1138" t="e">
        <f t="shared" si="37"/>
        <v>#N/A</v>
      </c>
      <c r="N1138" t="e">
        <f>VLOOKUP(A1138,Database!$A$2:$I$948,5,0)</f>
        <v>#N/A</v>
      </c>
    </row>
    <row r="1139" spans="1:14" hidden="1" x14ac:dyDescent="0.35">
      <c r="A1139" s="3">
        <v>103406319</v>
      </c>
      <c r="B1139" s="3" t="s">
        <v>2587</v>
      </c>
      <c r="C1139" s="3" t="str">
        <f t="shared" si="36"/>
        <v>2022-07-06</v>
      </c>
      <c r="D1139" s="3" t="s">
        <v>9</v>
      </c>
      <c r="E1139" s="3" t="s">
        <v>5</v>
      </c>
      <c r="F1139" s="3" t="s">
        <v>10</v>
      </c>
      <c r="G1139" s="3" t="s">
        <v>2588</v>
      </c>
      <c r="H1139" s="3" t="s">
        <v>2589</v>
      </c>
      <c r="I1139" s="5">
        <v>1558</v>
      </c>
      <c r="J1139" s="3" t="s">
        <v>11</v>
      </c>
      <c r="K1139" t="e">
        <f>MATCH(A1139,Database!$A$2:$A$948,0)</f>
        <v>#N/A</v>
      </c>
      <c r="L1139" t="e">
        <f>VLOOKUP(A1139,Database!$A$2:$I$948,4,0)</f>
        <v>#N/A</v>
      </c>
      <c r="M1139" t="e">
        <f t="shared" si="37"/>
        <v>#N/A</v>
      </c>
      <c r="N1139" t="e">
        <f>VLOOKUP(A1139,Database!$A$2:$I$948,5,0)</f>
        <v>#N/A</v>
      </c>
    </row>
    <row r="1140" spans="1:14" hidden="1" x14ac:dyDescent="0.35">
      <c r="A1140" s="3">
        <v>103406318</v>
      </c>
      <c r="B1140" s="3" t="s">
        <v>2590</v>
      </c>
      <c r="C1140" s="3" t="str">
        <f t="shared" si="36"/>
        <v>2022-07-06</v>
      </c>
      <c r="D1140" s="3" t="s">
        <v>9</v>
      </c>
      <c r="E1140" s="3" t="s">
        <v>5</v>
      </c>
      <c r="F1140" s="3" t="s">
        <v>10</v>
      </c>
      <c r="G1140" s="3" t="s">
        <v>2591</v>
      </c>
      <c r="H1140" s="3" t="s">
        <v>2592</v>
      </c>
      <c r="I1140" s="4">
        <v>2051.14</v>
      </c>
      <c r="J1140" s="3" t="s">
        <v>11</v>
      </c>
      <c r="K1140" t="e">
        <f>MATCH(A1140,Database!$A$2:$A$948,0)</f>
        <v>#N/A</v>
      </c>
      <c r="L1140" t="e">
        <f>VLOOKUP(A1140,Database!$A$2:$I$948,4,0)</f>
        <v>#N/A</v>
      </c>
      <c r="M1140" t="e">
        <f t="shared" si="37"/>
        <v>#N/A</v>
      </c>
      <c r="N1140" t="e">
        <f>VLOOKUP(A1140,Database!$A$2:$I$948,5,0)</f>
        <v>#N/A</v>
      </c>
    </row>
    <row r="1141" spans="1:14" hidden="1" x14ac:dyDescent="0.35">
      <c r="A1141" s="3">
        <v>103406317</v>
      </c>
      <c r="B1141" s="3" t="s">
        <v>2593</v>
      </c>
      <c r="C1141" s="3" t="str">
        <f t="shared" si="36"/>
        <v>2022-07-06</v>
      </c>
      <c r="D1141" s="3" t="s">
        <v>9</v>
      </c>
      <c r="E1141" s="3" t="s">
        <v>5</v>
      </c>
      <c r="F1141" s="3" t="s">
        <v>10</v>
      </c>
      <c r="G1141" s="3" t="s">
        <v>23</v>
      </c>
      <c r="H1141" s="3" t="s">
        <v>2594</v>
      </c>
      <c r="I1141" s="3">
        <v>312.55</v>
      </c>
      <c r="J1141" s="3" t="s">
        <v>11</v>
      </c>
      <c r="K1141" t="e">
        <f>MATCH(A1141,Database!$A$2:$A$948,0)</f>
        <v>#N/A</v>
      </c>
      <c r="L1141" t="e">
        <f>VLOOKUP(A1141,Database!$A$2:$I$948,4,0)</f>
        <v>#N/A</v>
      </c>
      <c r="M1141" t="e">
        <f t="shared" si="37"/>
        <v>#N/A</v>
      </c>
      <c r="N1141" t="e">
        <f>VLOOKUP(A1141,Database!$A$2:$I$948,5,0)</f>
        <v>#N/A</v>
      </c>
    </row>
    <row r="1142" spans="1:14" hidden="1" x14ac:dyDescent="0.35">
      <c r="A1142" s="3">
        <v>103406309</v>
      </c>
      <c r="B1142" s="3" t="s">
        <v>2595</v>
      </c>
      <c r="C1142" s="3" t="str">
        <f t="shared" si="36"/>
        <v>2022-07-06</v>
      </c>
      <c r="D1142" s="3" t="s">
        <v>9</v>
      </c>
      <c r="E1142" s="3" t="s">
        <v>5</v>
      </c>
      <c r="F1142" s="3" t="s">
        <v>12</v>
      </c>
      <c r="G1142" s="3" t="s">
        <v>2596</v>
      </c>
      <c r="H1142" s="3" t="s">
        <v>2597</v>
      </c>
      <c r="I1142" s="5">
        <v>1079</v>
      </c>
      <c r="J1142" s="3" t="s">
        <v>11</v>
      </c>
      <c r="K1142" t="e">
        <f>MATCH(A1142,Database!$A$2:$A$948,0)</f>
        <v>#N/A</v>
      </c>
      <c r="L1142" t="e">
        <f>VLOOKUP(A1142,Database!$A$2:$I$948,4,0)</f>
        <v>#N/A</v>
      </c>
      <c r="M1142" t="e">
        <f t="shared" si="37"/>
        <v>#N/A</v>
      </c>
      <c r="N1142" t="e">
        <f>VLOOKUP(A1142,Database!$A$2:$I$948,5,0)</f>
        <v>#N/A</v>
      </c>
    </row>
    <row r="1143" spans="1:14" hidden="1" x14ac:dyDescent="0.35">
      <c r="A1143" s="3">
        <v>103406305</v>
      </c>
      <c r="B1143" s="3" t="s">
        <v>2598</v>
      </c>
      <c r="C1143" s="3" t="str">
        <f t="shared" si="36"/>
        <v>2022-07-06</v>
      </c>
      <c r="D1143" s="3" t="s">
        <v>9</v>
      </c>
      <c r="E1143" s="3" t="s">
        <v>5</v>
      </c>
      <c r="F1143" s="3" t="s">
        <v>10</v>
      </c>
      <c r="G1143" s="3" t="s">
        <v>2599</v>
      </c>
      <c r="H1143" s="3" t="s">
        <v>2600</v>
      </c>
      <c r="I1143" s="3">
        <v>569.04999999999995</v>
      </c>
      <c r="J1143" s="3" t="s">
        <v>11</v>
      </c>
      <c r="K1143" t="e">
        <f>MATCH(A1143,Database!$A$2:$A$948,0)</f>
        <v>#N/A</v>
      </c>
      <c r="L1143" t="e">
        <f>VLOOKUP(A1143,Database!$A$2:$I$948,4,0)</f>
        <v>#N/A</v>
      </c>
      <c r="M1143" t="e">
        <f t="shared" si="37"/>
        <v>#N/A</v>
      </c>
      <c r="N1143" t="e">
        <f>VLOOKUP(A1143,Database!$A$2:$I$948,5,0)</f>
        <v>#N/A</v>
      </c>
    </row>
    <row r="1144" spans="1:14" hidden="1" x14ac:dyDescent="0.35">
      <c r="A1144" s="3">
        <v>103406304</v>
      </c>
      <c r="B1144" s="3" t="s">
        <v>2601</v>
      </c>
      <c r="C1144" s="3" t="str">
        <f t="shared" si="36"/>
        <v>2022-07-06</v>
      </c>
      <c r="D1144" s="3" t="s">
        <v>9</v>
      </c>
      <c r="E1144" s="3" t="s">
        <v>5</v>
      </c>
      <c r="F1144" s="3" t="s">
        <v>10</v>
      </c>
      <c r="G1144" s="3" t="s">
        <v>2602</v>
      </c>
      <c r="H1144" s="3" t="s">
        <v>2603</v>
      </c>
      <c r="I1144" s="4">
        <v>2991.64</v>
      </c>
      <c r="J1144" s="3" t="s">
        <v>11</v>
      </c>
      <c r="K1144" t="e">
        <f>MATCH(A1144,Database!$A$2:$A$948,0)</f>
        <v>#N/A</v>
      </c>
      <c r="L1144" t="e">
        <f>VLOOKUP(A1144,Database!$A$2:$I$948,4,0)</f>
        <v>#N/A</v>
      </c>
      <c r="M1144" t="e">
        <f t="shared" si="37"/>
        <v>#N/A</v>
      </c>
      <c r="N1144" t="e">
        <f>VLOOKUP(A1144,Database!$A$2:$I$948,5,0)</f>
        <v>#N/A</v>
      </c>
    </row>
    <row r="1145" spans="1:14" hidden="1" x14ac:dyDescent="0.35">
      <c r="A1145" s="3">
        <v>103406302</v>
      </c>
      <c r="B1145" s="3" t="s">
        <v>2604</v>
      </c>
      <c r="C1145" s="3" t="str">
        <f t="shared" si="36"/>
        <v>2022-07-06</v>
      </c>
      <c r="D1145" s="3" t="s">
        <v>9</v>
      </c>
      <c r="E1145" s="3" t="s">
        <v>5</v>
      </c>
      <c r="F1145" s="3" t="s">
        <v>10</v>
      </c>
      <c r="G1145" s="3" t="s">
        <v>2605</v>
      </c>
      <c r="H1145" s="3" t="s">
        <v>2606</v>
      </c>
      <c r="I1145" s="4">
        <v>2991.55</v>
      </c>
      <c r="J1145" s="3" t="s">
        <v>11</v>
      </c>
      <c r="K1145" t="e">
        <f>MATCH(A1145,Database!$A$2:$A$948,0)</f>
        <v>#N/A</v>
      </c>
      <c r="L1145" t="e">
        <f>VLOOKUP(A1145,Database!$A$2:$I$948,4,0)</f>
        <v>#N/A</v>
      </c>
      <c r="M1145" t="e">
        <f t="shared" si="37"/>
        <v>#N/A</v>
      </c>
      <c r="N1145" t="e">
        <f>VLOOKUP(A1145,Database!$A$2:$I$948,5,0)</f>
        <v>#N/A</v>
      </c>
    </row>
    <row r="1146" spans="1:14" hidden="1" x14ac:dyDescent="0.35">
      <c r="A1146" s="3">
        <v>103406300</v>
      </c>
      <c r="B1146" s="3" t="s">
        <v>2607</v>
      </c>
      <c r="C1146" s="3" t="str">
        <f t="shared" si="36"/>
        <v>2022-07-06</v>
      </c>
      <c r="D1146" s="3" t="s">
        <v>9</v>
      </c>
      <c r="E1146" s="3" t="s">
        <v>5</v>
      </c>
      <c r="F1146" s="3" t="s">
        <v>10</v>
      </c>
      <c r="G1146" s="3" t="s">
        <v>2608</v>
      </c>
      <c r="H1146" s="3" t="s">
        <v>2609</v>
      </c>
      <c r="I1146" s="4">
        <v>2345.5500000000002</v>
      </c>
      <c r="J1146" s="3" t="s">
        <v>11</v>
      </c>
      <c r="K1146" t="e">
        <f>MATCH(A1146,Database!$A$2:$A$948,0)</f>
        <v>#N/A</v>
      </c>
      <c r="L1146" t="e">
        <f>VLOOKUP(A1146,Database!$A$2:$I$948,4,0)</f>
        <v>#N/A</v>
      </c>
      <c r="M1146" t="e">
        <f t="shared" si="37"/>
        <v>#N/A</v>
      </c>
      <c r="N1146" t="e">
        <f>VLOOKUP(A1146,Database!$A$2:$I$948,5,0)</f>
        <v>#N/A</v>
      </c>
    </row>
    <row r="1147" spans="1:14" hidden="1" x14ac:dyDescent="0.35">
      <c r="A1147" s="3">
        <v>103406292</v>
      </c>
      <c r="B1147" s="3" t="s">
        <v>2610</v>
      </c>
      <c r="C1147" s="3" t="str">
        <f t="shared" si="36"/>
        <v>2022-07-06</v>
      </c>
      <c r="D1147" s="3" t="s">
        <v>9</v>
      </c>
      <c r="E1147" s="3" t="s">
        <v>5</v>
      </c>
      <c r="F1147" s="3" t="s">
        <v>10</v>
      </c>
      <c r="G1147" s="3" t="s">
        <v>2611</v>
      </c>
      <c r="H1147" s="3" t="s">
        <v>2612</v>
      </c>
      <c r="I1147" s="5">
        <v>2279</v>
      </c>
      <c r="J1147" s="3" t="s">
        <v>11</v>
      </c>
      <c r="K1147" t="e">
        <f>MATCH(A1147,Database!$A$2:$A$948,0)</f>
        <v>#N/A</v>
      </c>
      <c r="L1147" t="e">
        <f>VLOOKUP(A1147,Database!$A$2:$I$948,4,0)</f>
        <v>#N/A</v>
      </c>
      <c r="M1147" t="e">
        <f t="shared" si="37"/>
        <v>#N/A</v>
      </c>
      <c r="N1147" t="e">
        <f>VLOOKUP(A1147,Database!$A$2:$I$948,5,0)</f>
        <v>#N/A</v>
      </c>
    </row>
    <row r="1148" spans="1:14" hidden="1" x14ac:dyDescent="0.35">
      <c r="A1148" s="3">
        <v>103406291</v>
      </c>
      <c r="B1148" s="3" t="s">
        <v>2613</v>
      </c>
      <c r="C1148" s="3" t="str">
        <f t="shared" si="36"/>
        <v>2022-07-06</v>
      </c>
      <c r="D1148" s="3" t="s">
        <v>9</v>
      </c>
      <c r="E1148" s="3" t="s">
        <v>5</v>
      </c>
      <c r="F1148" s="3" t="s">
        <v>12</v>
      </c>
      <c r="G1148" s="3" t="s">
        <v>2614</v>
      </c>
      <c r="H1148" s="3" t="s">
        <v>2615</v>
      </c>
      <c r="I1148" s="5">
        <v>2818</v>
      </c>
      <c r="J1148" s="3" t="s">
        <v>11</v>
      </c>
      <c r="K1148" t="e">
        <f>MATCH(A1148,Database!$A$2:$A$948,0)</f>
        <v>#N/A</v>
      </c>
      <c r="L1148" t="e">
        <f>VLOOKUP(A1148,Database!$A$2:$I$948,4,0)</f>
        <v>#N/A</v>
      </c>
      <c r="M1148" t="e">
        <f t="shared" si="37"/>
        <v>#N/A</v>
      </c>
      <c r="N1148" t="e">
        <f>VLOOKUP(A1148,Database!$A$2:$I$948,5,0)</f>
        <v>#N/A</v>
      </c>
    </row>
    <row r="1149" spans="1:14" hidden="1" x14ac:dyDescent="0.35">
      <c r="A1149" s="3">
        <v>103406385</v>
      </c>
      <c r="B1149" s="3" t="s">
        <v>2616</v>
      </c>
      <c r="C1149" s="3" t="str">
        <f t="shared" si="36"/>
        <v>2022-07-06</v>
      </c>
      <c r="D1149" s="3" t="s">
        <v>9</v>
      </c>
      <c r="E1149" s="3" t="s">
        <v>5</v>
      </c>
      <c r="F1149" s="3" t="s">
        <v>12</v>
      </c>
      <c r="G1149" s="3" t="s">
        <v>1988</v>
      </c>
      <c r="H1149" s="3" t="s">
        <v>1989</v>
      </c>
      <c r="I1149" s="5">
        <v>9999</v>
      </c>
      <c r="J1149" s="3" t="s">
        <v>11</v>
      </c>
      <c r="K1149" t="e">
        <f>MATCH(A1149,Database!$A$2:$A$948,0)</f>
        <v>#N/A</v>
      </c>
      <c r="L1149" t="e">
        <f>VLOOKUP(A1149,Database!$A$2:$I$948,4,0)</f>
        <v>#N/A</v>
      </c>
      <c r="M1149" t="e">
        <f t="shared" si="37"/>
        <v>#N/A</v>
      </c>
      <c r="N1149" t="e">
        <f>VLOOKUP(A1149,Database!$A$2:$I$948,5,0)</f>
        <v>#N/A</v>
      </c>
    </row>
    <row r="1150" spans="1:14" hidden="1" x14ac:dyDescent="0.35">
      <c r="A1150" s="3">
        <v>103406287</v>
      </c>
      <c r="B1150" s="3" t="s">
        <v>2617</v>
      </c>
      <c r="C1150" s="3" t="str">
        <f t="shared" si="36"/>
        <v>2022-07-06</v>
      </c>
      <c r="D1150" s="3" t="s">
        <v>9</v>
      </c>
      <c r="E1150" s="3" t="s">
        <v>5</v>
      </c>
      <c r="F1150" s="3" t="s">
        <v>10</v>
      </c>
      <c r="G1150" s="3" t="s">
        <v>2618</v>
      </c>
      <c r="H1150" s="3" t="s">
        <v>2619</v>
      </c>
      <c r="I1150" s="5">
        <v>4999</v>
      </c>
      <c r="J1150" s="3" t="s">
        <v>11</v>
      </c>
      <c r="K1150" t="e">
        <f>MATCH(A1150,Database!$A$2:$A$948,0)</f>
        <v>#N/A</v>
      </c>
      <c r="L1150" t="e">
        <f>VLOOKUP(A1150,Database!$A$2:$I$948,4,0)</f>
        <v>#N/A</v>
      </c>
      <c r="M1150" t="e">
        <f t="shared" si="37"/>
        <v>#N/A</v>
      </c>
      <c r="N1150" t="e">
        <f>VLOOKUP(A1150,Database!$A$2:$I$948,5,0)</f>
        <v>#N/A</v>
      </c>
    </row>
    <row r="1151" spans="1:14" hidden="1" x14ac:dyDescent="0.35">
      <c r="A1151" s="3">
        <v>103406282</v>
      </c>
      <c r="B1151" s="3" t="s">
        <v>2620</v>
      </c>
      <c r="C1151" s="3" t="str">
        <f t="shared" si="36"/>
        <v>2022-07-06</v>
      </c>
      <c r="D1151" s="3" t="s">
        <v>9</v>
      </c>
      <c r="E1151" s="3" t="s">
        <v>5</v>
      </c>
      <c r="F1151" s="3" t="s">
        <v>10</v>
      </c>
      <c r="G1151" s="3" t="s">
        <v>2621</v>
      </c>
      <c r="H1151" s="3" t="s">
        <v>2622</v>
      </c>
      <c r="I1151" s="4">
        <v>2136.5500000000002</v>
      </c>
      <c r="J1151" s="3" t="s">
        <v>11</v>
      </c>
      <c r="K1151" t="e">
        <f>MATCH(A1151,Database!$A$2:$A$948,0)</f>
        <v>#N/A</v>
      </c>
      <c r="L1151" t="e">
        <f>VLOOKUP(A1151,Database!$A$2:$I$948,4,0)</f>
        <v>#N/A</v>
      </c>
      <c r="M1151" t="e">
        <f t="shared" si="37"/>
        <v>#N/A</v>
      </c>
      <c r="N1151" t="e">
        <f>VLOOKUP(A1151,Database!$A$2:$I$948,5,0)</f>
        <v>#N/A</v>
      </c>
    </row>
    <row r="1152" spans="1:14" hidden="1" x14ac:dyDescent="0.35">
      <c r="A1152" s="3">
        <v>103406374</v>
      </c>
      <c r="B1152" s="3" t="s">
        <v>2623</v>
      </c>
      <c r="C1152" s="3" t="str">
        <f t="shared" si="36"/>
        <v>2022-07-06</v>
      </c>
      <c r="D1152" s="3" t="s">
        <v>9</v>
      </c>
      <c r="E1152" s="3" t="s">
        <v>5</v>
      </c>
      <c r="F1152" s="3" t="s">
        <v>10</v>
      </c>
      <c r="G1152" s="3" t="s">
        <v>2624</v>
      </c>
      <c r="H1152" s="3" t="s">
        <v>2625</v>
      </c>
      <c r="I1152" s="3">
        <v>797.05</v>
      </c>
      <c r="J1152" s="3" t="s">
        <v>11</v>
      </c>
      <c r="K1152" t="e">
        <f>MATCH(A1152,Database!$A$2:$A$948,0)</f>
        <v>#N/A</v>
      </c>
      <c r="L1152" t="e">
        <f>VLOOKUP(A1152,Database!$A$2:$I$948,4,0)</f>
        <v>#N/A</v>
      </c>
      <c r="M1152" t="e">
        <f t="shared" si="37"/>
        <v>#N/A</v>
      </c>
      <c r="N1152" t="e">
        <f>VLOOKUP(A1152,Database!$A$2:$I$948,5,0)</f>
        <v>#N/A</v>
      </c>
    </row>
    <row r="1153" spans="1:14" hidden="1" x14ac:dyDescent="0.35">
      <c r="A1153" s="3">
        <v>103406370</v>
      </c>
      <c r="B1153" s="3" t="s">
        <v>2626</v>
      </c>
      <c r="C1153" s="3" t="str">
        <f t="shared" si="36"/>
        <v>2022-07-06</v>
      </c>
      <c r="D1153" s="3" t="s">
        <v>9</v>
      </c>
      <c r="E1153" s="3" t="s">
        <v>5</v>
      </c>
      <c r="F1153" s="3" t="s">
        <v>12</v>
      </c>
      <c r="G1153" s="3" t="s">
        <v>2627</v>
      </c>
      <c r="H1153" s="3" t="s">
        <v>2628</v>
      </c>
      <c r="I1153" s="4">
        <v>1196.05</v>
      </c>
      <c r="J1153" s="3" t="s">
        <v>11</v>
      </c>
      <c r="K1153" t="e">
        <f>MATCH(A1153,Database!$A$2:$A$948,0)</f>
        <v>#N/A</v>
      </c>
      <c r="L1153" t="e">
        <f>VLOOKUP(A1153,Database!$A$2:$I$948,4,0)</f>
        <v>#N/A</v>
      </c>
      <c r="M1153" t="e">
        <f t="shared" si="37"/>
        <v>#N/A</v>
      </c>
      <c r="N1153" t="e">
        <f>VLOOKUP(A1153,Database!$A$2:$I$948,5,0)</f>
        <v>#N/A</v>
      </c>
    </row>
    <row r="1154" spans="1:14" hidden="1" x14ac:dyDescent="0.35">
      <c r="A1154" s="3">
        <v>103406366</v>
      </c>
      <c r="B1154" s="3" t="s">
        <v>2629</v>
      </c>
      <c r="C1154" s="3" t="str">
        <f t="shared" si="36"/>
        <v>2022-07-06</v>
      </c>
      <c r="D1154" s="3" t="s">
        <v>9</v>
      </c>
      <c r="E1154" s="3" t="s">
        <v>5</v>
      </c>
      <c r="F1154" s="3" t="s">
        <v>10</v>
      </c>
      <c r="G1154" s="3" t="s">
        <v>2630</v>
      </c>
      <c r="H1154" s="3" t="s">
        <v>2631</v>
      </c>
      <c r="I1154" s="3">
        <v>440.1</v>
      </c>
      <c r="J1154" s="3" t="s">
        <v>11</v>
      </c>
      <c r="K1154" t="e">
        <f>MATCH(A1154,Database!$A$2:$A$948,0)</f>
        <v>#N/A</v>
      </c>
      <c r="L1154" t="e">
        <f>VLOOKUP(A1154,Database!$A$2:$I$948,4,0)</f>
        <v>#N/A</v>
      </c>
      <c r="M1154" t="e">
        <f t="shared" si="37"/>
        <v>#N/A</v>
      </c>
      <c r="N1154" t="e">
        <f>VLOOKUP(A1154,Database!$A$2:$I$948,5,0)</f>
        <v>#N/A</v>
      </c>
    </row>
    <row r="1155" spans="1:14" hidden="1" x14ac:dyDescent="0.35">
      <c r="A1155" s="3">
        <v>103406274</v>
      </c>
      <c r="B1155" s="3" t="s">
        <v>2632</v>
      </c>
      <c r="C1155" s="3" t="str">
        <f t="shared" ref="C1155:C1218" si="38">LEFT(B1155,FIND("T",B1155)-1)</f>
        <v>2022-07-06</v>
      </c>
      <c r="D1155" s="3" t="s">
        <v>9</v>
      </c>
      <c r="E1155" s="3" t="s">
        <v>5</v>
      </c>
      <c r="F1155" s="3" t="s">
        <v>10</v>
      </c>
      <c r="G1155" s="3" t="s">
        <v>2633</v>
      </c>
      <c r="H1155" s="3" t="s">
        <v>2634</v>
      </c>
      <c r="I1155" s="4">
        <v>2849.05</v>
      </c>
      <c r="J1155" s="3" t="s">
        <v>11</v>
      </c>
      <c r="K1155" t="e">
        <f>MATCH(A1155,Database!$A$2:$A$948,0)</f>
        <v>#N/A</v>
      </c>
      <c r="L1155" t="e">
        <f>VLOOKUP(A1155,Database!$A$2:$I$948,4,0)</f>
        <v>#N/A</v>
      </c>
      <c r="M1155" t="e">
        <f t="shared" si="37"/>
        <v>#N/A</v>
      </c>
      <c r="N1155" t="e">
        <f>VLOOKUP(A1155,Database!$A$2:$I$948,5,0)</f>
        <v>#N/A</v>
      </c>
    </row>
    <row r="1156" spans="1:14" hidden="1" x14ac:dyDescent="0.35">
      <c r="A1156" s="3">
        <v>103406271</v>
      </c>
      <c r="B1156" s="3" t="s">
        <v>2635</v>
      </c>
      <c r="C1156" s="3" t="str">
        <f t="shared" si="38"/>
        <v>2022-07-06</v>
      </c>
      <c r="D1156" s="3" t="s">
        <v>9</v>
      </c>
      <c r="E1156" s="3" t="s">
        <v>5</v>
      </c>
      <c r="F1156" s="3" t="s">
        <v>10</v>
      </c>
      <c r="G1156" s="3" t="s">
        <v>2636</v>
      </c>
      <c r="H1156" s="3" t="s">
        <v>2637</v>
      </c>
      <c r="I1156" s="3">
        <v>599</v>
      </c>
      <c r="J1156" s="3" t="s">
        <v>11</v>
      </c>
      <c r="K1156" t="e">
        <f>MATCH(A1156,Database!$A$2:$A$948,0)</f>
        <v>#N/A</v>
      </c>
      <c r="L1156" t="e">
        <f>VLOOKUP(A1156,Database!$A$2:$I$948,4,0)</f>
        <v>#N/A</v>
      </c>
      <c r="M1156" t="e">
        <f t="shared" si="37"/>
        <v>#N/A</v>
      </c>
      <c r="N1156" t="e">
        <f>VLOOKUP(A1156,Database!$A$2:$I$948,5,0)</f>
        <v>#N/A</v>
      </c>
    </row>
    <row r="1157" spans="1:14" hidden="1" x14ac:dyDescent="0.35">
      <c r="A1157" s="3">
        <v>103406269</v>
      </c>
      <c r="B1157" s="3" t="s">
        <v>2638</v>
      </c>
      <c r="C1157" s="3" t="str">
        <f t="shared" si="38"/>
        <v>2022-07-06</v>
      </c>
      <c r="D1157" s="3" t="s">
        <v>9</v>
      </c>
      <c r="E1157" s="3" t="s">
        <v>5</v>
      </c>
      <c r="F1157" s="3" t="s">
        <v>10</v>
      </c>
      <c r="G1157" s="3" t="s">
        <v>2639</v>
      </c>
      <c r="H1157" s="3" t="s">
        <v>2640</v>
      </c>
      <c r="I1157" s="5">
        <v>1599</v>
      </c>
      <c r="J1157" s="3" t="s">
        <v>11</v>
      </c>
      <c r="K1157" t="e">
        <f>MATCH(A1157,Database!$A$2:$A$948,0)</f>
        <v>#N/A</v>
      </c>
      <c r="L1157" t="e">
        <f>VLOOKUP(A1157,Database!$A$2:$I$948,4,0)</f>
        <v>#N/A</v>
      </c>
      <c r="M1157" t="e">
        <f t="shared" si="37"/>
        <v>#N/A</v>
      </c>
      <c r="N1157" t="e">
        <f>VLOOKUP(A1157,Database!$A$2:$I$948,5,0)</f>
        <v>#N/A</v>
      </c>
    </row>
    <row r="1158" spans="1:14" hidden="1" x14ac:dyDescent="0.35">
      <c r="A1158" s="3">
        <v>103406263</v>
      </c>
      <c r="B1158" s="3" t="s">
        <v>4792</v>
      </c>
      <c r="C1158" s="3" t="str">
        <f t="shared" si="38"/>
        <v>2022-07-06</v>
      </c>
      <c r="D1158" s="3" t="s">
        <v>9</v>
      </c>
      <c r="E1158" s="3" t="s">
        <v>5</v>
      </c>
      <c r="F1158" s="3" t="s">
        <v>10</v>
      </c>
      <c r="G1158" s="3" t="s">
        <v>4793</v>
      </c>
      <c r="H1158" s="3" t="s">
        <v>4794</v>
      </c>
      <c r="I1158" s="4">
        <v>6174.05</v>
      </c>
      <c r="J1158" s="3" t="s">
        <v>13</v>
      </c>
      <c r="K1158">
        <f>MATCH(A1158,Database!$A$2:$A$948,0)</f>
        <v>17</v>
      </c>
      <c r="L1158">
        <f>VLOOKUP(A1158,Database!$A$2:$I$948,4,0)</f>
        <v>6174.05</v>
      </c>
      <c r="M1158" t="b">
        <f t="shared" si="37"/>
        <v>1</v>
      </c>
      <c r="N1158">
        <f>VLOOKUP(A1158,Database!$A$2:$I$948,5,0)</f>
        <v>1</v>
      </c>
    </row>
    <row r="1159" spans="1:14" hidden="1" x14ac:dyDescent="0.35">
      <c r="A1159" s="3">
        <v>103406267</v>
      </c>
      <c r="B1159" s="3" t="s">
        <v>2641</v>
      </c>
      <c r="C1159" s="3" t="str">
        <f t="shared" si="38"/>
        <v>2022-07-06</v>
      </c>
      <c r="D1159" s="3" t="s">
        <v>9</v>
      </c>
      <c r="E1159" s="3" t="s">
        <v>5</v>
      </c>
      <c r="F1159" s="3" t="s">
        <v>10</v>
      </c>
      <c r="G1159" s="3" t="s">
        <v>2642</v>
      </c>
      <c r="H1159" s="3" t="s">
        <v>2643</v>
      </c>
      <c r="I1159" s="3">
        <v>599</v>
      </c>
      <c r="J1159" s="3" t="s">
        <v>11</v>
      </c>
      <c r="K1159" t="e">
        <f>MATCH(A1159,Database!$A$2:$A$948,0)</f>
        <v>#N/A</v>
      </c>
      <c r="L1159" t="e">
        <f>VLOOKUP(A1159,Database!$A$2:$I$948,4,0)</f>
        <v>#N/A</v>
      </c>
      <c r="M1159" t="e">
        <f t="shared" si="37"/>
        <v>#N/A</v>
      </c>
      <c r="N1159" t="e">
        <f>VLOOKUP(A1159,Database!$A$2:$I$948,5,0)</f>
        <v>#N/A</v>
      </c>
    </row>
    <row r="1160" spans="1:14" hidden="1" x14ac:dyDescent="0.35">
      <c r="A1160" s="3">
        <v>103406252</v>
      </c>
      <c r="B1160" s="3" t="s">
        <v>2644</v>
      </c>
      <c r="C1160" s="3" t="str">
        <f t="shared" si="38"/>
        <v>2022-07-06</v>
      </c>
      <c r="D1160" s="3" t="s">
        <v>9</v>
      </c>
      <c r="E1160" s="3" t="s">
        <v>5</v>
      </c>
      <c r="F1160" s="3" t="s">
        <v>10</v>
      </c>
      <c r="G1160" s="3" t="s">
        <v>2645</v>
      </c>
      <c r="H1160" s="3" t="s">
        <v>2646</v>
      </c>
      <c r="I1160" s="4">
        <v>6155.14</v>
      </c>
      <c r="J1160" s="3" t="s">
        <v>11</v>
      </c>
      <c r="K1160" t="e">
        <f>MATCH(A1160,Database!$A$2:$A$948,0)</f>
        <v>#N/A</v>
      </c>
      <c r="L1160" t="e">
        <f>VLOOKUP(A1160,Database!$A$2:$I$948,4,0)</f>
        <v>#N/A</v>
      </c>
      <c r="M1160" t="e">
        <f t="shared" si="37"/>
        <v>#N/A</v>
      </c>
      <c r="N1160" t="e">
        <f>VLOOKUP(A1160,Database!$A$2:$I$948,5,0)</f>
        <v>#N/A</v>
      </c>
    </row>
    <row r="1161" spans="1:14" hidden="1" x14ac:dyDescent="0.35">
      <c r="A1161" s="3">
        <v>103406156</v>
      </c>
      <c r="B1161" s="3" t="s">
        <v>2647</v>
      </c>
      <c r="C1161" s="3" t="str">
        <f t="shared" si="38"/>
        <v>2022-07-06</v>
      </c>
      <c r="D1161" s="3" t="s">
        <v>9</v>
      </c>
      <c r="E1161" s="3" t="s">
        <v>5</v>
      </c>
      <c r="F1161" s="3" t="s">
        <v>10</v>
      </c>
      <c r="G1161" s="3" t="s">
        <v>78</v>
      </c>
      <c r="H1161" s="3" t="s">
        <v>79</v>
      </c>
      <c r="I1161" s="4">
        <v>2506.1</v>
      </c>
      <c r="J1161" s="3" t="s">
        <v>11</v>
      </c>
      <c r="K1161" t="e">
        <f>MATCH(A1161,Database!$A$2:$A$948,0)</f>
        <v>#N/A</v>
      </c>
      <c r="L1161" t="e">
        <f>VLOOKUP(A1161,Database!$A$2:$I$948,4,0)</f>
        <v>#N/A</v>
      </c>
      <c r="M1161" t="e">
        <f t="shared" si="37"/>
        <v>#N/A</v>
      </c>
      <c r="N1161" t="e">
        <f>VLOOKUP(A1161,Database!$A$2:$I$948,5,0)</f>
        <v>#N/A</v>
      </c>
    </row>
    <row r="1162" spans="1:14" hidden="1" x14ac:dyDescent="0.35">
      <c r="A1162" s="3">
        <v>103406154</v>
      </c>
      <c r="B1162" s="3" t="s">
        <v>2648</v>
      </c>
      <c r="C1162" s="3" t="str">
        <f t="shared" si="38"/>
        <v>2022-07-06</v>
      </c>
      <c r="D1162" s="3" t="s">
        <v>9</v>
      </c>
      <c r="E1162" s="3" t="s">
        <v>5</v>
      </c>
      <c r="F1162" s="3" t="s">
        <v>10</v>
      </c>
      <c r="G1162" s="3" t="s">
        <v>2649</v>
      </c>
      <c r="H1162" s="3" t="s">
        <v>2650</v>
      </c>
      <c r="I1162" s="4">
        <v>2706.6</v>
      </c>
      <c r="J1162" s="3" t="s">
        <v>11</v>
      </c>
      <c r="K1162" t="e">
        <f>MATCH(A1162,Database!$A$2:$A$948,0)</f>
        <v>#N/A</v>
      </c>
      <c r="L1162" t="e">
        <f>VLOOKUP(A1162,Database!$A$2:$I$948,4,0)</f>
        <v>#N/A</v>
      </c>
      <c r="M1162" t="e">
        <f t="shared" si="37"/>
        <v>#N/A</v>
      </c>
      <c r="N1162" t="e">
        <f>VLOOKUP(A1162,Database!$A$2:$I$948,5,0)</f>
        <v>#N/A</v>
      </c>
    </row>
    <row r="1163" spans="1:14" hidden="1" x14ac:dyDescent="0.35">
      <c r="A1163" s="3">
        <v>103406247</v>
      </c>
      <c r="B1163" s="3" t="s">
        <v>2651</v>
      </c>
      <c r="C1163" s="3" t="str">
        <f t="shared" si="38"/>
        <v>2022-07-06</v>
      </c>
      <c r="D1163" s="3" t="s">
        <v>9</v>
      </c>
      <c r="E1163" s="3" t="s">
        <v>5</v>
      </c>
      <c r="F1163" s="3" t="s">
        <v>10</v>
      </c>
      <c r="G1163" s="3" t="s">
        <v>2652</v>
      </c>
      <c r="H1163" s="3" t="s">
        <v>2653</v>
      </c>
      <c r="I1163" s="4">
        <v>2408.5300000000002</v>
      </c>
      <c r="J1163" s="3" t="s">
        <v>11</v>
      </c>
      <c r="K1163" t="e">
        <f>MATCH(A1163,Database!$A$2:$A$948,0)</f>
        <v>#N/A</v>
      </c>
      <c r="L1163" t="e">
        <f>VLOOKUP(A1163,Database!$A$2:$I$948,4,0)</f>
        <v>#N/A</v>
      </c>
      <c r="M1163" t="e">
        <f t="shared" si="37"/>
        <v>#N/A</v>
      </c>
      <c r="N1163" t="e">
        <f>VLOOKUP(A1163,Database!$A$2:$I$948,5,0)</f>
        <v>#N/A</v>
      </c>
    </row>
    <row r="1164" spans="1:14" hidden="1" x14ac:dyDescent="0.35">
      <c r="A1164" s="3">
        <v>103406151</v>
      </c>
      <c r="B1164" s="3" t="s">
        <v>2654</v>
      </c>
      <c r="C1164" s="3" t="str">
        <f t="shared" si="38"/>
        <v>2022-07-06</v>
      </c>
      <c r="D1164" s="3" t="s">
        <v>9</v>
      </c>
      <c r="E1164" s="3" t="s">
        <v>5</v>
      </c>
      <c r="F1164" s="3" t="s">
        <v>10</v>
      </c>
      <c r="G1164" s="3" t="s">
        <v>2655</v>
      </c>
      <c r="H1164" s="3" t="s">
        <v>2656</v>
      </c>
      <c r="I1164" s="4">
        <v>2733.15</v>
      </c>
      <c r="J1164" s="3" t="s">
        <v>11</v>
      </c>
      <c r="K1164" t="e">
        <f>MATCH(A1164,Database!$A$2:$A$948,0)</f>
        <v>#N/A</v>
      </c>
      <c r="L1164" t="e">
        <f>VLOOKUP(A1164,Database!$A$2:$I$948,4,0)</f>
        <v>#N/A</v>
      </c>
      <c r="M1164" t="e">
        <f t="shared" ref="M1164:M1227" si="39">I1164=L1164</f>
        <v>#N/A</v>
      </c>
      <c r="N1164" t="e">
        <f>VLOOKUP(A1164,Database!$A$2:$I$948,5,0)</f>
        <v>#N/A</v>
      </c>
    </row>
    <row r="1165" spans="1:14" hidden="1" x14ac:dyDescent="0.35">
      <c r="A1165" s="3">
        <v>103406150</v>
      </c>
      <c r="B1165" s="3" t="s">
        <v>2657</v>
      </c>
      <c r="C1165" s="3" t="str">
        <f t="shared" si="38"/>
        <v>2022-07-06</v>
      </c>
      <c r="D1165" s="3" t="s">
        <v>9</v>
      </c>
      <c r="E1165" s="3" t="s">
        <v>5</v>
      </c>
      <c r="F1165" s="3" t="s">
        <v>10</v>
      </c>
      <c r="G1165" s="3" t="s">
        <v>2658</v>
      </c>
      <c r="H1165" s="3" t="s">
        <v>2659</v>
      </c>
      <c r="I1165" s="4">
        <v>1880.05</v>
      </c>
      <c r="J1165" s="3" t="s">
        <v>11</v>
      </c>
      <c r="K1165" t="e">
        <f>MATCH(A1165,Database!$A$2:$A$948,0)</f>
        <v>#N/A</v>
      </c>
      <c r="L1165" t="e">
        <f>VLOOKUP(A1165,Database!$A$2:$I$948,4,0)</f>
        <v>#N/A</v>
      </c>
      <c r="M1165" t="e">
        <f t="shared" si="39"/>
        <v>#N/A</v>
      </c>
      <c r="N1165" t="e">
        <f>VLOOKUP(A1165,Database!$A$2:$I$948,5,0)</f>
        <v>#N/A</v>
      </c>
    </row>
    <row r="1166" spans="1:14" hidden="1" x14ac:dyDescent="0.35">
      <c r="A1166" s="3">
        <v>103406246</v>
      </c>
      <c r="B1166" s="3" t="s">
        <v>2660</v>
      </c>
      <c r="C1166" s="3" t="str">
        <f t="shared" si="38"/>
        <v>2022-07-06</v>
      </c>
      <c r="D1166" s="3" t="s">
        <v>9</v>
      </c>
      <c r="E1166" s="3" t="s">
        <v>5</v>
      </c>
      <c r="F1166" s="3" t="s">
        <v>10</v>
      </c>
      <c r="G1166" s="3" t="s">
        <v>2661</v>
      </c>
      <c r="H1166" s="3" t="s">
        <v>2662</v>
      </c>
      <c r="I1166" s="4">
        <v>3609.1</v>
      </c>
      <c r="J1166" s="3" t="s">
        <v>11</v>
      </c>
      <c r="K1166" t="e">
        <f>MATCH(A1166,Database!$A$2:$A$948,0)</f>
        <v>#N/A</v>
      </c>
      <c r="L1166" t="e">
        <f>VLOOKUP(A1166,Database!$A$2:$I$948,4,0)</f>
        <v>#N/A</v>
      </c>
      <c r="M1166" t="e">
        <f t="shared" si="39"/>
        <v>#N/A</v>
      </c>
      <c r="N1166" t="e">
        <f>VLOOKUP(A1166,Database!$A$2:$I$948,5,0)</f>
        <v>#N/A</v>
      </c>
    </row>
    <row r="1167" spans="1:14" hidden="1" x14ac:dyDescent="0.35">
      <c r="A1167" s="3">
        <v>103406244</v>
      </c>
      <c r="B1167" s="3" t="s">
        <v>2663</v>
      </c>
      <c r="C1167" s="3" t="str">
        <f t="shared" si="38"/>
        <v>2022-07-06</v>
      </c>
      <c r="D1167" s="3" t="s">
        <v>9</v>
      </c>
      <c r="E1167" s="3" t="s">
        <v>5</v>
      </c>
      <c r="F1167" s="3" t="s">
        <v>12</v>
      </c>
      <c r="G1167" s="3" t="s">
        <v>2664</v>
      </c>
      <c r="H1167" s="3" t="s">
        <v>2665</v>
      </c>
      <c r="I1167" s="4">
        <v>3609.1</v>
      </c>
      <c r="J1167" s="3" t="s">
        <v>11</v>
      </c>
      <c r="K1167" t="e">
        <f>MATCH(A1167,Database!$A$2:$A$948,0)</f>
        <v>#N/A</v>
      </c>
      <c r="L1167" t="e">
        <f>VLOOKUP(A1167,Database!$A$2:$I$948,4,0)</f>
        <v>#N/A</v>
      </c>
      <c r="M1167" t="e">
        <f t="shared" si="39"/>
        <v>#N/A</v>
      </c>
      <c r="N1167" t="e">
        <f>VLOOKUP(A1167,Database!$A$2:$I$948,5,0)</f>
        <v>#N/A</v>
      </c>
    </row>
    <row r="1168" spans="1:14" hidden="1" x14ac:dyDescent="0.35">
      <c r="A1168" s="3">
        <v>103406241</v>
      </c>
      <c r="B1168" s="3" t="s">
        <v>2666</v>
      </c>
      <c r="C1168" s="3" t="str">
        <f t="shared" si="38"/>
        <v>2022-07-06</v>
      </c>
      <c r="D1168" s="3" t="s">
        <v>9</v>
      </c>
      <c r="E1168" s="3" t="s">
        <v>5</v>
      </c>
      <c r="F1168" s="3" t="s">
        <v>10</v>
      </c>
      <c r="G1168" s="3" t="s">
        <v>2667</v>
      </c>
      <c r="H1168" s="3" t="s">
        <v>2668</v>
      </c>
      <c r="I1168" s="5">
        <v>2799</v>
      </c>
      <c r="J1168" s="3" t="s">
        <v>11</v>
      </c>
      <c r="K1168" t="e">
        <f>MATCH(A1168,Database!$A$2:$A$948,0)</f>
        <v>#N/A</v>
      </c>
      <c r="L1168" t="e">
        <f>VLOOKUP(A1168,Database!$A$2:$I$948,4,0)</f>
        <v>#N/A</v>
      </c>
      <c r="M1168" t="e">
        <f t="shared" si="39"/>
        <v>#N/A</v>
      </c>
      <c r="N1168" t="e">
        <f>VLOOKUP(A1168,Database!$A$2:$I$948,5,0)</f>
        <v>#N/A</v>
      </c>
    </row>
    <row r="1169" spans="1:14" hidden="1" x14ac:dyDescent="0.35">
      <c r="A1169" s="3">
        <v>103406233</v>
      </c>
      <c r="B1169" s="3" t="s">
        <v>2669</v>
      </c>
      <c r="C1169" s="3" t="str">
        <f t="shared" si="38"/>
        <v>2022-07-06</v>
      </c>
      <c r="D1169" s="3" t="s">
        <v>9</v>
      </c>
      <c r="E1169" s="3" t="s">
        <v>5</v>
      </c>
      <c r="F1169" s="3" t="s">
        <v>10</v>
      </c>
      <c r="G1169" s="3" t="s">
        <v>2670</v>
      </c>
      <c r="H1169" s="3" t="s">
        <v>2671</v>
      </c>
      <c r="I1169" s="5">
        <v>2799</v>
      </c>
      <c r="J1169" s="3" t="s">
        <v>11</v>
      </c>
      <c r="K1169" t="e">
        <f>MATCH(A1169,Database!$A$2:$A$948,0)</f>
        <v>#N/A</v>
      </c>
      <c r="L1169" t="e">
        <f>VLOOKUP(A1169,Database!$A$2:$I$948,4,0)</f>
        <v>#N/A</v>
      </c>
      <c r="M1169" t="e">
        <f t="shared" si="39"/>
        <v>#N/A</v>
      </c>
      <c r="N1169" t="e">
        <f>VLOOKUP(A1169,Database!$A$2:$I$948,5,0)</f>
        <v>#N/A</v>
      </c>
    </row>
    <row r="1170" spans="1:14" hidden="1" x14ac:dyDescent="0.35">
      <c r="A1170" s="3">
        <v>103406231</v>
      </c>
      <c r="B1170" s="3" t="s">
        <v>2672</v>
      </c>
      <c r="C1170" s="3" t="str">
        <f t="shared" si="38"/>
        <v>2022-07-06</v>
      </c>
      <c r="D1170" s="3" t="s">
        <v>9</v>
      </c>
      <c r="E1170" s="3" t="s">
        <v>5</v>
      </c>
      <c r="F1170" s="3" t="s">
        <v>10</v>
      </c>
      <c r="G1170" s="3" t="s">
        <v>2673</v>
      </c>
      <c r="H1170" s="3" t="s">
        <v>2674</v>
      </c>
      <c r="I1170" s="5">
        <v>1999</v>
      </c>
      <c r="J1170" s="3" t="s">
        <v>11</v>
      </c>
      <c r="K1170" t="e">
        <f>MATCH(A1170,Database!$A$2:$A$948,0)</f>
        <v>#N/A</v>
      </c>
      <c r="L1170" t="e">
        <f>VLOOKUP(A1170,Database!$A$2:$I$948,4,0)</f>
        <v>#N/A</v>
      </c>
      <c r="M1170" t="e">
        <f t="shared" si="39"/>
        <v>#N/A</v>
      </c>
      <c r="N1170" t="e">
        <f>VLOOKUP(A1170,Database!$A$2:$I$948,5,0)</f>
        <v>#N/A</v>
      </c>
    </row>
    <row r="1171" spans="1:14" hidden="1" x14ac:dyDescent="0.35">
      <c r="A1171" s="3">
        <v>103406229</v>
      </c>
      <c r="B1171" s="3" t="s">
        <v>2675</v>
      </c>
      <c r="C1171" s="3" t="str">
        <f t="shared" si="38"/>
        <v>2022-07-06</v>
      </c>
      <c r="D1171" s="3" t="s">
        <v>9</v>
      </c>
      <c r="E1171" s="3" t="s">
        <v>5</v>
      </c>
      <c r="F1171" s="3" t="s">
        <v>10</v>
      </c>
      <c r="G1171" s="3" t="s">
        <v>2676</v>
      </c>
      <c r="H1171" s="3" t="s">
        <v>2677</v>
      </c>
      <c r="I1171" s="4">
        <v>3799.05</v>
      </c>
      <c r="J1171" s="3" t="s">
        <v>11</v>
      </c>
      <c r="K1171" t="e">
        <f>MATCH(A1171,Database!$A$2:$A$948,0)</f>
        <v>#N/A</v>
      </c>
      <c r="L1171" t="e">
        <f>VLOOKUP(A1171,Database!$A$2:$I$948,4,0)</f>
        <v>#N/A</v>
      </c>
      <c r="M1171" t="e">
        <f t="shared" si="39"/>
        <v>#N/A</v>
      </c>
      <c r="N1171" t="e">
        <f>VLOOKUP(A1171,Database!$A$2:$I$948,5,0)</f>
        <v>#N/A</v>
      </c>
    </row>
    <row r="1172" spans="1:14" hidden="1" x14ac:dyDescent="0.35">
      <c r="A1172" s="3">
        <v>103406142</v>
      </c>
      <c r="B1172" s="3" t="s">
        <v>2678</v>
      </c>
      <c r="C1172" s="3" t="str">
        <f t="shared" si="38"/>
        <v>2022-07-06</v>
      </c>
      <c r="D1172" s="3" t="s">
        <v>9</v>
      </c>
      <c r="E1172" s="3" t="s">
        <v>5</v>
      </c>
      <c r="F1172" s="3" t="s">
        <v>10</v>
      </c>
      <c r="G1172" s="3" t="s">
        <v>2679</v>
      </c>
      <c r="H1172" s="3" t="s">
        <v>2680</v>
      </c>
      <c r="I1172" s="3">
        <v>778.05</v>
      </c>
      <c r="J1172" s="3" t="s">
        <v>11</v>
      </c>
      <c r="K1172" t="e">
        <f>MATCH(A1172,Database!$A$2:$A$948,0)</f>
        <v>#N/A</v>
      </c>
      <c r="L1172" t="e">
        <f>VLOOKUP(A1172,Database!$A$2:$I$948,4,0)</f>
        <v>#N/A</v>
      </c>
      <c r="M1172" t="e">
        <f t="shared" si="39"/>
        <v>#N/A</v>
      </c>
      <c r="N1172" t="e">
        <f>VLOOKUP(A1172,Database!$A$2:$I$948,5,0)</f>
        <v>#N/A</v>
      </c>
    </row>
    <row r="1173" spans="1:14" hidden="1" x14ac:dyDescent="0.35">
      <c r="A1173" s="3">
        <v>103406141</v>
      </c>
      <c r="B1173" s="3" t="s">
        <v>2681</v>
      </c>
      <c r="C1173" s="3" t="str">
        <f t="shared" si="38"/>
        <v>2022-07-06</v>
      </c>
      <c r="D1173" s="3" t="s">
        <v>9</v>
      </c>
      <c r="E1173" s="3" t="s">
        <v>5</v>
      </c>
      <c r="F1173" s="3" t="s">
        <v>10</v>
      </c>
      <c r="G1173" s="3" t="s">
        <v>2682</v>
      </c>
      <c r="H1173" s="3" t="s">
        <v>2683</v>
      </c>
      <c r="I1173" s="4">
        <v>2841.97</v>
      </c>
      <c r="J1173" s="3" t="s">
        <v>11</v>
      </c>
      <c r="K1173" t="e">
        <f>MATCH(A1173,Database!$A$2:$A$948,0)</f>
        <v>#N/A</v>
      </c>
      <c r="L1173" t="e">
        <f>VLOOKUP(A1173,Database!$A$2:$I$948,4,0)</f>
        <v>#N/A</v>
      </c>
      <c r="M1173" t="e">
        <f t="shared" si="39"/>
        <v>#N/A</v>
      </c>
      <c r="N1173" t="e">
        <f>VLOOKUP(A1173,Database!$A$2:$I$948,5,0)</f>
        <v>#N/A</v>
      </c>
    </row>
    <row r="1174" spans="1:14" hidden="1" x14ac:dyDescent="0.35">
      <c r="A1174" s="3">
        <v>103406140</v>
      </c>
      <c r="B1174" s="3" t="s">
        <v>2684</v>
      </c>
      <c r="C1174" s="3" t="str">
        <f t="shared" si="38"/>
        <v>2022-07-06</v>
      </c>
      <c r="D1174" s="3" t="s">
        <v>9</v>
      </c>
      <c r="E1174" s="3" t="s">
        <v>5</v>
      </c>
      <c r="F1174" s="3" t="s">
        <v>10</v>
      </c>
      <c r="G1174" s="3" t="s">
        <v>2673</v>
      </c>
      <c r="H1174" s="3" t="s">
        <v>2674</v>
      </c>
      <c r="I1174" s="3">
        <v>269</v>
      </c>
      <c r="J1174" s="3" t="s">
        <v>11</v>
      </c>
      <c r="K1174" t="e">
        <f>MATCH(A1174,Database!$A$2:$A$948,0)</f>
        <v>#N/A</v>
      </c>
      <c r="L1174" t="e">
        <f>VLOOKUP(A1174,Database!$A$2:$I$948,4,0)</f>
        <v>#N/A</v>
      </c>
      <c r="M1174" t="e">
        <f t="shared" si="39"/>
        <v>#N/A</v>
      </c>
      <c r="N1174" t="e">
        <f>VLOOKUP(A1174,Database!$A$2:$I$948,5,0)</f>
        <v>#N/A</v>
      </c>
    </row>
    <row r="1175" spans="1:14" hidden="1" x14ac:dyDescent="0.35">
      <c r="A1175" s="3">
        <v>103406226</v>
      </c>
      <c r="B1175" s="3" t="s">
        <v>2685</v>
      </c>
      <c r="C1175" s="3" t="str">
        <f t="shared" si="38"/>
        <v>2022-07-06</v>
      </c>
      <c r="D1175" s="3" t="s">
        <v>9</v>
      </c>
      <c r="E1175" s="3" t="s">
        <v>5</v>
      </c>
      <c r="F1175" s="3" t="s">
        <v>10</v>
      </c>
      <c r="G1175" s="3" t="s">
        <v>2686</v>
      </c>
      <c r="H1175" s="3" t="s">
        <v>2687</v>
      </c>
      <c r="I1175" s="4">
        <v>1424.05</v>
      </c>
      <c r="J1175" s="3" t="s">
        <v>11</v>
      </c>
      <c r="K1175" t="e">
        <f>MATCH(A1175,Database!$A$2:$A$948,0)</f>
        <v>#N/A</v>
      </c>
      <c r="L1175" t="e">
        <f>VLOOKUP(A1175,Database!$A$2:$I$948,4,0)</f>
        <v>#N/A</v>
      </c>
      <c r="M1175" t="e">
        <f t="shared" si="39"/>
        <v>#N/A</v>
      </c>
      <c r="N1175" t="e">
        <f>VLOOKUP(A1175,Database!$A$2:$I$948,5,0)</f>
        <v>#N/A</v>
      </c>
    </row>
    <row r="1176" spans="1:14" hidden="1" x14ac:dyDescent="0.35">
      <c r="A1176" s="3">
        <v>103406138</v>
      </c>
      <c r="B1176" s="3" t="s">
        <v>2688</v>
      </c>
      <c r="C1176" s="3" t="str">
        <f t="shared" si="38"/>
        <v>2022-07-06</v>
      </c>
      <c r="D1176" s="3" t="s">
        <v>9</v>
      </c>
      <c r="E1176" s="3" t="s">
        <v>5</v>
      </c>
      <c r="F1176" s="3" t="s">
        <v>10</v>
      </c>
      <c r="G1176" s="3" t="s">
        <v>2689</v>
      </c>
      <c r="H1176" s="3" t="s">
        <v>2690</v>
      </c>
      <c r="I1176" s="5">
        <v>2999</v>
      </c>
      <c r="J1176" s="3" t="s">
        <v>11</v>
      </c>
      <c r="K1176" t="e">
        <f>MATCH(A1176,Database!$A$2:$A$948,0)</f>
        <v>#N/A</v>
      </c>
      <c r="L1176" t="e">
        <f>VLOOKUP(A1176,Database!$A$2:$I$948,4,0)</f>
        <v>#N/A</v>
      </c>
      <c r="M1176" t="e">
        <f t="shared" si="39"/>
        <v>#N/A</v>
      </c>
      <c r="N1176" t="e">
        <f>VLOOKUP(A1176,Database!$A$2:$I$948,5,0)</f>
        <v>#N/A</v>
      </c>
    </row>
    <row r="1177" spans="1:14" hidden="1" x14ac:dyDescent="0.35">
      <c r="A1177" s="3">
        <v>103406221</v>
      </c>
      <c r="B1177" s="3" t="s">
        <v>2691</v>
      </c>
      <c r="C1177" s="3" t="str">
        <f t="shared" si="38"/>
        <v>2022-07-06</v>
      </c>
      <c r="D1177" s="3" t="s">
        <v>9</v>
      </c>
      <c r="E1177" s="3" t="s">
        <v>5</v>
      </c>
      <c r="F1177" s="3" t="s">
        <v>10</v>
      </c>
      <c r="G1177" s="3" t="s">
        <v>2692</v>
      </c>
      <c r="H1177" s="3" t="s">
        <v>2693</v>
      </c>
      <c r="I1177" s="5">
        <v>4549</v>
      </c>
      <c r="J1177" s="3" t="s">
        <v>11</v>
      </c>
      <c r="K1177" t="e">
        <f>MATCH(A1177,Database!$A$2:$A$948,0)</f>
        <v>#N/A</v>
      </c>
      <c r="L1177" t="e">
        <f>VLOOKUP(A1177,Database!$A$2:$I$948,4,0)</f>
        <v>#N/A</v>
      </c>
      <c r="M1177" t="e">
        <f t="shared" si="39"/>
        <v>#N/A</v>
      </c>
      <c r="N1177" t="e">
        <f>VLOOKUP(A1177,Database!$A$2:$I$948,5,0)</f>
        <v>#N/A</v>
      </c>
    </row>
    <row r="1178" spans="1:14" hidden="1" x14ac:dyDescent="0.35">
      <c r="A1178" s="3">
        <v>103406131</v>
      </c>
      <c r="B1178" s="3" t="s">
        <v>2694</v>
      </c>
      <c r="C1178" s="3" t="str">
        <f t="shared" si="38"/>
        <v>2022-07-06</v>
      </c>
      <c r="D1178" s="3" t="s">
        <v>9</v>
      </c>
      <c r="E1178" s="3" t="s">
        <v>5</v>
      </c>
      <c r="F1178" s="3" t="s">
        <v>10</v>
      </c>
      <c r="G1178" s="3" t="s">
        <v>2695</v>
      </c>
      <c r="H1178" s="3" t="s">
        <v>2696</v>
      </c>
      <c r="I1178" s="4">
        <v>2136.5500000000002</v>
      </c>
      <c r="J1178" s="3" t="s">
        <v>11</v>
      </c>
      <c r="K1178" t="e">
        <f>MATCH(A1178,Database!$A$2:$A$948,0)</f>
        <v>#N/A</v>
      </c>
      <c r="L1178" t="e">
        <f>VLOOKUP(A1178,Database!$A$2:$I$948,4,0)</f>
        <v>#N/A</v>
      </c>
      <c r="M1178" t="e">
        <f t="shared" si="39"/>
        <v>#N/A</v>
      </c>
      <c r="N1178" t="e">
        <f>VLOOKUP(A1178,Database!$A$2:$I$948,5,0)</f>
        <v>#N/A</v>
      </c>
    </row>
    <row r="1179" spans="1:14" hidden="1" x14ac:dyDescent="0.35">
      <c r="A1179" s="3">
        <v>103406214</v>
      </c>
      <c r="B1179" s="3" t="s">
        <v>2697</v>
      </c>
      <c r="C1179" s="3" t="str">
        <f t="shared" si="38"/>
        <v>2022-07-06</v>
      </c>
      <c r="D1179" s="3" t="s">
        <v>9</v>
      </c>
      <c r="E1179" s="3" t="s">
        <v>5</v>
      </c>
      <c r="F1179" s="3" t="s">
        <v>10</v>
      </c>
      <c r="G1179" s="3" t="s">
        <v>2698</v>
      </c>
      <c r="H1179" s="3" t="s">
        <v>2699</v>
      </c>
      <c r="I1179" s="4">
        <v>2029.72</v>
      </c>
      <c r="J1179" s="3" t="s">
        <v>11</v>
      </c>
      <c r="K1179" t="e">
        <f>MATCH(A1179,Database!$A$2:$A$948,0)</f>
        <v>#N/A</v>
      </c>
      <c r="L1179" t="e">
        <f>VLOOKUP(A1179,Database!$A$2:$I$948,4,0)</f>
        <v>#N/A</v>
      </c>
      <c r="M1179" t="e">
        <f t="shared" si="39"/>
        <v>#N/A</v>
      </c>
      <c r="N1179" t="e">
        <f>VLOOKUP(A1179,Database!$A$2:$I$948,5,0)</f>
        <v>#N/A</v>
      </c>
    </row>
    <row r="1180" spans="1:14" hidden="1" x14ac:dyDescent="0.35">
      <c r="A1180" s="3">
        <v>103406125</v>
      </c>
      <c r="B1180" s="3" t="s">
        <v>2700</v>
      </c>
      <c r="C1180" s="3" t="str">
        <f t="shared" si="38"/>
        <v>2022-07-06</v>
      </c>
      <c r="D1180" s="3" t="s">
        <v>9</v>
      </c>
      <c r="E1180" s="3" t="s">
        <v>5</v>
      </c>
      <c r="F1180" s="3" t="s">
        <v>10</v>
      </c>
      <c r="G1180" s="3" t="s">
        <v>2701</v>
      </c>
      <c r="H1180" s="3" t="s">
        <v>2702</v>
      </c>
      <c r="I1180" s="4">
        <v>1766.19</v>
      </c>
      <c r="J1180" s="3" t="s">
        <v>11</v>
      </c>
      <c r="K1180" t="e">
        <f>MATCH(A1180,Database!$A$2:$A$948,0)</f>
        <v>#N/A</v>
      </c>
      <c r="L1180" t="e">
        <f>VLOOKUP(A1180,Database!$A$2:$I$948,4,0)</f>
        <v>#N/A</v>
      </c>
      <c r="M1180" t="e">
        <f t="shared" si="39"/>
        <v>#N/A</v>
      </c>
      <c r="N1180" t="e">
        <f>VLOOKUP(A1180,Database!$A$2:$I$948,5,0)</f>
        <v>#N/A</v>
      </c>
    </row>
    <row r="1181" spans="1:14" hidden="1" x14ac:dyDescent="0.35">
      <c r="A1181" s="3">
        <v>103406212</v>
      </c>
      <c r="B1181" s="3" t="s">
        <v>2703</v>
      </c>
      <c r="C1181" s="3" t="str">
        <f t="shared" si="38"/>
        <v>2022-07-06</v>
      </c>
      <c r="D1181" s="3" t="s">
        <v>9</v>
      </c>
      <c r="E1181" s="3" t="s">
        <v>5</v>
      </c>
      <c r="F1181" s="3" t="s">
        <v>10</v>
      </c>
      <c r="G1181" s="3" t="s">
        <v>2704</v>
      </c>
      <c r="H1181" s="3" t="s">
        <v>2705</v>
      </c>
      <c r="I1181" s="4">
        <v>2374.0500000000002</v>
      </c>
      <c r="J1181" s="3" t="s">
        <v>11</v>
      </c>
      <c r="K1181" t="e">
        <f>MATCH(A1181,Database!$A$2:$A$948,0)</f>
        <v>#N/A</v>
      </c>
      <c r="L1181" t="e">
        <f>VLOOKUP(A1181,Database!$A$2:$I$948,4,0)</f>
        <v>#N/A</v>
      </c>
      <c r="M1181" t="e">
        <f t="shared" si="39"/>
        <v>#N/A</v>
      </c>
      <c r="N1181" t="e">
        <f>VLOOKUP(A1181,Database!$A$2:$I$948,5,0)</f>
        <v>#N/A</v>
      </c>
    </row>
    <row r="1182" spans="1:14" hidden="1" x14ac:dyDescent="0.35">
      <c r="A1182" s="3">
        <v>103406118</v>
      </c>
      <c r="B1182" s="3" t="s">
        <v>2706</v>
      </c>
      <c r="C1182" s="3" t="str">
        <f t="shared" si="38"/>
        <v>2022-07-06</v>
      </c>
      <c r="D1182" s="3" t="s">
        <v>9</v>
      </c>
      <c r="E1182" s="3" t="s">
        <v>5</v>
      </c>
      <c r="F1182" s="3" t="s">
        <v>12</v>
      </c>
      <c r="G1182" s="3" t="s">
        <v>2707</v>
      </c>
      <c r="H1182" s="3" t="s">
        <v>2708</v>
      </c>
      <c r="I1182" s="5">
        <v>1799</v>
      </c>
      <c r="J1182" s="3" t="s">
        <v>11</v>
      </c>
      <c r="K1182" t="e">
        <f>MATCH(A1182,Database!$A$2:$A$948,0)</f>
        <v>#N/A</v>
      </c>
      <c r="L1182" t="e">
        <f>VLOOKUP(A1182,Database!$A$2:$I$948,4,0)</f>
        <v>#N/A</v>
      </c>
      <c r="M1182" t="e">
        <f t="shared" si="39"/>
        <v>#N/A</v>
      </c>
      <c r="N1182" t="e">
        <f>VLOOKUP(A1182,Database!$A$2:$I$948,5,0)</f>
        <v>#N/A</v>
      </c>
    </row>
    <row r="1183" spans="1:14" hidden="1" x14ac:dyDescent="0.35">
      <c r="A1183" s="3">
        <v>103406203</v>
      </c>
      <c r="B1183" s="3" t="s">
        <v>2709</v>
      </c>
      <c r="C1183" s="3" t="str">
        <f t="shared" si="38"/>
        <v>2022-07-06</v>
      </c>
      <c r="D1183" s="3" t="s">
        <v>9</v>
      </c>
      <c r="E1183" s="3" t="s">
        <v>5</v>
      </c>
      <c r="F1183" s="3" t="s">
        <v>10</v>
      </c>
      <c r="G1183" s="3" t="s">
        <v>2710</v>
      </c>
      <c r="H1183" s="3" t="s">
        <v>2711</v>
      </c>
      <c r="I1183" s="5">
        <v>3299</v>
      </c>
      <c r="J1183" s="3" t="s">
        <v>11</v>
      </c>
      <c r="K1183" t="e">
        <f>MATCH(A1183,Database!$A$2:$A$948,0)</f>
        <v>#N/A</v>
      </c>
      <c r="L1183" t="e">
        <f>VLOOKUP(A1183,Database!$A$2:$I$948,4,0)</f>
        <v>#N/A</v>
      </c>
      <c r="M1183" t="e">
        <f t="shared" si="39"/>
        <v>#N/A</v>
      </c>
      <c r="N1183" t="e">
        <f>VLOOKUP(A1183,Database!$A$2:$I$948,5,0)</f>
        <v>#N/A</v>
      </c>
    </row>
    <row r="1184" spans="1:14" hidden="1" x14ac:dyDescent="0.35">
      <c r="A1184" s="3">
        <v>103406200</v>
      </c>
      <c r="B1184" s="3" t="s">
        <v>2712</v>
      </c>
      <c r="C1184" s="3" t="str">
        <f t="shared" si="38"/>
        <v>2022-07-06</v>
      </c>
      <c r="D1184" s="3" t="s">
        <v>9</v>
      </c>
      <c r="E1184" s="3" t="s">
        <v>5</v>
      </c>
      <c r="F1184" s="3" t="s">
        <v>10</v>
      </c>
      <c r="G1184" s="3" t="s">
        <v>2713</v>
      </c>
      <c r="H1184" s="3" t="s">
        <v>2714</v>
      </c>
      <c r="I1184" s="4">
        <v>1110.55</v>
      </c>
      <c r="J1184" s="3" t="s">
        <v>11</v>
      </c>
      <c r="K1184" t="e">
        <f>MATCH(A1184,Database!$A$2:$A$948,0)</f>
        <v>#N/A</v>
      </c>
      <c r="L1184" t="e">
        <f>VLOOKUP(A1184,Database!$A$2:$I$948,4,0)</f>
        <v>#N/A</v>
      </c>
      <c r="M1184" t="e">
        <f t="shared" si="39"/>
        <v>#N/A</v>
      </c>
      <c r="N1184" t="e">
        <f>VLOOKUP(A1184,Database!$A$2:$I$948,5,0)</f>
        <v>#N/A</v>
      </c>
    </row>
    <row r="1185" spans="1:14" hidden="1" x14ac:dyDescent="0.35">
      <c r="A1185" s="3">
        <v>103406196</v>
      </c>
      <c r="B1185" s="3" t="s">
        <v>2715</v>
      </c>
      <c r="C1185" s="3" t="str">
        <f t="shared" si="38"/>
        <v>2022-07-06</v>
      </c>
      <c r="D1185" s="3" t="s">
        <v>9</v>
      </c>
      <c r="E1185" s="3" t="s">
        <v>5</v>
      </c>
      <c r="F1185" s="3" t="s">
        <v>10</v>
      </c>
      <c r="G1185" s="3" t="s">
        <v>2716</v>
      </c>
      <c r="H1185" s="3" t="s">
        <v>2717</v>
      </c>
      <c r="I1185" s="3">
        <v>899</v>
      </c>
      <c r="J1185" s="3" t="s">
        <v>11</v>
      </c>
      <c r="K1185" t="e">
        <f>MATCH(A1185,Database!$A$2:$A$948,0)</f>
        <v>#N/A</v>
      </c>
      <c r="L1185" t="e">
        <f>VLOOKUP(A1185,Database!$A$2:$I$948,4,0)</f>
        <v>#N/A</v>
      </c>
      <c r="M1185" t="e">
        <f t="shared" si="39"/>
        <v>#N/A</v>
      </c>
      <c r="N1185" t="e">
        <f>VLOOKUP(A1185,Database!$A$2:$I$948,5,0)</f>
        <v>#N/A</v>
      </c>
    </row>
    <row r="1186" spans="1:14" hidden="1" x14ac:dyDescent="0.35">
      <c r="A1186" s="3">
        <v>103406195</v>
      </c>
      <c r="B1186" s="3" t="s">
        <v>2718</v>
      </c>
      <c r="C1186" s="3" t="str">
        <f t="shared" si="38"/>
        <v>2022-07-06</v>
      </c>
      <c r="D1186" s="3" t="s">
        <v>9</v>
      </c>
      <c r="E1186" s="3" t="s">
        <v>5</v>
      </c>
      <c r="F1186" s="3" t="s">
        <v>10</v>
      </c>
      <c r="G1186" s="3" t="s">
        <v>2695</v>
      </c>
      <c r="H1186" s="3" t="s">
        <v>2696</v>
      </c>
      <c r="I1186" s="4">
        <v>3704.05</v>
      </c>
      <c r="J1186" s="3" t="s">
        <v>11</v>
      </c>
      <c r="K1186" t="e">
        <f>MATCH(A1186,Database!$A$2:$A$948,0)</f>
        <v>#N/A</v>
      </c>
      <c r="L1186" t="e">
        <f>VLOOKUP(A1186,Database!$A$2:$I$948,4,0)</f>
        <v>#N/A</v>
      </c>
      <c r="M1186" t="e">
        <f t="shared" si="39"/>
        <v>#N/A</v>
      </c>
      <c r="N1186" t="e">
        <f>VLOOKUP(A1186,Database!$A$2:$I$948,5,0)</f>
        <v>#N/A</v>
      </c>
    </row>
    <row r="1187" spans="1:14" hidden="1" x14ac:dyDescent="0.35">
      <c r="A1187" s="3">
        <v>103406111</v>
      </c>
      <c r="B1187" s="3" t="s">
        <v>2719</v>
      </c>
      <c r="C1187" s="3" t="str">
        <f t="shared" si="38"/>
        <v>2022-07-06</v>
      </c>
      <c r="D1187" s="3" t="s">
        <v>9</v>
      </c>
      <c r="E1187" s="3" t="s">
        <v>5</v>
      </c>
      <c r="F1187" s="3" t="s">
        <v>10</v>
      </c>
      <c r="G1187" s="3" t="s">
        <v>2720</v>
      </c>
      <c r="H1187" s="3" t="s">
        <v>2721</v>
      </c>
      <c r="I1187" s="3">
        <v>854.05</v>
      </c>
      <c r="J1187" s="3" t="s">
        <v>11</v>
      </c>
      <c r="K1187" t="e">
        <f>MATCH(A1187,Database!$A$2:$A$948,0)</f>
        <v>#N/A</v>
      </c>
      <c r="L1187" t="e">
        <f>VLOOKUP(A1187,Database!$A$2:$I$948,4,0)</f>
        <v>#N/A</v>
      </c>
      <c r="M1187" t="e">
        <f t="shared" si="39"/>
        <v>#N/A</v>
      </c>
      <c r="N1187" t="e">
        <f>VLOOKUP(A1187,Database!$A$2:$I$948,5,0)</f>
        <v>#N/A</v>
      </c>
    </row>
    <row r="1188" spans="1:14" hidden="1" x14ac:dyDescent="0.35">
      <c r="A1188" s="3">
        <v>103406192</v>
      </c>
      <c r="B1188" s="3" t="s">
        <v>2722</v>
      </c>
      <c r="C1188" s="3" t="str">
        <f t="shared" si="38"/>
        <v>2022-07-06</v>
      </c>
      <c r="D1188" s="3" t="s">
        <v>9</v>
      </c>
      <c r="E1188" s="3" t="s">
        <v>5</v>
      </c>
      <c r="F1188" s="3" t="s">
        <v>10</v>
      </c>
      <c r="G1188" s="3" t="s">
        <v>2723</v>
      </c>
      <c r="H1188" s="3" t="s">
        <v>2724</v>
      </c>
      <c r="I1188" s="4">
        <v>1416.02</v>
      </c>
      <c r="J1188" s="3" t="s">
        <v>11</v>
      </c>
      <c r="K1188" t="e">
        <f>MATCH(A1188,Database!$A$2:$A$948,0)</f>
        <v>#N/A</v>
      </c>
      <c r="L1188" t="e">
        <f>VLOOKUP(A1188,Database!$A$2:$I$948,4,0)</f>
        <v>#N/A</v>
      </c>
      <c r="M1188" t="e">
        <f t="shared" si="39"/>
        <v>#N/A</v>
      </c>
      <c r="N1188" t="e">
        <f>VLOOKUP(A1188,Database!$A$2:$I$948,5,0)</f>
        <v>#N/A</v>
      </c>
    </row>
    <row r="1189" spans="1:14" hidden="1" x14ac:dyDescent="0.35">
      <c r="A1189" s="3">
        <v>103406189</v>
      </c>
      <c r="B1189" s="3" t="s">
        <v>2725</v>
      </c>
      <c r="C1189" s="3" t="str">
        <f t="shared" si="38"/>
        <v>2022-07-06</v>
      </c>
      <c r="D1189" s="3" t="s">
        <v>9</v>
      </c>
      <c r="E1189" s="3" t="s">
        <v>5</v>
      </c>
      <c r="F1189" s="3" t="s">
        <v>10</v>
      </c>
      <c r="G1189" s="3" t="s">
        <v>2726</v>
      </c>
      <c r="H1189" s="3" t="s">
        <v>2727</v>
      </c>
      <c r="I1189" s="3">
        <v>996.55</v>
      </c>
      <c r="J1189" s="3" t="s">
        <v>11</v>
      </c>
      <c r="K1189" t="e">
        <f>MATCH(A1189,Database!$A$2:$A$948,0)</f>
        <v>#N/A</v>
      </c>
      <c r="L1189" t="e">
        <f>VLOOKUP(A1189,Database!$A$2:$I$948,4,0)</f>
        <v>#N/A</v>
      </c>
      <c r="M1189" t="e">
        <f t="shared" si="39"/>
        <v>#N/A</v>
      </c>
      <c r="N1189" t="e">
        <f>VLOOKUP(A1189,Database!$A$2:$I$948,5,0)</f>
        <v>#N/A</v>
      </c>
    </row>
    <row r="1190" spans="1:14" hidden="1" x14ac:dyDescent="0.35">
      <c r="A1190" s="3">
        <v>103406105</v>
      </c>
      <c r="B1190" s="3" t="s">
        <v>2728</v>
      </c>
      <c r="C1190" s="3" t="str">
        <f t="shared" si="38"/>
        <v>2022-07-06</v>
      </c>
      <c r="D1190" s="3" t="s">
        <v>9</v>
      </c>
      <c r="E1190" s="3" t="s">
        <v>5</v>
      </c>
      <c r="F1190" s="3" t="s">
        <v>10</v>
      </c>
      <c r="G1190" s="3" t="s">
        <v>2729</v>
      </c>
      <c r="H1190" s="3" t="s">
        <v>2730</v>
      </c>
      <c r="I1190" s="4">
        <v>3134.05</v>
      </c>
      <c r="J1190" s="3" t="s">
        <v>11</v>
      </c>
      <c r="K1190" t="e">
        <f>MATCH(A1190,Database!$A$2:$A$948,0)</f>
        <v>#N/A</v>
      </c>
      <c r="L1190" t="e">
        <f>VLOOKUP(A1190,Database!$A$2:$I$948,4,0)</f>
        <v>#N/A</v>
      </c>
      <c r="M1190" t="e">
        <f t="shared" si="39"/>
        <v>#N/A</v>
      </c>
      <c r="N1190" t="e">
        <f>VLOOKUP(A1190,Database!$A$2:$I$948,5,0)</f>
        <v>#N/A</v>
      </c>
    </row>
    <row r="1191" spans="1:14" hidden="1" x14ac:dyDescent="0.35">
      <c r="A1191" s="3">
        <v>103406102</v>
      </c>
      <c r="B1191" s="3" t="s">
        <v>2731</v>
      </c>
      <c r="C1191" s="3" t="str">
        <f t="shared" si="38"/>
        <v>2022-07-06</v>
      </c>
      <c r="D1191" s="3" t="s">
        <v>9</v>
      </c>
      <c r="E1191" s="3" t="s">
        <v>5</v>
      </c>
      <c r="F1191" s="3" t="s">
        <v>10</v>
      </c>
      <c r="G1191" s="3" t="s">
        <v>2732</v>
      </c>
      <c r="H1191" s="3" t="s">
        <v>2733</v>
      </c>
      <c r="I1191" s="4">
        <v>1451.22</v>
      </c>
      <c r="J1191" s="3" t="s">
        <v>11</v>
      </c>
      <c r="K1191" t="e">
        <f>MATCH(A1191,Database!$A$2:$A$948,0)</f>
        <v>#N/A</v>
      </c>
      <c r="L1191" t="e">
        <f>VLOOKUP(A1191,Database!$A$2:$I$948,4,0)</f>
        <v>#N/A</v>
      </c>
      <c r="M1191" t="e">
        <f t="shared" si="39"/>
        <v>#N/A</v>
      </c>
      <c r="N1191" t="e">
        <f>VLOOKUP(A1191,Database!$A$2:$I$948,5,0)</f>
        <v>#N/A</v>
      </c>
    </row>
    <row r="1192" spans="1:14" hidden="1" x14ac:dyDescent="0.35">
      <c r="A1192" s="3">
        <v>103406183</v>
      </c>
      <c r="B1192" s="3" t="s">
        <v>2734</v>
      </c>
      <c r="C1192" s="3" t="str">
        <f t="shared" si="38"/>
        <v>2022-07-06</v>
      </c>
      <c r="D1192" s="3" t="s">
        <v>9</v>
      </c>
      <c r="E1192" s="3" t="s">
        <v>5</v>
      </c>
      <c r="F1192" s="3" t="s">
        <v>10</v>
      </c>
      <c r="G1192" s="3" t="s">
        <v>2735</v>
      </c>
      <c r="H1192" s="3" t="s">
        <v>2736</v>
      </c>
      <c r="I1192" s="5">
        <v>1869</v>
      </c>
      <c r="J1192" s="3" t="s">
        <v>11</v>
      </c>
      <c r="K1192" t="e">
        <f>MATCH(A1192,Database!$A$2:$A$948,0)</f>
        <v>#N/A</v>
      </c>
      <c r="L1192" t="e">
        <f>VLOOKUP(A1192,Database!$A$2:$I$948,4,0)</f>
        <v>#N/A</v>
      </c>
      <c r="M1192" t="e">
        <f t="shared" si="39"/>
        <v>#N/A</v>
      </c>
      <c r="N1192" t="e">
        <f>VLOOKUP(A1192,Database!$A$2:$I$948,5,0)</f>
        <v>#N/A</v>
      </c>
    </row>
    <row r="1193" spans="1:14" hidden="1" x14ac:dyDescent="0.35">
      <c r="A1193" s="3">
        <v>103406182</v>
      </c>
      <c r="B1193" s="3" t="s">
        <v>2737</v>
      </c>
      <c r="C1193" s="3" t="str">
        <f t="shared" si="38"/>
        <v>2022-07-06</v>
      </c>
      <c r="D1193" s="3" t="s">
        <v>9</v>
      </c>
      <c r="E1193" s="3" t="s">
        <v>5</v>
      </c>
      <c r="F1193" s="3" t="s">
        <v>10</v>
      </c>
      <c r="G1193" s="3" t="s">
        <v>2738</v>
      </c>
      <c r="H1193" s="3" t="s">
        <v>2739</v>
      </c>
      <c r="I1193" s="5">
        <v>1349</v>
      </c>
      <c r="J1193" s="3" t="s">
        <v>11</v>
      </c>
      <c r="K1193" t="e">
        <f>MATCH(A1193,Database!$A$2:$A$948,0)</f>
        <v>#N/A</v>
      </c>
      <c r="L1193" t="e">
        <f>VLOOKUP(A1193,Database!$A$2:$I$948,4,0)</f>
        <v>#N/A</v>
      </c>
      <c r="M1193" t="e">
        <f t="shared" si="39"/>
        <v>#N/A</v>
      </c>
      <c r="N1193" t="e">
        <f>VLOOKUP(A1193,Database!$A$2:$I$948,5,0)</f>
        <v>#N/A</v>
      </c>
    </row>
    <row r="1194" spans="1:14" hidden="1" x14ac:dyDescent="0.35">
      <c r="A1194" s="3">
        <v>103406095</v>
      </c>
      <c r="B1194" s="3" t="s">
        <v>2740</v>
      </c>
      <c r="C1194" s="3" t="str">
        <f t="shared" si="38"/>
        <v>2022-07-06</v>
      </c>
      <c r="D1194" s="3" t="s">
        <v>9</v>
      </c>
      <c r="E1194" s="3" t="s">
        <v>5</v>
      </c>
      <c r="F1194" s="3" t="s">
        <v>10</v>
      </c>
      <c r="G1194" s="3" t="s">
        <v>2741</v>
      </c>
      <c r="H1194" s="3" t="s">
        <v>2742</v>
      </c>
      <c r="I1194" s="3">
        <v>499</v>
      </c>
      <c r="J1194" s="3" t="s">
        <v>11</v>
      </c>
      <c r="K1194" t="e">
        <f>MATCH(A1194,Database!$A$2:$A$948,0)</f>
        <v>#N/A</v>
      </c>
      <c r="L1194" t="e">
        <f>VLOOKUP(A1194,Database!$A$2:$I$948,4,0)</f>
        <v>#N/A</v>
      </c>
      <c r="M1194" t="e">
        <f t="shared" si="39"/>
        <v>#N/A</v>
      </c>
      <c r="N1194" t="e">
        <f>VLOOKUP(A1194,Database!$A$2:$I$948,5,0)</f>
        <v>#N/A</v>
      </c>
    </row>
    <row r="1195" spans="1:14" hidden="1" x14ac:dyDescent="0.35">
      <c r="A1195" s="3">
        <v>103406094</v>
      </c>
      <c r="B1195" s="3" t="s">
        <v>2743</v>
      </c>
      <c r="C1195" s="3" t="str">
        <f t="shared" si="38"/>
        <v>2022-07-06</v>
      </c>
      <c r="D1195" s="3" t="s">
        <v>9</v>
      </c>
      <c r="E1195" s="3" t="s">
        <v>5</v>
      </c>
      <c r="F1195" s="3" t="s">
        <v>10</v>
      </c>
      <c r="G1195" s="3" t="s">
        <v>2300</v>
      </c>
      <c r="H1195" s="3" t="s">
        <v>2301</v>
      </c>
      <c r="I1195" s="4">
        <v>2474.25</v>
      </c>
      <c r="J1195" s="3" t="s">
        <v>11</v>
      </c>
      <c r="K1195" t="e">
        <f>MATCH(A1195,Database!$A$2:$A$948,0)</f>
        <v>#N/A</v>
      </c>
      <c r="L1195" t="e">
        <f>VLOOKUP(A1195,Database!$A$2:$I$948,4,0)</f>
        <v>#N/A</v>
      </c>
      <c r="M1195" t="e">
        <f t="shared" si="39"/>
        <v>#N/A</v>
      </c>
      <c r="N1195" t="e">
        <f>VLOOKUP(A1195,Database!$A$2:$I$948,5,0)</f>
        <v>#N/A</v>
      </c>
    </row>
    <row r="1196" spans="1:14" hidden="1" x14ac:dyDescent="0.35">
      <c r="A1196" s="3">
        <v>103406175</v>
      </c>
      <c r="B1196" s="3" t="s">
        <v>2744</v>
      </c>
      <c r="C1196" s="3" t="str">
        <f t="shared" si="38"/>
        <v>2022-07-06</v>
      </c>
      <c r="D1196" s="3" t="s">
        <v>9</v>
      </c>
      <c r="E1196" s="3" t="s">
        <v>5</v>
      </c>
      <c r="F1196" s="3" t="s">
        <v>10</v>
      </c>
      <c r="G1196" s="3" t="s">
        <v>2745</v>
      </c>
      <c r="H1196" s="3" t="s">
        <v>2746</v>
      </c>
      <c r="I1196" s="4">
        <v>2480.9699999999998</v>
      </c>
      <c r="J1196" s="3" t="s">
        <v>11</v>
      </c>
      <c r="K1196" t="e">
        <f>MATCH(A1196,Database!$A$2:$A$948,0)</f>
        <v>#N/A</v>
      </c>
      <c r="L1196" t="e">
        <f>VLOOKUP(A1196,Database!$A$2:$I$948,4,0)</f>
        <v>#N/A</v>
      </c>
      <c r="M1196" t="e">
        <f t="shared" si="39"/>
        <v>#N/A</v>
      </c>
      <c r="N1196" t="e">
        <f>VLOOKUP(A1196,Database!$A$2:$I$948,5,0)</f>
        <v>#N/A</v>
      </c>
    </row>
    <row r="1197" spans="1:14" hidden="1" x14ac:dyDescent="0.35">
      <c r="A1197" s="3">
        <v>103406089</v>
      </c>
      <c r="B1197" s="3" t="s">
        <v>2747</v>
      </c>
      <c r="C1197" s="3" t="str">
        <f t="shared" si="38"/>
        <v>2022-07-06</v>
      </c>
      <c r="D1197" s="3" t="s">
        <v>9</v>
      </c>
      <c r="E1197" s="3" t="s">
        <v>5</v>
      </c>
      <c r="F1197" s="3" t="s">
        <v>12</v>
      </c>
      <c r="G1197" s="3" t="s">
        <v>2748</v>
      </c>
      <c r="H1197" s="3" t="s">
        <v>2749</v>
      </c>
      <c r="I1197" s="4">
        <v>2659.05</v>
      </c>
      <c r="J1197" s="3" t="s">
        <v>11</v>
      </c>
      <c r="K1197" t="e">
        <f>MATCH(A1197,Database!$A$2:$A$948,0)</f>
        <v>#N/A</v>
      </c>
      <c r="L1197" t="e">
        <f>VLOOKUP(A1197,Database!$A$2:$I$948,4,0)</f>
        <v>#N/A</v>
      </c>
      <c r="M1197" t="e">
        <f t="shared" si="39"/>
        <v>#N/A</v>
      </c>
      <c r="N1197" t="e">
        <f>VLOOKUP(A1197,Database!$A$2:$I$948,5,0)</f>
        <v>#N/A</v>
      </c>
    </row>
    <row r="1198" spans="1:14" hidden="1" x14ac:dyDescent="0.35">
      <c r="A1198" s="3">
        <v>103406170</v>
      </c>
      <c r="B1198" s="3" t="s">
        <v>2750</v>
      </c>
      <c r="C1198" s="3" t="str">
        <f t="shared" si="38"/>
        <v>2022-07-06</v>
      </c>
      <c r="D1198" s="3" t="s">
        <v>9</v>
      </c>
      <c r="E1198" s="3" t="s">
        <v>5</v>
      </c>
      <c r="F1198" s="3" t="s">
        <v>10</v>
      </c>
      <c r="G1198" s="3" t="s">
        <v>2751</v>
      </c>
      <c r="H1198" s="3" t="s">
        <v>2752</v>
      </c>
      <c r="I1198" s="4">
        <v>1983.6</v>
      </c>
      <c r="J1198" s="3" t="s">
        <v>11</v>
      </c>
      <c r="K1198" t="e">
        <f>MATCH(A1198,Database!$A$2:$A$948,0)</f>
        <v>#N/A</v>
      </c>
      <c r="L1198" t="e">
        <f>VLOOKUP(A1198,Database!$A$2:$I$948,4,0)</f>
        <v>#N/A</v>
      </c>
      <c r="M1198" t="e">
        <f t="shared" si="39"/>
        <v>#N/A</v>
      </c>
      <c r="N1198" t="e">
        <f>VLOOKUP(A1198,Database!$A$2:$I$948,5,0)</f>
        <v>#N/A</v>
      </c>
    </row>
    <row r="1199" spans="1:14" hidden="1" x14ac:dyDescent="0.35">
      <c r="A1199" s="3">
        <v>103406085</v>
      </c>
      <c r="B1199" s="3" t="s">
        <v>2753</v>
      </c>
      <c r="C1199" s="3" t="str">
        <f t="shared" si="38"/>
        <v>2022-07-06</v>
      </c>
      <c r="D1199" s="3" t="s">
        <v>9</v>
      </c>
      <c r="E1199" s="3" t="s">
        <v>5</v>
      </c>
      <c r="F1199" s="3" t="s">
        <v>10</v>
      </c>
      <c r="G1199" s="3" t="s">
        <v>2754</v>
      </c>
      <c r="H1199" s="3" t="s">
        <v>2755</v>
      </c>
      <c r="I1199" s="5">
        <v>1199</v>
      </c>
      <c r="J1199" s="3" t="s">
        <v>11</v>
      </c>
      <c r="K1199" t="e">
        <f>MATCH(A1199,Database!$A$2:$A$948,0)</f>
        <v>#N/A</v>
      </c>
      <c r="L1199" t="e">
        <f>VLOOKUP(A1199,Database!$A$2:$I$948,4,0)</f>
        <v>#N/A</v>
      </c>
      <c r="M1199" t="e">
        <f t="shared" si="39"/>
        <v>#N/A</v>
      </c>
      <c r="N1199" t="e">
        <f>VLOOKUP(A1199,Database!$A$2:$I$948,5,0)</f>
        <v>#N/A</v>
      </c>
    </row>
    <row r="1200" spans="1:14" hidden="1" x14ac:dyDescent="0.35">
      <c r="A1200" s="3">
        <v>103406167</v>
      </c>
      <c r="B1200" s="3" t="s">
        <v>2756</v>
      </c>
      <c r="C1200" s="3" t="str">
        <f t="shared" si="38"/>
        <v>2022-07-06</v>
      </c>
      <c r="D1200" s="3" t="s">
        <v>9</v>
      </c>
      <c r="E1200" s="3" t="s">
        <v>5</v>
      </c>
      <c r="F1200" s="3" t="s">
        <v>10</v>
      </c>
      <c r="G1200" s="3" t="s">
        <v>2757</v>
      </c>
      <c r="H1200" s="3" t="s">
        <v>2758</v>
      </c>
      <c r="I1200" s="3">
        <v>439</v>
      </c>
      <c r="J1200" s="3" t="s">
        <v>11</v>
      </c>
      <c r="K1200" t="e">
        <f>MATCH(A1200,Database!$A$2:$A$948,0)</f>
        <v>#N/A</v>
      </c>
      <c r="L1200" t="e">
        <f>VLOOKUP(A1200,Database!$A$2:$I$948,4,0)</f>
        <v>#N/A</v>
      </c>
      <c r="M1200" t="e">
        <f t="shared" si="39"/>
        <v>#N/A</v>
      </c>
      <c r="N1200" t="e">
        <f>VLOOKUP(A1200,Database!$A$2:$I$948,5,0)</f>
        <v>#N/A</v>
      </c>
    </row>
    <row r="1201" spans="1:14" hidden="1" x14ac:dyDescent="0.35">
      <c r="A1201" s="3">
        <v>103406166</v>
      </c>
      <c r="B1201" s="3" t="s">
        <v>2759</v>
      </c>
      <c r="C1201" s="3" t="str">
        <f t="shared" si="38"/>
        <v>2022-07-06</v>
      </c>
      <c r="D1201" s="3" t="s">
        <v>9</v>
      </c>
      <c r="E1201" s="3" t="s">
        <v>5</v>
      </c>
      <c r="F1201" s="3" t="s">
        <v>10</v>
      </c>
      <c r="G1201" s="3" t="s">
        <v>2760</v>
      </c>
      <c r="H1201" s="3" t="s">
        <v>2761</v>
      </c>
      <c r="I1201" s="4">
        <v>5984.05</v>
      </c>
      <c r="J1201" s="3" t="s">
        <v>11</v>
      </c>
      <c r="K1201" t="e">
        <f>MATCH(A1201,Database!$A$2:$A$948,0)</f>
        <v>#N/A</v>
      </c>
      <c r="L1201" t="e">
        <f>VLOOKUP(A1201,Database!$A$2:$I$948,4,0)</f>
        <v>#N/A</v>
      </c>
      <c r="M1201" t="e">
        <f t="shared" si="39"/>
        <v>#N/A</v>
      </c>
      <c r="N1201" t="e">
        <f>VLOOKUP(A1201,Database!$A$2:$I$948,5,0)</f>
        <v>#N/A</v>
      </c>
    </row>
    <row r="1202" spans="1:14" hidden="1" x14ac:dyDescent="0.35">
      <c r="A1202" s="3">
        <v>103406079</v>
      </c>
      <c r="B1202" s="3" t="s">
        <v>2762</v>
      </c>
      <c r="C1202" s="3" t="str">
        <f t="shared" si="38"/>
        <v>2022-07-06</v>
      </c>
      <c r="D1202" s="3" t="s">
        <v>9</v>
      </c>
      <c r="E1202" s="3" t="s">
        <v>5</v>
      </c>
      <c r="F1202" s="3" t="s">
        <v>12</v>
      </c>
      <c r="G1202" s="3" t="s">
        <v>2763</v>
      </c>
      <c r="H1202" s="3" t="s">
        <v>2764</v>
      </c>
      <c r="I1202" s="4">
        <v>3290.89</v>
      </c>
      <c r="J1202" s="3" t="s">
        <v>11</v>
      </c>
      <c r="K1202" t="e">
        <f>MATCH(A1202,Database!$A$2:$A$948,0)</f>
        <v>#N/A</v>
      </c>
      <c r="L1202" t="e">
        <f>VLOOKUP(A1202,Database!$A$2:$I$948,4,0)</f>
        <v>#N/A</v>
      </c>
      <c r="M1202" t="e">
        <f t="shared" si="39"/>
        <v>#N/A</v>
      </c>
      <c r="N1202" t="e">
        <f>VLOOKUP(A1202,Database!$A$2:$I$948,5,0)</f>
        <v>#N/A</v>
      </c>
    </row>
    <row r="1203" spans="1:14" hidden="1" x14ac:dyDescent="0.35">
      <c r="A1203" s="3">
        <v>103405964</v>
      </c>
      <c r="B1203" s="3" t="s">
        <v>2765</v>
      </c>
      <c r="C1203" s="3" t="str">
        <f t="shared" si="38"/>
        <v>2022-07-06</v>
      </c>
      <c r="D1203" s="3" t="s">
        <v>9</v>
      </c>
      <c r="E1203" s="3" t="s">
        <v>5</v>
      </c>
      <c r="F1203" s="3" t="s">
        <v>10</v>
      </c>
      <c r="G1203" s="3" t="s">
        <v>2766</v>
      </c>
      <c r="H1203" s="3" t="s">
        <v>2767</v>
      </c>
      <c r="I1203" s="3">
        <v>920.55</v>
      </c>
      <c r="J1203" s="3" t="s">
        <v>11</v>
      </c>
      <c r="K1203" t="e">
        <f>MATCH(A1203,Database!$A$2:$A$948,0)</f>
        <v>#N/A</v>
      </c>
      <c r="L1203" t="e">
        <f>VLOOKUP(A1203,Database!$A$2:$I$948,4,0)</f>
        <v>#N/A</v>
      </c>
      <c r="M1203" t="e">
        <f t="shared" si="39"/>
        <v>#N/A</v>
      </c>
      <c r="N1203" t="e">
        <f>VLOOKUP(A1203,Database!$A$2:$I$948,5,0)</f>
        <v>#N/A</v>
      </c>
    </row>
    <row r="1204" spans="1:14" hidden="1" x14ac:dyDescent="0.35">
      <c r="A1204" s="3">
        <v>103405963</v>
      </c>
      <c r="B1204" s="3" t="s">
        <v>2768</v>
      </c>
      <c r="C1204" s="3" t="str">
        <f t="shared" si="38"/>
        <v>2022-07-06</v>
      </c>
      <c r="D1204" s="3" t="s">
        <v>9</v>
      </c>
      <c r="E1204" s="3" t="s">
        <v>5</v>
      </c>
      <c r="F1204" s="3" t="s">
        <v>10</v>
      </c>
      <c r="G1204" s="3" t="s">
        <v>2735</v>
      </c>
      <c r="H1204" s="3" t="s">
        <v>2736</v>
      </c>
      <c r="I1204" s="5">
        <v>1869</v>
      </c>
      <c r="J1204" s="3" t="s">
        <v>11</v>
      </c>
      <c r="K1204" t="e">
        <f>MATCH(A1204,Database!$A$2:$A$948,0)</f>
        <v>#N/A</v>
      </c>
      <c r="L1204" t="e">
        <f>VLOOKUP(A1204,Database!$A$2:$I$948,4,0)</f>
        <v>#N/A</v>
      </c>
      <c r="M1204" t="e">
        <f t="shared" si="39"/>
        <v>#N/A</v>
      </c>
      <c r="N1204" t="e">
        <f>VLOOKUP(A1204,Database!$A$2:$I$948,5,0)</f>
        <v>#N/A</v>
      </c>
    </row>
    <row r="1205" spans="1:14" hidden="1" x14ac:dyDescent="0.35">
      <c r="A1205" s="3">
        <v>103406077</v>
      </c>
      <c r="B1205" s="3" t="s">
        <v>2769</v>
      </c>
      <c r="C1205" s="3" t="str">
        <f t="shared" si="38"/>
        <v>2022-07-06</v>
      </c>
      <c r="D1205" s="3" t="s">
        <v>9</v>
      </c>
      <c r="E1205" s="3" t="s">
        <v>5</v>
      </c>
      <c r="F1205" s="3" t="s">
        <v>10</v>
      </c>
      <c r="G1205" s="3" t="s">
        <v>2723</v>
      </c>
      <c r="H1205" s="3" t="s">
        <v>2724</v>
      </c>
      <c r="I1205" s="4">
        <v>4101.43</v>
      </c>
      <c r="J1205" s="3" t="s">
        <v>11</v>
      </c>
      <c r="K1205" t="e">
        <f>MATCH(A1205,Database!$A$2:$A$948,0)</f>
        <v>#N/A</v>
      </c>
      <c r="L1205" t="e">
        <f>VLOOKUP(A1205,Database!$A$2:$I$948,4,0)</f>
        <v>#N/A</v>
      </c>
      <c r="M1205" t="e">
        <f t="shared" si="39"/>
        <v>#N/A</v>
      </c>
      <c r="N1205" t="e">
        <f>VLOOKUP(A1205,Database!$A$2:$I$948,5,0)</f>
        <v>#N/A</v>
      </c>
    </row>
    <row r="1206" spans="1:14" hidden="1" x14ac:dyDescent="0.35">
      <c r="A1206" s="3">
        <v>103406071</v>
      </c>
      <c r="B1206" s="3" t="s">
        <v>2770</v>
      </c>
      <c r="C1206" s="3" t="str">
        <f t="shared" si="38"/>
        <v>2022-07-06</v>
      </c>
      <c r="D1206" s="3" t="s">
        <v>9</v>
      </c>
      <c r="E1206" s="3" t="s">
        <v>5</v>
      </c>
      <c r="F1206" s="3" t="s">
        <v>10</v>
      </c>
      <c r="G1206" s="3" t="s">
        <v>1469</v>
      </c>
      <c r="H1206" s="3" t="s">
        <v>1470</v>
      </c>
      <c r="I1206" s="4">
        <v>1880.14</v>
      </c>
      <c r="J1206" s="3" t="s">
        <v>11</v>
      </c>
      <c r="K1206" t="e">
        <f>MATCH(A1206,Database!$A$2:$A$948,0)</f>
        <v>#N/A</v>
      </c>
      <c r="L1206" t="e">
        <f>VLOOKUP(A1206,Database!$A$2:$I$948,4,0)</f>
        <v>#N/A</v>
      </c>
      <c r="M1206" t="e">
        <f t="shared" si="39"/>
        <v>#N/A</v>
      </c>
      <c r="N1206" t="e">
        <f>VLOOKUP(A1206,Database!$A$2:$I$948,5,0)</f>
        <v>#N/A</v>
      </c>
    </row>
    <row r="1207" spans="1:14" hidden="1" x14ac:dyDescent="0.35">
      <c r="A1207" s="3">
        <v>103406070</v>
      </c>
      <c r="B1207" s="3" t="s">
        <v>2771</v>
      </c>
      <c r="C1207" s="3" t="str">
        <f t="shared" si="38"/>
        <v>2022-07-06</v>
      </c>
      <c r="D1207" s="3" t="s">
        <v>9</v>
      </c>
      <c r="E1207" s="3" t="s">
        <v>5</v>
      </c>
      <c r="F1207" s="3" t="s">
        <v>10</v>
      </c>
      <c r="G1207" s="3" t="s">
        <v>2300</v>
      </c>
      <c r="H1207" s="3" t="s">
        <v>2301</v>
      </c>
      <c r="I1207" s="4">
        <v>12156.9</v>
      </c>
      <c r="J1207" s="3" t="s">
        <v>11</v>
      </c>
      <c r="K1207" t="e">
        <f>MATCH(A1207,Database!$A$2:$A$948,0)</f>
        <v>#N/A</v>
      </c>
      <c r="L1207" t="e">
        <f>VLOOKUP(A1207,Database!$A$2:$I$948,4,0)</f>
        <v>#N/A</v>
      </c>
      <c r="M1207" t="e">
        <f t="shared" si="39"/>
        <v>#N/A</v>
      </c>
      <c r="N1207" t="e">
        <f>VLOOKUP(A1207,Database!$A$2:$I$948,5,0)</f>
        <v>#N/A</v>
      </c>
    </row>
    <row r="1208" spans="1:14" hidden="1" x14ac:dyDescent="0.35">
      <c r="A1208" s="3">
        <v>103406067</v>
      </c>
      <c r="B1208" s="3" t="s">
        <v>2772</v>
      </c>
      <c r="C1208" s="3" t="str">
        <f t="shared" si="38"/>
        <v>2022-07-06</v>
      </c>
      <c r="D1208" s="3" t="s">
        <v>9</v>
      </c>
      <c r="E1208" s="3" t="s">
        <v>5</v>
      </c>
      <c r="F1208" s="3" t="s">
        <v>10</v>
      </c>
      <c r="G1208" s="3" t="s">
        <v>2773</v>
      </c>
      <c r="H1208" s="3" t="s">
        <v>2774</v>
      </c>
      <c r="I1208" s="4">
        <v>1281.55</v>
      </c>
      <c r="J1208" s="3" t="s">
        <v>11</v>
      </c>
      <c r="K1208" t="e">
        <f>MATCH(A1208,Database!$A$2:$A$948,0)</f>
        <v>#N/A</v>
      </c>
      <c r="L1208" t="e">
        <f>VLOOKUP(A1208,Database!$A$2:$I$948,4,0)</f>
        <v>#N/A</v>
      </c>
      <c r="M1208" t="e">
        <f t="shared" si="39"/>
        <v>#N/A</v>
      </c>
      <c r="N1208" t="e">
        <f>VLOOKUP(A1208,Database!$A$2:$I$948,5,0)</f>
        <v>#N/A</v>
      </c>
    </row>
    <row r="1209" spans="1:14" hidden="1" x14ac:dyDescent="0.35">
      <c r="A1209" s="3">
        <v>103406063</v>
      </c>
      <c r="B1209" s="3" t="s">
        <v>2775</v>
      </c>
      <c r="C1209" s="3" t="str">
        <f t="shared" si="38"/>
        <v>2022-07-06</v>
      </c>
      <c r="D1209" s="3" t="s">
        <v>9</v>
      </c>
      <c r="E1209" s="3" t="s">
        <v>5</v>
      </c>
      <c r="F1209" s="3" t="s">
        <v>10</v>
      </c>
      <c r="G1209" s="3" t="s">
        <v>2776</v>
      </c>
      <c r="H1209" s="3" t="s">
        <v>2777</v>
      </c>
      <c r="I1209" s="5">
        <v>3599</v>
      </c>
      <c r="J1209" s="3" t="s">
        <v>11</v>
      </c>
      <c r="K1209" t="e">
        <f>MATCH(A1209,Database!$A$2:$A$948,0)</f>
        <v>#N/A</v>
      </c>
      <c r="L1209" t="e">
        <f>VLOOKUP(A1209,Database!$A$2:$I$948,4,0)</f>
        <v>#N/A</v>
      </c>
      <c r="M1209" t="e">
        <f t="shared" si="39"/>
        <v>#N/A</v>
      </c>
      <c r="N1209" t="e">
        <f>VLOOKUP(A1209,Database!$A$2:$I$948,5,0)</f>
        <v>#N/A</v>
      </c>
    </row>
    <row r="1210" spans="1:14" hidden="1" x14ac:dyDescent="0.35">
      <c r="A1210" s="3">
        <v>103406062</v>
      </c>
      <c r="B1210" s="3" t="s">
        <v>2778</v>
      </c>
      <c r="C1210" s="3" t="str">
        <f t="shared" si="38"/>
        <v>2022-07-06</v>
      </c>
      <c r="D1210" s="3" t="s">
        <v>9</v>
      </c>
      <c r="E1210" s="3" t="s">
        <v>5</v>
      </c>
      <c r="F1210" s="3" t="s">
        <v>10</v>
      </c>
      <c r="G1210" s="3" t="s">
        <v>2779</v>
      </c>
      <c r="H1210" s="3" t="s">
        <v>2780</v>
      </c>
      <c r="I1210" s="4">
        <v>1994.05</v>
      </c>
      <c r="J1210" s="3" t="s">
        <v>11</v>
      </c>
      <c r="K1210" t="e">
        <f>MATCH(A1210,Database!$A$2:$A$948,0)</f>
        <v>#N/A</v>
      </c>
      <c r="L1210" t="e">
        <f>VLOOKUP(A1210,Database!$A$2:$I$948,4,0)</f>
        <v>#N/A</v>
      </c>
      <c r="M1210" t="e">
        <f t="shared" si="39"/>
        <v>#N/A</v>
      </c>
      <c r="N1210" t="e">
        <f>VLOOKUP(A1210,Database!$A$2:$I$948,5,0)</f>
        <v>#N/A</v>
      </c>
    </row>
    <row r="1211" spans="1:14" hidden="1" x14ac:dyDescent="0.35">
      <c r="A1211" s="3">
        <v>103405945</v>
      </c>
      <c r="B1211" s="3" t="s">
        <v>2781</v>
      </c>
      <c r="C1211" s="3" t="str">
        <f t="shared" si="38"/>
        <v>2022-07-06</v>
      </c>
      <c r="D1211" s="3" t="s">
        <v>9</v>
      </c>
      <c r="E1211" s="3" t="s">
        <v>5</v>
      </c>
      <c r="F1211" s="3" t="s">
        <v>10</v>
      </c>
      <c r="G1211" s="3" t="s">
        <v>2782</v>
      </c>
      <c r="H1211" s="3" t="s">
        <v>2783</v>
      </c>
      <c r="I1211" s="3">
        <v>350.55</v>
      </c>
      <c r="J1211" s="3" t="s">
        <v>11</v>
      </c>
      <c r="K1211" t="e">
        <f>MATCH(A1211,Database!$A$2:$A$948,0)</f>
        <v>#N/A</v>
      </c>
      <c r="L1211" t="e">
        <f>VLOOKUP(A1211,Database!$A$2:$I$948,4,0)</f>
        <v>#N/A</v>
      </c>
      <c r="M1211" t="e">
        <f t="shared" si="39"/>
        <v>#N/A</v>
      </c>
      <c r="N1211" t="e">
        <f>VLOOKUP(A1211,Database!$A$2:$I$948,5,0)</f>
        <v>#N/A</v>
      </c>
    </row>
    <row r="1212" spans="1:14" hidden="1" x14ac:dyDescent="0.35">
      <c r="A1212" s="3">
        <v>103406055</v>
      </c>
      <c r="B1212" s="3" t="s">
        <v>2784</v>
      </c>
      <c r="C1212" s="3" t="str">
        <f t="shared" si="38"/>
        <v>2022-07-06</v>
      </c>
      <c r="D1212" s="3" t="s">
        <v>9</v>
      </c>
      <c r="E1212" s="3" t="s">
        <v>5</v>
      </c>
      <c r="F1212" s="3" t="s">
        <v>10</v>
      </c>
      <c r="G1212" s="3" t="s">
        <v>2785</v>
      </c>
      <c r="H1212" s="3" t="s">
        <v>2786</v>
      </c>
      <c r="I1212" s="4">
        <v>1310.05</v>
      </c>
      <c r="J1212" s="3" t="s">
        <v>11</v>
      </c>
      <c r="K1212" t="e">
        <f>MATCH(A1212,Database!$A$2:$A$948,0)</f>
        <v>#N/A</v>
      </c>
      <c r="L1212" t="e">
        <f>VLOOKUP(A1212,Database!$A$2:$I$948,4,0)</f>
        <v>#N/A</v>
      </c>
      <c r="M1212" t="e">
        <f t="shared" si="39"/>
        <v>#N/A</v>
      </c>
      <c r="N1212" t="e">
        <f>VLOOKUP(A1212,Database!$A$2:$I$948,5,0)</f>
        <v>#N/A</v>
      </c>
    </row>
    <row r="1213" spans="1:14" hidden="1" x14ac:dyDescent="0.35">
      <c r="A1213" s="3">
        <v>103406053</v>
      </c>
      <c r="B1213" s="3" t="s">
        <v>2787</v>
      </c>
      <c r="C1213" s="3" t="str">
        <f t="shared" si="38"/>
        <v>2022-07-06</v>
      </c>
      <c r="D1213" s="3" t="s">
        <v>9</v>
      </c>
      <c r="E1213" s="3" t="s">
        <v>5</v>
      </c>
      <c r="F1213" s="3" t="s">
        <v>10</v>
      </c>
      <c r="G1213" s="3" t="s">
        <v>2788</v>
      </c>
      <c r="H1213" s="3" t="s">
        <v>2789</v>
      </c>
      <c r="I1213" s="5">
        <v>1479</v>
      </c>
      <c r="J1213" s="3" t="s">
        <v>11</v>
      </c>
      <c r="K1213" t="e">
        <f>MATCH(A1213,Database!$A$2:$A$948,0)</f>
        <v>#N/A</v>
      </c>
      <c r="L1213" t="e">
        <f>VLOOKUP(A1213,Database!$A$2:$I$948,4,0)</f>
        <v>#N/A</v>
      </c>
      <c r="M1213" t="e">
        <f t="shared" si="39"/>
        <v>#N/A</v>
      </c>
      <c r="N1213" t="e">
        <f>VLOOKUP(A1213,Database!$A$2:$I$948,5,0)</f>
        <v>#N/A</v>
      </c>
    </row>
    <row r="1214" spans="1:14" hidden="1" x14ac:dyDescent="0.35">
      <c r="A1214" s="3">
        <v>103405941</v>
      </c>
      <c r="B1214" s="3" t="s">
        <v>2790</v>
      </c>
      <c r="C1214" s="3" t="str">
        <f t="shared" si="38"/>
        <v>2022-07-06</v>
      </c>
      <c r="D1214" s="3" t="s">
        <v>9</v>
      </c>
      <c r="E1214" s="3" t="s">
        <v>5</v>
      </c>
      <c r="F1214" s="3" t="s">
        <v>10</v>
      </c>
      <c r="G1214" s="3" t="s">
        <v>2791</v>
      </c>
      <c r="H1214" s="3" t="s">
        <v>2792</v>
      </c>
      <c r="I1214" s="3">
        <v>569.04999999999995</v>
      </c>
      <c r="J1214" s="3" t="s">
        <v>11</v>
      </c>
      <c r="K1214" t="e">
        <f>MATCH(A1214,Database!$A$2:$A$948,0)</f>
        <v>#N/A</v>
      </c>
      <c r="L1214" t="e">
        <f>VLOOKUP(A1214,Database!$A$2:$I$948,4,0)</f>
        <v>#N/A</v>
      </c>
      <c r="M1214" t="e">
        <f t="shared" si="39"/>
        <v>#N/A</v>
      </c>
      <c r="N1214" t="e">
        <f>VLOOKUP(A1214,Database!$A$2:$I$948,5,0)</f>
        <v>#N/A</v>
      </c>
    </row>
    <row r="1215" spans="1:14" hidden="1" x14ac:dyDescent="0.35">
      <c r="A1215" s="3">
        <v>103406049</v>
      </c>
      <c r="B1215" s="3" t="s">
        <v>2793</v>
      </c>
      <c r="C1215" s="3" t="str">
        <f t="shared" si="38"/>
        <v>2022-07-06</v>
      </c>
      <c r="D1215" s="3" t="s">
        <v>9</v>
      </c>
      <c r="E1215" s="3" t="s">
        <v>5</v>
      </c>
      <c r="F1215" s="3" t="s">
        <v>10</v>
      </c>
      <c r="G1215" s="3" t="s">
        <v>2794</v>
      </c>
      <c r="H1215" s="3" t="s">
        <v>2795</v>
      </c>
      <c r="I1215" s="3">
        <v>768.55</v>
      </c>
      <c r="J1215" s="3" t="s">
        <v>11</v>
      </c>
      <c r="K1215" t="e">
        <f>MATCH(A1215,Database!$A$2:$A$948,0)</f>
        <v>#N/A</v>
      </c>
      <c r="L1215" t="e">
        <f>VLOOKUP(A1215,Database!$A$2:$I$948,4,0)</f>
        <v>#N/A</v>
      </c>
      <c r="M1215" t="e">
        <f t="shared" si="39"/>
        <v>#N/A</v>
      </c>
      <c r="N1215" t="e">
        <f>VLOOKUP(A1215,Database!$A$2:$I$948,5,0)</f>
        <v>#N/A</v>
      </c>
    </row>
    <row r="1216" spans="1:14" hidden="1" x14ac:dyDescent="0.35">
      <c r="A1216" s="3">
        <v>103406047</v>
      </c>
      <c r="B1216" s="3" t="s">
        <v>2796</v>
      </c>
      <c r="C1216" s="3" t="str">
        <f t="shared" si="38"/>
        <v>2022-07-06</v>
      </c>
      <c r="D1216" s="3" t="s">
        <v>9</v>
      </c>
      <c r="E1216" s="3" t="s">
        <v>5</v>
      </c>
      <c r="F1216" s="3" t="s">
        <v>10</v>
      </c>
      <c r="G1216" s="3" t="s">
        <v>2797</v>
      </c>
      <c r="H1216" s="3" t="s">
        <v>2798</v>
      </c>
      <c r="I1216" s="3">
        <v>811.35</v>
      </c>
      <c r="J1216" s="3" t="s">
        <v>11</v>
      </c>
      <c r="K1216" t="e">
        <f>MATCH(A1216,Database!$A$2:$A$948,0)</f>
        <v>#N/A</v>
      </c>
      <c r="L1216" t="e">
        <f>VLOOKUP(A1216,Database!$A$2:$I$948,4,0)</f>
        <v>#N/A</v>
      </c>
      <c r="M1216" t="e">
        <f t="shared" si="39"/>
        <v>#N/A</v>
      </c>
      <c r="N1216" t="e">
        <f>VLOOKUP(A1216,Database!$A$2:$I$948,5,0)</f>
        <v>#N/A</v>
      </c>
    </row>
    <row r="1217" spans="1:14" hidden="1" x14ac:dyDescent="0.35">
      <c r="A1217" s="3">
        <v>103406046</v>
      </c>
      <c r="B1217" s="3" t="s">
        <v>2799</v>
      </c>
      <c r="C1217" s="3" t="str">
        <f t="shared" si="38"/>
        <v>2022-07-06</v>
      </c>
      <c r="D1217" s="3" t="s">
        <v>9</v>
      </c>
      <c r="E1217" s="3" t="s">
        <v>5</v>
      </c>
      <c r="F1217" s="3" t="s">
        <v>12</v>
      </c>
      <c r="G1217" s="3" t="s">
        <v>2800</v>
      </c>
      <c r="H1217" s="3" t="s">
        <v>2801</v>
      </c>
      <c r="I1217" s="5">
        <v>1619</v>
      </c>
      <c r="J1217" s="3" t="s">
        <v>11</v>
      </c>
      <c r="K1217" t="e">
        <f>MATCH(A1217,Database!$A$2:$A$948,0)</f>
        <v>#N/A</v>
      </c>
      <c r="L1217" t="e">
        <f>VLOOKUP(A1217,Database!$A$2:$I$948,4,0)</f>
        <v>#N/A</v>
      </c>
      <c r="M1217" t="e">
        <f t="shared" si="39"/>
        <v>#N/A</v>
      </c>
      <c r="N1217" t="e">
        <f>VLOOKUP(A1217,Database!$A$2:$I$948,5,0)</f>
        <v>#N/A</v>
      </c>
    </row>
    <row r="1218" spans="1:14" hidden="1" x14ac:dyDescent="0.35">
      <c r="A1218" s="3">
        <v>103406044</v>
      </c>
      <c r="B1218" s="3" t="s">
        <v>2802</v>
      </c>
      <c r="C1218" s="3" t="str">
        <f t="shared" si="38"/>
        <v>2022-07-06</v>
      </c>
      <c r="D1218" s="3" t="s">
        <v>9</v>
      </c>
      <c r="E1218" s="3" t="s">
        <v>5</v>
      </c>
      <c r="F1218" s="3" t="s">
        <v>10</v>
      </c>
      <c r="G1218" s="3" t="s">
        <v>2803</v>
      </c>
      <c r="H1218" s="3" t="s">
        <v>2804</v>
      </c>
      <c r="I1218" s="3">
        <v>768.55</v>
      </c>
      <c r="J1218" s="3" t="s">
        <v>11</v>
      </c>
      <c r="K1218" t="e">
        <f>MATCH(A1218,Database!$A$2:$A$948,0)</f>
        <v>#N/A</v>
      </c>
      <c r="L1218" t="e">
        <f>VLOOKUP(A1218,Database!$A$2:$I$948,4,0)</f>
        <v>#N/A</v>
      </c>
      <c r="M1218" t="e">
        <f t="shared" si="39"/>
        <v>#N/A</v>
      </c>
      <c r="N1218" t="e">
        <f>VLOOKUP(A1218,Database!$A$2:$I$948,5,0)</f>
        <v>#N/A</v>
      </c>
    </row>
    <row r="1219" spans="1:14" hidden="1" x14ac:dyDescent="0.35">
      <c r="A1219" s="3">
        <v>103405932</v>
      </c>
      <c r="B1219" s="3" t="s">
        <v>2805</v>
      </c>
      <c r="C1219" s="3" t="str">
        <f t="shared" ref="C1219:C1282" si="40">LEFT(B1219,FIND("T",B1219)-1)</f>
        <v>2022-07-06</v>
      </c>
      <c r="D1219" s="3" t="s">
        <v>9</v>
      </c>
      <c r="E1219" s="3" t="s">
        <v>5</v>
      </c>
      <c r="F1219" s="3" t="s">
        <v>12</v>
      </c>
      <c r="G1219" s="3" t="s">
        <v>2806</v>
      </c>
      <c r="H1219" s="3" t="s">
        <v>2807</v>
      </c>
      <c r="I1219" s="4">
        <v>3509.1</v>
      </c>
      <c r="J1219" s="3" t="s">
        <v>11</v>
      </c>
      <c r="K1219" t="e">
        <f>MATCH(A1219,Database!$A$2:$A$948,0)</f>
        <v>#N/A</v>
      </c>
      <c r="L1219" t="e">
        <f>VLOOKUP(A1219,Database!$A$2:$I$948,4,0)</f>
        <v>#N/A</v>
      </c>
      <c r="M1219" t="e">
        <f t="shared" si="39"/>
        <v>#N/A</v>
      </c>
      <c r="N1219" t="e">
        <f>VLOOKUP(A1219,Database!$A$2:$I$948,5,0)</f>
        <v>#N/A</v>
      </c>
    </row>
    <row r="1220" spans="1:14" hidden="1" x14ac:dyDescent="0.35">
      <c r="A1220" s="3">
        <v>103405931</v>
      </c>
      <c r="B1220" s="3" t="s">
        <v>2808</v>
      </c>
      <c r="C1220" s="3" t="str">
        <f t="shared" si="40"/>
        <v>2022-07-06</v>
      </c>
      <c r="D1220" s="3" t="s">
        <v>9</v>
      </c>
      <c r="E1220" s="3" t="s">
        <v>5</v>
      </c>
      <c r="F1220" s="3" t="s">
        <v>10</v>
      </c>
      <c r="G1220" s="3" t="s">
        <v>2809</v>
      </c>
      <c r="H1220" s="3" t="s">
        <v>2810</v>
      </c>
      <c r="I1220" s="4">
        <v>2753.1</v>
      </c>
      <c r="J1220" s="3" t="s">
        <v>11</v>
      </c>
      <c r="K1220" t="e">
        <f>MATCH(A1220,Database!$A$2:$A$948,0)</f>
        <v>#N/A</v>
      </c>
      <c r="L1220" t="e">
        <f>VLOOKUP(A1220,Database!$A$2:$I$948,4,0)</f>
        <v>#N/A</v>
      </c>
      <c r="M1220" t="e">
        <f t="shared" si="39"/>
        <v>#N/A</v>
      </c>
      <c r="N1220" t="e">
        <f>VLOOKUP(A1220,Database!$A$2:$I$948,5,0)</f>
        <v>#N/A</v>
      </c>
    </row>
    <row r="1221" spans="1:14" hidden="1" x14ac:dyDescent="0.35">
      <c r="A1221" s="3">
        <v>103405929</v>
      </c>
      <c r="B1221" s="3" t="s">
        <v>2811</v>
      </c>
      <c r="C1221" s="3" t="str">
        <f t="shared" si="40"/>
        <v>2022-07-06</v>
      </c>
      <c r="D1221" s="3" t="s">
        <v>9</v>
      </c>
      <c r="E1221" s="3" t="s">
        <v>5</v>
      </c>
      <c r="F1221" s="3" t="s">
        <v>12</v>
      </c>
      <c r="G1221" s="3" t="s">
        <v>2812</v>
      </c>
      <c r="H1221" s="3" t="s">
        <v>2813</v>
      </c>
      <c r="I1221" s="5">
        <v>4549</v>
      </c>
      <c r="J1221" s="3" t="s">
        <v>11</v>
      </c>
      <c r="K1221" t="e">
        <f>MATCH(A1221,Database!$A$2:$A$948,0)</f>
        <v>#N/A</v>
      </c>
      <c r="L1221" t="e">
        <f>VLOOKUP(A1221,Database!$A$2:$I$948,4,0)</f>
        <v>#N/A</v>
      </c>
      <c r="M1221" t="e">
        <f t="shared" si="39"/>
        <v>#N/A</v>
      </c>
      <c r="N1221" t="e">
        <f>VLOOKUP(A1221,Database!$A$2:$I$948,5,0)</f>
        <v>#N/A</v>
      </c>
    </row>
    <row r="1222" spans="1:14" hidden="1" x14ac:dyDescent="0.35">
      <c r="A1222" s="3">
        <v>103405926</v>
      </c>
      <c r="B1222" s="3" t="s">
        <v>2814</v>
      </c>
      <c r="C1222" s="3" t="str">
        <f t="shared" si="40"/>
        <v>2022-07-06</v>
      </c>
      <c r="D1222" s="3" t="s">
        <v>9</v>
      </c>
      <c r="E1222" s="3" t="s">
        <v>5</v>
      </c>
      <c r="F1222" s="3" t="s">
        <v>10</v>
      </c>
      <c r="G1222" s="3" t="s">
        <v>2815</v>
      </c>
      <c r="H1222" s="3" t="s">
        <v>2816</v>
      </c>
      <c r="I1222" s="3">
        <v>779</v>
      </c>
      <c r="J1222" s="3" t="s">
        <v>11</v>
      </c>
      <c r="K1222" t="e">
        <f>MATCH(A1222,Database!$A$2:$A$948,0)</f>
        <v>#N/A</v>
      </c>
      <c r="L1222" t="e">
        <f>VLOOKUP(A1222,Database!$A$2:$I$948,4,0)</f>
        <v>#N/A</v>
      </c>
      <c r="M1222" t="e">
        <f t="shared" si="39"/>
        <v>#N/A</v>
      </c>
      <c r="N1222" t="e">
        <f>VLOOKUP(A1222,Database!$A$2:$I$948,5,0)</f>
        <v>#N/A</v>
      </c>
    </row>
    <row r="1223" spans="1:14" hidden="1" x14ac:dyDescent="0.35">
      <c r="A1223" s="3">
        <v>103405925</v>
      </c>
      <c r="B1223" s="3" t="s">
        <v>2817</v>
      </c>
      <c r="C1223" s="3" t="str">
        <f t="shared" si="40"/>
        <v>2022-07-06</v>
      </c>
      <c r="D1223" s="3" t="s">
        <v>9</v>
      </c>
      <c r="E1223" s="3" t="s">
        <v>5</v>
      </c>
      <c r="F1223" s="3" t="s">
        <v>10</v>
      </c>
      <c r="G1223" s="3" t="s">
        <v>2818</v>
      </c>
      <c r="H1223" s="3" t="s">
        <v>2819</v>
      </c>
      <c r="I1223" s="4">
        <v>4624.6000000000004</v>
      </c>
      <c r="J1223" s="3" t="s">
        <v>11</v>
      </c>
      <c r="K1223" t="e">
        <f>MATCH(A1223,Database!$A$2:$A$948,0)</f>
        <v>#N/A</v>
      </c>
      <c r="L1223" t="e">
        <f>VLOOKUP(A1223,Database!$A$2:$I$948,4,0)</f>
        <v>#N/A</v>
      </c>
      <c r="M1223" t="e">
        <f t="shared" si="39"/>
        <v>#N/A</v>
      </c>
      <c r="N1223" t="e">
        <f>VLOOKUP(A1223,Database!$A$2:$I$948,5,0)</f>
        <v>#N/A</v>
      </c>
    </row>
    <row r="1224" spans="1:14" hidden="1" x14ac:dyDescent="0.35">
      <c r="A1224" s="3">
        <v>103406032</v>
      </c>
      <c r="B1224" s="3" t="s">
        <v>2820</v>
      </c>
      <c r="C1224" s="3" t="str">
        <f t="shared" si="40"/>
        <v>2022-07-06</v>
      </c>
      <c r="D1224" s="3" t="s">
        <v>9</v>
      </c>
      <c r="E1224" s="3" t="s">
        <v>5</v>
      </c>
      <c r="F1224" s="3" t="s">
        <v>10</v>
      </c>
      <c r="G1224" s="3" t="s">
        <v>2821</v>
      </c>
      <c r="H1224" s="3" t="s">
        <v>2822</v>
      </c>
      <c r="I1224" s="5">
        <v>1488</v>
      </c>
      <c r="J1224" s="3" t="s">
        <v>11</v>
      </c>
      <c r="K1224" t="e">
        <f>MATCH(A1224,Database!$A$2:$A$948,0)</f>
        <v>#N/A</v>
      </c>
      <c r="L1224" t="e">
        <f>VLOOKUP(A1224,Database!$A$2:$I$948,4,0)</f>
        <v>#N/A</v>
      </c>
      <c r="M1224" t="e">
        <f t="shared" si="39"/>
        <v>#N/A</v>
      </c>
      <c r="N1224" t="e">
        <f>VLOOKUP(A1224,Database!$A$2:$I$948,5,0)</f>
        <v>#N/A</v>
      </c>
    </row>
    <row r="1225" spans="1:14" hidden="1" x14ac:dyDescent="0.35">
      <c r="A1225" s="3">
        <v>103405924</v>
      </c>
      <c r="B1225" s="3" t="s">
        <v>2823</v>
      </c>
      <c r="C1225" s="3" t="str">
        <f t="shared" si="40"/>
        <v>2022-07-06</v>
      </c>
      <c r="D1225" s="3" t="s">
        <v>9</v>
      </c>
      <c r="E1225" s="3" t="s">
        <v>5</v>
      </c>
      <c r="F1225" s="3" t="s">
        <v>10</v>
      </c>
      <c r="G1225" s="3" t="s">
        <v>1309</v>
      </c>
      <c r="H1225" s="3" t="s">
        <v>1310</v>
      </c>
      <c r="I1225" s="5">
        <v>3999</v>
      </c>
      <c r="J1225" s="3" t="s">
        <v>11</v>
      </c>
      <c r="K1225" t="e">
        <f>MATCH(A1225,Database!$A$2:$A$948,0)</f>
        <v>#N/A</v>
      </c>
      <c r="L1225" t="e">
        <f>VLOOKUP(A1225,Database!$A$2:$I$948,4,0)</f>
        <v>#N/A</v>
      </c>
      <c r="M1225" t="e">
        <f t="shared" si="39"/>
        <v>#N/A</v>
      </c>
      <c r="N1225" t="e">
        <f>VLOOKUP(A1225,Database!$A$2:$I$948,5,0)</f>
        <v>#N/A</v>
      </c>
    </row>
    <row r="1226" spans="1:14" hidden="1" x14ac:dyDescent="0.35">
      <c r="A1226" s="3">
        <v>103405922</v>
      </c>
      <c r="B1226" s="3" t="s">
        <v>2824</v>
      </c>
      <c r="C1226" s="3" t="str">
        <f t="shared" si="40"/>
        <v>2022-07-06</v>
      </c>
      <c r="D1226" s="3" t="s">
        <v>9</v>
      </c>
      <c r="E1226" s="3" t="s">
        <v>5</v>
      </c>
      <c r="F1226" s="3" t="s">
        <v>12</v>
      </c>
      <c r="G1226" s="3" t="s">
        <v>2825</v>
      </c>
      <c r="H1226" s="3" t="s">
        <v>2826</v>
      </c>
      <c r="I1226" s="5">
        <v>2599</v>
      </c>
      <c r="J1226" s="3" t="s">
        <v>11</v>
      </c>
      <c r="K1226" t="e">
        <f>MATCH(A1226,Database!$A$2:$A$948,0)</f>
        <v>#N/A</v>
      </c>
      <c r="L1226" t="e">
        <f>VLOOKUP(A1226,Database!$A$2:$I$948,4,0)</f>
        <v>#N/A</v>
      </c>
      <c r="M1226" t="e">
        <f t="shared" si="39"/>
        <v>#N/A</v>
      </c>
      <c r="N1226" t="e">
        <f>VLOOKUP(A1226,Database!$A$2:$I$948,5,0)</f>
        <v>#N/A</v>
      </c>
    </row>
    <row r="1227" spans="1:14" hidden="1" x14ac:dyDescent="0.35">
      <c r="A1227" s="3">
        <v>103406021</v>
      </c>
      <c r="B1227" s="3" t="s">
        <v>2827</v>
      </c>
      <c r="C1227" s="3" t="str">
        <f t="shared" si="40"/>
        <v>2022-07-06</v>
      </c>
      <c r="D1227" s="3" t="s">
        <v>9</v>
      </c>
      <c r="E1227" s="3" t="s">
        <v>5</v>
      </c>
      <c r="F1227" s="3" t="s">
        <v>10</v>
      </c>
      <c r="G1227" s="3" t="s">
        <v>2828</v>
      </c>
      <c r="H1227" s="3" t="s">
        <v>2829</v>
      </c>
      <c r="I1227" s="5">
        <v>1119</v>
      </c>
      <c r="J1227" s="3" t="s">
        <v>11</v>
      </c>
      <c r="K1227" t="e">
        <f>MATCH(A1227,Database!$A$2:$A$948,0)</f>
        <v>#N/A</v>
      </c>
      <c r="L1227" t="e">
        <f>VLOOKUP(A1227,Database!$A$2:$I$948,4,0)</f>
        <v>#N/A</v>
      </c>
      <c r="M1227" t="e">
        <f t="shared" si="39"/>
        <v>#N/A</v>
      </c>
      <c r="N1227" t="e">
        <f>VLOOKUP(A1227,Database!$A$2:$I$948,5,0)</f>
        <v>#N/A</v>
      </c>
    </row>
    <row r="1228" spans="1:14" hidden="1" x14ac:dyDescent="0.35">
      <c r="A1228" s="3">
        <v>103406011</v>
      </c>
      <c r="B1228" s="3" t="s">
        <v>2830</v>
      </c>
      <c r="C1228" s="3" t="str">
        <f t="shared" si="40"/>
        <v>2022-07-06</v>
      </c>
      <c r="D1228" s="3" t="s">
        <v>9</v>
      </c>
      <c r="E1228" s="3" t="s">
        <v>5</v>
      </c>
      <c r="F1228" s="3" t="s">
        <v>10</v>
      </c>
      <c r="G1228" s="3" t="s">
        <v>2831</v>
      </c>
      <c r="H1228" s="3" t="s">
        <v>2832</v>
      </c>
      <c r="I1228" s="3">
        <v>971.1</v>
      </c>
      <c r="J1228" s="3" t="s">
        <v>11</v>
      </c>
      <c r="K1228" t="e">
        <f>MATCH(A1228,Database!$A$2:$A$948,0)</f>
        <v>#N/A</v>
      </c>
      <c r="L1228" t="e">
        <f>VLOOKUP(A1228,Database!$A$2:$I$948,4,0)</f>
        <v>#N/A</v>
      </c>
      <c r="M1228" t="e">
        <f t="shared" ref="M1228:M1291" si="41">I1228=L1228</f>
        <v>#N/A</v>
      </c>
      <c r="N1228" t="e">
        <f>VLOOKUP(A1228,Database!$A$2:$I$948,5,0)</f>
        <v>#N/A</v>
      </c>
    </row>
    <row r="1229" spans="1:14" hidden="1" x14ac:dyDescent="0.35">
      <c r="A1229" s="3">
        <v>103405917</v>
      </c>
      <c r="B1229" s="3" t="s">
        <v>2833</v>
      </c>
      <c r="C1229" s="3" t="str">
        <f t="shared" si="40"/>
        <v>2022-07-06</v>
      </c>
      <c r="D1229" s="3" t="s">
        <v>9</v>
      </c>
      <c r="E1229" s="3" t="s">
        <v>5</v>
      </c>
      <c r="F1229" s="3" t="s">
        <v>12</v>
      </c>
      <c r="G1229" s="3" t="s">
        <v>2834</v>
      </c>
      <c r="H1229" s="3" t="s">
        <v>2835</v>
      </c>
      <c r="I1229" s="5">
        <v>6447</v>
      </c>
      <c r="J1229" s="3" t="s">
        <v>11</v>
      </c>
      <c r="K1229" t="e">
        <f>MATCH(A1229,Database!$A$2:$A$948,0)</f>
        <v>#N/A</v>
      </c>
      <c r="L1229" t="e">
        <f>VLOOKUP(A1229,Database!$A$2:$I$948,4,0)</f>
        <v>#N/A</v>
      </c>
      <c r="M1229" t="e">
        <f t="shared" si="41"/>
        <v>#N/A</v>
      </c>
      <c r="N1229" t="e">
        <f>VLOOKUP(A1229,Database!$A$2:$I$948,5,0)</f>
        <v>#N/A</v>
      </c>
    </row>
    <row r="1230" spans="1:14" hidden="1" x14ac:dyDescent="0.35">
      <c r="A1230" s="3">
        <v>103406008</v>
      </c>
      <c r="B1230" s="3" t="s">
        <v>2836</v>
      </c>
      <c r="C1230" s="3" t="str">
        <f t="shared" si="40"/>
        <v>2022-07-06</v>
      </c>
      <c r="D1230" s="3" t="s">
        <v>9</v>
      </c>
      <c r="E1230" s="3" t="s">
        <v>5</v>
      </c>
      <c r="F1230" s="3" t="s">
        <v>10</v>
      </c>
      <c r="G1230" s="3" t="s">
        <v>2837</v>
      </c>
      <c r="H1230" s="3" t="s">
        <v>2838</v>
      </c>
      <c r="I1230" s="5">
        <v>2309</v>
      </c>
      <c r="J1230" s="3" t="s">
        <v>11</v>
      </c>
      <c r="K1230" t="e">
        <f>MATCH(A1230,Database!$A$2:$A$948,0)</f>
        <v>#N/A</v>
      </c>
      <c r="L1230" t="e">
        <f>VLOOKUP(A1230,Database!$A$2:$I$948,4,0)</f>
        <v>#N/A</v>
      </c>
      <c r="M1230" t="e">
        <f t="shared" si="41"/>
        <v>#N/A</v>
      </c>
      <c r="N1230" t="e">
        <f>VLOOKUP(A1230,Database!$A$2:$I$948,5,0)</f>
        <v>#N/A</v>
      </c>
    </row>
    <row r="1231" spans="1:14" hidden="1" x14ac:dyDescent="0.35">
      <c r="A1231" s="3">
        <v>103405915</v>
      </c>
      <c r="B1231" s="3" t="s">
        <v>2839</v>
      </c>
      <c r="C1231" s="3" t="str">
        <f t="shared" si="40"/>
        <v>2022-07-06</v>
      </c>
      <c r="D1231" s="3" t="s">
        <v>9</v>
      </c>
      <c r="E1231" s="3" t="s">
        <v>5</v>
      </c>
      <c r="F1231" s="3" t="s">
        <v>12</v>
      </c>
      <c r="G1231" s="3" t="s">
        <v>2840</v>
      </c>
      <c r="H1231" s="3" t="s">
        <v>2841</v>
      </c>
      <c r="I1231" s="5">
        <v>3849</v>
      </c>
      <c r="J1231" s="3" t="s">
        <v>11</v>
      </c>
      <c r="K1231" t="e">
        <f>MATCH(A1231,Database!$A$2:$A$948,0)</f>
        <v>#N/A</v>
      </c>
      <c r="L1231" t="e">
        <f>VLOOKUP(A1231,Database!$A$2:$I$948,4,0)</f>
        <v>#N/A</v>
      </c>
      <c r="M1231" t="e">
        <f t="shared" si="41"/>
        <v>#N/A</v>
      </c>
      <c r="N1231" t="e">
        <f>VLOOKUP(A1231,Database!$A$2:$I$948,5,0)</f>
        <v>#N/A</v>
      </c>
    </row>
    <row r="1232" spans="1:14" hidden="1" x14ac:dyDescent="0.35">
      <c r="A1232" s="3">
        <v>103406007</v>
      </c>
      <c r="B1232" s="3" t="s">
        <v>2842</v>
      </c>
      <c r="C1232" s="3" t="str">
        <f t="shared" si="40"/>
        <v>2022-07-06</v>
      </c>
      <c r="D1232" s="3" t="s">
        <v>9</v>
      </c>
      <c r="E1232" s="3" t="s">
        <v>5</v>
      </c>
      <c r="F1232" s="3" t="s">
        <v>10</v>
      </c>
      <c r="G1232" s="3" t="s">
        <v>2843</v>
      </c>
      <c r="H1232" s="3" t="s">
        <v>2844</v>
      </c>
      <c r="I1232" s="3">
        <v>579</v>
      </c>
      <c r="J1232" s="3" t="s">
        <v>11</v>
      </c>
      <c r="K1232" t="e">
        <f>MATCH(A1232,Database!$A$2:$A$948,0)</f>
        <v>#N/A</v>
      </c>
      <c r="L1232" t="e">
        <f>VLOOKUP(A1232,Database!$A$2:$I$948,4,0)</f>
        <v>#N/A</v>
      </c>
      <c r="M1232" t="e">
        <f t="shared" si="41"/>
        <v>#N/A</v>
      </c>
      <c r="N1232" t="e">
        <f>VLOOKUP(A1232,Database!$A$2:$I$948,5,0)</f>
        <v>#N/A</v>
      </c>
    </row>
    <row r="1233" spans="1:14" hidden="1" x14ac:dyDescent="0.35">
      <c r="A1233" s="3">
        <v>103405912</v>
      </c>
      <c r="B1233" s="3" t="s">
        <v>2845</v>
      </c>
      <c r="C1233" s="3" t="str">
        <f t="shared" si="40"/>
        <v>2022-07-06</v>
      </c>
      <c r="D1233" s="3" t="s">
        <v>9</v>
      </c>
      <c r="E1233" s="3" t="s">
        <v>5</v>
      </c>
      <c r="F1233" s="3" t="s">
        <v>10</v>
      </c>
      <c r="G1233" s="3" t="s">
        <v>2846</v>
      </c>
      <c r="H1233" s="3" t="s">
        <v>2847</v>
      </c>
      <c r="I1233" s="4">
        <v>6142.7</v>
      </c>
      <c r="J1233" s="3" t="s">
        <v>11</v>
      </c>
      <c r="K1233" t="e">
        <f>MATCH(A1233,Database!$A$2:$A$948,0)</f>
        <v>#N/A</v>
      </c>
      <c r="L1233" t="e">
        <f>VLOOKUP(A1233,Database!$A$2:$I$948,4,0)</f>
        <v>#N/A</v>
      </c>
      <c r="M1233" t="e">
        <f t="shared" si="41"/>
        <v>#N/A</v>
      </c>
      <c r="N1233" t="e">
        <f>VLOOKUP(A1233,Database!$A$2:$I$948,5,0)</f>
        <v>#N/A</v>
      </c>
    </row>
    <row r="1234" spans="1:14" hidden="1" x14ac:dyDescent="0.35">
      <c r="A1234" s="3">
        <v>103406005</v>
      </c>
      <c r="B1234" s="3" t="s">
        <v>2848</v>
      </c>
      <c r="C1234" s="3" t="str">
        <f t="shared" si="40"/>
        <v>2022-07-06</v>
      </c>
      <c r="D1234" s="3" t="s">
        <v>9</v>
      </c>
      <c r="E1234" s="3" t="s">
        <v>5</v>
      </c>
      <c r="F1234" s="3" t="s">
        <v>10</v>
      </c>
      <c r="G1234" s="3" t="s">
        <v>2849</v>
      </c>
      <c r="H1234" s="3" t="s">
        <v>2850</v>
      </c>
      <c r="I1234" s="5">
        <v>1489</v>
      </c>
      <c r="J1234" s="3" t="s">
        <v>11</v>
      </c>
      <c r="K1234" t="e">
        <f>MATCH(A1234,Database!$A$2:$A$948,0)</f>
        <v>#N/A</v>
      </c>
      <c r="L1234" t="e">
        <f>VLOOKUP(A1234,Database!$A$2:$I$948,4,0)</f>
        <v>#N/A</v>
      </c>
      <c r="M1234" t="e">
        <f t="shared" si="41"/>
        <v>#N/A</v>
      </c>
      <c r="N1234" t="e">
        <f>VLOOKUP(A1234,Database!$A$2:$I$948,5,0)</f>
        <v>#N/A</v>
      </c>
    </row>
    <row r="1235" spans="1:14" hidden="1" x14ac:dyDescent="0.35">
      <c r="A1235" s="3">
        <v>103406002</v>
      </c>
      <c r="B1235" s="3" t="s">
        <v>2851</v>
      </c>
      <c r="C1235" s="3" t="str">
        <f t="shared" si="40"/>
        <v>2022-07-06</v>
      </c>
      <c r="D1235" s="3" t="s">
        <v>9</v>
      </c>
      <c r="E1235" s="3" t="s">
        <v>5</v>
      </c>
      <c r="F1235" s="3" t="s">
        <v>10</v>
      </c>
      <c r="G1235" s="3" t="s">
        <v>2852</v>
      </c>
      <c r="H1235" s="3" t="s">
        <v>2853</v>
      </c>
      <c r="I1235" s="4">
        <v>8940.16</v>
      </c>
      <c r="J1235" s="3" t="s">
        <v>11</v>
      </c>
      <c r="K1235" t="e">
        <f>MATCH(A1235,Database!$A$2:$A$948,0)</f>
        <v>#N/A</v>
      </c>
      <c r="L1235" t="e">
        <f>VLOOKUP(A1235,Database!$A$2:$I$948,4,0)</f>
        <v>#N/A</v>
      </c>
      <c r="M1235" t="e">
        <f t="shared" si="41"/>
        <v>#N/A</v>
      </c>
      <c r="N1235" t="e">
        <f>VLOOKUP(A1235,Database!$A$2:$I$948,5,0)</f>
        <v>#N/A</v>
      </c>
    </row>
    <row r="1236" spans="1:14" hidden="1" x14ac:dyDescent="0.35">
      <c r="A1236" s="3">
        <v>103406001</v>
      </c>
      <c r="B1236" s="3" t="s">
        <v>2854</v>
      </c>
      <c r="C1236" s="3" t="str">
        <f t="shared" si="40"/>
        <v>2022-07-06</v>
      </c>
      <c r="D1236" s="3" t="s">
        <v>9</v>
      </c>
      <c r="E1236" s="3" t="s">
        <v>5</v>
      </c>
      <c r="F1236" s="3" t="s">
        <v>10</v>
      </c>
      <c r="G1236" s="3" t="s">
        <v>2855</v>
      </c>
      <c r="H1236" s="3" t="s">
        <v>2856</v>
      </c>
      <c r="I1236" s="4">
        <v>3507.3</v>
      </c>
      <c r="J1236" s="3" t="s">
        <v>11</v>
      </c>
      <c r="K1236" t="e">
        <f>MATCH(A1236,Database!$A$2:$A$948,0)</f>
        <v>#N/A</v>
      </c>
      <c r="L1236" t="e">
        <f>VLOOKUP(A1236,Database!$A$2:$I$948,4,0)</f>
        <v>#N/A</v>
      </c>
      <c r="M1236" t="e">
        <f t="shared" si="41"/>
        <v>#N/A</v>
      </c>
      <c r="N1236" t="e">
        <f>VLOOKUP(A1236,Database!$A$2:$I$948,5,0)</f>
        <v>#N/A</v>
      </c>
    </row>
    <row r="1237" spans="1:14" hidden="1" x14ac:dyDescent="0.35">
      <c r="A1237" s="3">
        <v>103405908</v>
      </c>
      <c r="B1237" s="3" t="s">
        <v>2857</v>
      </c>
      <c r="C1237" s="3" t="str">
        <f t="shared" si="40"/>
        <v>2022-07-06</v>
      </c>
      <c r="D1237" s="3" t="s">
        <v>9</v>
      </c>
      <c r="E1237" s="3" t="s">
        <v>5</v>
      </c>
      <c r="F1237" s="3" t="s">
        <v>10</v>
      </c>
      <c r="G1237" s="3" t="s">
        <v>2858</v>
      </c>
      <c r="H1237" s="3" t="s">
        <v>2859</v>
      </c>
      <c r="I1237" s="5">
        <v>3899</v>
      </c>
      <c r="J1237" s="3" t="s">
        <v>11</v>
      </c>
      <c r="K1237" t="e">
        <f>MATCH(A1237,Database!$A$2:$A$948,0)</f>
        <v>#N/A</v>
      </c>
      <c r="L1237" t="e">
        <f>VLOOKUP(A1237,Database!$A$2:$I$948,4,0)</f>
        <v>#N/A</v>
      </c>
      <c r="M1237" t="e">
        <f t="shared" si="41"/>
        <v>#N/A</v>
      </c>
      <c r="N1237" t="e">
        <f>VLOOKUP(A1237,Database!$A$2:$I$948,5,0)</f>
        <v>#N/A</v>
      </c>
    </row>
    <row r="1238" spans="1:14" hidden="1" x14ac:dyDescent="0.35">
      <c r="A1238" s="3">
        <v>103405995</v>
      </c>
      <c r="B1238" s="3" t="s">
        <v>2860</v>
      </c>
      <c r="C1238" s="3" t="str">
        <f t="shared" si="40"/>
        <v>2022-07-06</v>
      </c>
      <c r="D1238" s="3" t="s">
        <v>9</v>
      </c>
      <c r="E1238" s="3" t="s">
        <v>5</v>
      </c>
      <c r="F1238" s="3" t="s">
        <v>10</v>
      </c>
      <c r="G1238" s="3" t="s">
        <v>2861</v>
      </c>
      <c r="H1238" s="3" t="s">
        <v>2862</v>
      </c>
      <c r="I1238" s="4">
        <v>1139.05</v>
      </c>
      <c r="J1238" s="3" t="s">
        <v>11</v>
      </c>
      <c r="K1238" t="e">
        <f>MATCH(A1238,Database!$A$2:$A$948,0)</f>
        <v>#N/A</v>
      </c>
      <c r="L1238" t="e">
        <f>VLOOKUP(A1238,Database!$A$2:$I$948,4,0)</f>
        <v>#N/A</v>
      </c>
      <c r="M1238" t="e">
        <f t="shared" si="41"/>
        <v>#N/A</v>
      </c>
      <c r="N1238" t="e">
        <f>VLOOKUP(A1238,Database!$A$2:$I$948,5,0)</f>
        <v>#N/A</v>
      </c>
    </row>
    <row r="1239" spans="1:14" hidden="1" x14ac:dyDescent="0.35">
      <c r="A1239" s="3">
        <v>103405994</v>
      </c>
      <c r="B1239" s="3" t="s">
        <v>2863</v>
      </c>
      <c r="C1239" s="3" t="str">
        <f t="shared" si="40"/>
        <v>2022-07-06</v>
      </c>
      <c r="D1239" s="3" t="s">
        <v>9</v>
      </c>
      <c r="E1239" s="3" t="s">
        <v>5</v>
      </c>
      <c r="F1239" s="3" t="s">
        <v>10</v>
      </c>
      <c r="G1239" s="3" t="s">
        <v>2864</v>
      </c>
      <c r="H1239" s="3" t="s">
        <v>2865</v>
      </c>
      <c r="I1239" s="3">
        <v>464.55</v>
      </c>
      <c r="J1239" s="3" t="s">
        <v>11</v>
      </c>
      <c r="K1239" t="e">
        <f>MATCH(A1239,Database!$A$2:$A$948,0)</f>
        <v>#N/A</v>
      </c>
      <c r="L1239" t="e">
        <f>VLOOKUP(A1239,Database!$A$2:$I$948,4,0)</f>
        <v>#N/A</v>
      </c>
      <c r="M1239" t="e">
        <f t="shared" si="41"/>
        <v>#N/A</v>
      </c>
      <c r="N1239" t="e">
        <f>VLOOKUP(A1239,Database!$A$2:$I$948,5,0)</f>
        <v>#N/A</v>
      </c>
    </row>
    <row r="1240" spans="1:14" hidden="1" x14ac:dyDescent="0.35">
      <c r="A1240" s="3">
        <v>103405993</v>
      </c>
      <c r="B1240" s="3" t="s">
        <v>2866</v>
      </c>
      <c r="C1240" s="3" t="str">
        <f t="shared" si="40"/>
        <v>2022-07-06</v>
      </c>
      <c r="D1240" s="3" t="s">
        <v>9</v>
      </c>
      <c r="E1240" s="3" t="s">
        <v>5</v>
      </c>
      <c r="F1240" s="3" t="s">
        <v>12</v>
      </c>
      <c r="G1240" s="3" t="s">
        <v>2867</v>
      </c>
      <c r="H1240" s="3" t="s">
        <v>2578</v>
      </c>
      <c r="I1240" s="3">
        <v>999</v>
      </c>
      <c r="J1240" s="3" t="s">
        <v>11</v>
      </c>
      <c r="K1240" t="e">
        <f>MATCH(A1240,Database!$A$2:$A$948,0)</f>
        <v>#N/A</v>
      </c>
      <c r="L1240" t="e">
        <f>VLOOKUP(A1240,Database!$A$2:$I$948,4,0)</f>
        <v>#N/A</v>
      </c>
      <c r="M1240" t="e">
        <f t="shared" si="41"/>
        <v>#N/A</v>
      </c>
      <c r="N1240" t="e">
        <f>VLOOKUP(A1240,Database!$A$2:$I$948,5,0)</f>
        <v>#N/A</v>
      </c>
    </row>
    <row r="1241" spans="1:14" hidden="1" x14ac:dyDescent="0.35">
      <c r="A1241" s="3">
        <v>103405907</v>
      </c>
      <c r="B1241" s="3" t="s">
        <v>2868</v>
      </c>
      <c r="C1241" s="3" t="str">
        <f t="shared" si="40"/>
        <v>2022-07-06</v>
      </c>
      <c r="D1241" s="3" t="s">
        <v>9</v>
      </c>
      <c r="E1241" s="3" t="s">
        <v>5</v>
      </c>
      <c r="F1241" s="3" t="s">
        <v>10</v>
      </c>
      <c r="G1241" s="3" t="s">
        <v>2869</v>
      </c>
      <c r="H1241" s="3" t="s">
        <v>2870</v>
      </c>
      <c r="I1241" s="4">
        <v>3134.05</v>
      </c>
      <c r="J1241" s="3" t="s">
        <v>11</v>
      </c>
      <c r="K1241" t="e">
        <f>MATCH(A1241,Database!$A$2:$A$948,0)</f>
        <v>#N/A</v>
      </c>
      <c r="L1241" t="e">
        <f>VLOOKUP(A1241,Database!$A$2:$I$948,4,0)</f>
        <v>#N/A</v>
      </c>
      <c r="M1241" t="e">
        <f t="shared" si="41"/>
        <v>#N/A</v>
      </c>
      <c r="N1241" t="e">
        <f>VLOOKUP(A1241,Database!$A$2:$I$948,5,0)</f>
        <v>#N/A</v>
      </c>
    </row>
    <row r="1242" spans="1:14" hidden="1" x14ac:dyDescent="0.35">
      <c r="A1242" s="3">
        <v>103405984</v>
      </c>
      <c r="B1242" s="3" t="s">
        <v>2871</v>
      </c>
      <c r="C1242" s="3" t="str">
        <f t="shared" si="40"/>
        <v>2022-07-06</v>
      </c>
      <c r="D1242" s="3" t="s">
        <v>9</v>
      </c>
      <c r="E1242" s="3" t="s">
        <v>5</v>
      </c>
      <c r="F1242" s="3" t="s">
        <v>10</v>
      </c>
      <c r="G1242" s="3" t="s">
        <v>2872</v>
      </c>
      <c r="H1242" s="3" t="s">
        <v>2873</v>
      </c>
      <c r="I1242" s="5">
        <v>5098</v>
      </c>
      <c r="J1242" s="3" t="s">
        <v>11</v>
      </c>
      <c r="K1242" t="e">
        <f>MATCH(A1242,Database!$A$2:$A$948,0)</f>
        <v>#N/A</v>
      </c>
      <c r="L1242" t="e">
        <f>VLOOKUP(A1242,Database!$A$2:$I$948,4,0)</f>
        <v>#N/A</v>
      </c>
      <c r="M1242" t="e">
        <f t="shared" si="41"/>
        <v>#N/A</v>
      </c>
      <c r="N1242" t="e">
        <f>VLOOKUP(A1242,Database!$A$2:$I$948,5,0)</f>
        <v>#N/A</v>
      </c>
    </row>
    <row r="1243" spans="1:14" hidden="1" x14ac:dyDescent="0.35">
      <c r="A1243" s="3">
        <v>103405900</v>
      </c>
      <c r="B1243" s="3" t="s">
        <v>2874</v>
      </c>
      <c r="C1243" s="3" t="str">
        <f t="shared" si="40"/>
        <v>2022-07-06</v>
      </c>
      <c r="D1243" s="3" t="s">
        <v>9</v>
      </c>
      <c r="E1243" s="3" t="s">
        <v>5</v>
      </c>
      <c r="F1243" s="3" t="s">
        <v>10</v>
      </c>
      <c r="G1243" s="3" t="s">
        <v>2809</v>
      </c>
      <c r="H1243" s="3" t="s">
        <v>2810</v>
      </c>
      <c r="I1243" s="4">
        <v>1025.05</v>
      </c>
      <c r="J1243" s="3" t="s">
        <v>11</v>
      </c>
      <c r="K1243" t="e">
        <f>MATCH(A1243,Database!$A$2:$A$948,0)</f>
        <v>#N/A</v>
      </c>
      <c r="L1243" t="e">
        <f>VLOOKUP(A1243,Database!$A$2:$I$948,4,0)</f>
        <v>#N/A</v>
      </c>
      <c r="M1243" t="e">
        <f t="shared" si="41"/>
        <v>#N/A</v>
      </c>
      <c r="N1243" t="e">
        <f>VLOOKUP(A1243,Database!$A$2:$I$948,5,0)</f>
        <v>#N/A</v>
      </c>
    </row>
    <row r="1244" spans="1:14" hidden="1" x14ac:dyDescent="0.35">
      <c r="A1244" s="3">
        <v>103405983</v>
      </c>
      <c r="B1244" s="3" t="s">
        <v>2875</v>
      </c>
      <c r="C1244" s="3" t="str">
        <f t="shared" si="40"/>
        <v>2022-07-06</v>
      </c>
      <c r="D1244" s="3" t="s">
        <v>9</v>
      </c>
      <c r="E1244" s="3" t="s">
        <v>5</v>
      </c>
      <c r="F1244" s="3" t="s">
        <v>10</v>
      </c>
      <c r="G1244" s="3" t="s">
        <v>2876</v>
      </c>
      <c r="H1244" s="3" t="s">
        <v>2877</v>
      </c>
      <c r="I1244" s="4">
        <v>1300.55</v>
      </c>
      <c r="J1244" s="3" t="s">
        <v>11</v>
      </c>
      <c r="K1244" t="e">
        <f>MATCH(A1244,Database!$A$2:$A$948,0)</f>
        <v>#N/A</v>
      </c>
      <c r="L1244" t="e">
        <f>VLOOKUP(A1244,Database!$A$2:$I$948,4,0)</f>
        <v>#N/A</v>
      </c>
      <c r="M1244" t="e">
        <f t="shared" si="41"/>
        <v>#N/A</v>
      </c>
      <c r="N1244" t="e">
        <f>VLOOKUP(A1244,Database!$A$2:$I$948,5,0)</f>
        <v>#N/A</v>
      </c>
    </row>
    <row r="1245" spans="1:14" hidden="1" x14ac:dyDescent="0.35">
      <c r="A1245" s="3">
        <v>103405979</v>
      </c>
      <c r="B1245" s="3" t="s">
        <v>2878</v>
      </c>
      <c r="C1245" s="3" t="str">
        <f t="shared" si="40"/>
        <v>2022-07-06</v>
      </c>
      <c r="D1245" s="3" t="s">
        <v>9</v>
      </c>
      <c r="E1245" s="3" t="s">
        <v>5</v>
      </c>
      <c r="F1245" s="3" t="s">
        <v>10</v>
      </c>
      <c r="G1245" s="3" t="s">
        <v>2879</v>
      </c>
      <c r="H1245" s="3" t="s">
        <v>2880</v>
      </c>
      <c r="I1245" s="4">
        <v>2054.9899999999998</v>
      </c>
      <c r="J1245" s="3" t="s">
        <v>11</v>
      </c>
      <c r="K1245" t="e">
        <f>MATCH(A1245,Database!$A$2:$A$948,0)</f>
        <v>#N/A</v>
      </c>
      <c r="L1245" t="e">
        <f>VLOOKUP(A1245,Database!$A$2:$I$948,4,0)</f>
        <v>#N/A</v>
      </c>
      <c r="M1245" t="e">
        <f t="shared" si="41"/>
        <v>#N/A</v>
      </c>
      <c r="N1245" t="e">
        <f>VLOOKUP(A1245,Database!$A$2:$I$948,5,0)</f>
        <v>#N/A</v>
      </c>
    </row>
    <row r="1246" spans="1:14" hidden="1" x14ac:dyDescent="0.35">
      <c r="A1246" s="3">
        <v>103405978</v>
      </c>
      <c r="B1246" s="3" t="s">
        <v>2881</v>
      </c>
      <c r="C1246" s="3" t="str">
        <f t="shared" si="40"/>
        <v>2022-07-06</v>
      </c>
      <c r="D1246" s="3" t="s">
        <v>9</v>
      </c>
      <c r="E1246" s="3" t="s">
        <v>5</v>
      </c>
      <c r="F1246" s="3" t="s">
        <v>10</v>
      </c>
      <c r="G1246" s="3" t="s">
        <v>2882</v>
      </c>
      <c r="H1246" s="3" t="s">
        <v>2883</v>
      </c>
      <c r="I1246" s="5">
        <v>2749</v>
      </c>
      <c r="J1246" s="3" t="s">
        <v>11</v>
      </c>
      <c r="K1246" t="e">
        <f>MATCH(A1246,Database!$A$2:$A$948,0)</f>
        <v>#N/A</v>
      </c>
      <c r="L1246" t="e">
        <f>VLOOKUP(A1246,Database!$A$2:$I$948,4,0)</f>
        <v>#N/A</v>
      </c>
      <c r="M1246" t="e">
        <f t="shared" si="41"/>
        <v>#N/A</v>
      </c>
      <c r="N1246" t="e">
        <f>VLOOKUP(A1246,Database!$A$2:$I$948,5,0)</f>
        <v>#N/A</v>
      </c>
    </row>
    <row r="1247" spans="1:14" hidden="1" x14ac:dyDescent="0.35">
      <c r="A1247" s="3">
        <v>103405976</v>
      </c>
      <c r="B1247" s="3" t="s">
        <v>2884</v>
      </c>
      <c r="C1247" s="3" t="str">
        <f t="shared" si="40"/>
        <v>2022-07-06</v>
      </c>
      <c r="D1247" s="3" t="s">
        <v>9</v>
      </c>
      <c r="E1247" s="3" t="s">
        <v>5</v>
      </c>
      <c r="F1247" s="3" t="s">
        <v>12</v>
      </c>
      <c r="G1247" s="3" t="s">
        <v>2885</v>
      </c>
      <c r="H1247" s="3" t="s">
        <v>2886</v>
      </c>
      <c r="I1247" s="4">
        <v>2519.1</v>
      </c>
      <c r="J1247" s="3" t="s">
        <v>11</v>
      </c>
      <c r="K1247" t="e">
        <f>MATCH(A1247,Database!$A$2:$A$948,0)</f>
        <v>#N/A</v>
      </c>
      <c r="L1247" t="e">
        <f>VLOOKUP(A1247,Database!$A$2:$I$948,4,0)</f>
        <v>#N/A</v>
      </c>
      <c r="M1247" t="e">
        <f t="shared" si="41"/>
        <v>#N/A</v>
      </c>
      <c r="N1247" t="e">
        <f>VLOOKUP(A1247,Database!$A$2:$I$948,5,0)</f>
        <v>#N/A</v>
      </c>
    </row>
    <row r="1248" spans="1:14" hidden="1" x14ac:dyDescent="0.35">
      <c r="A1248" s="3">
        <v>103405975</v>
      </c>
      <c r="B1248" s="3" t="s">
        <v>2887</v>
      </c>
      <c r="C1248" s="3" t="str">
        <f t="shared" si="40"/>
        <v>2022-07-06</v>
      </c>
      <c r="D1248" s="3" t="s">
        <v>9</v>
      </c>
      <c r="E1248" s="3" t="s">
        <v>5</v>
      </c>
      <c r="F1248" s="3" t="s">
        <v>10</v>
      </c>
      <c r="G1248" s="3" t="s">
        <v>2888</v>
      </c>
      <c r="H1248" s="3" t="s">
        <v>2889</v>
      </c>
      <c r="I1248" s="4">
        <v>1424.05</v>
      </c>
      <c r="J1248" s="3" t="s">
        <v>11</v>
      </c>
      <c r="K1248" t="e">
        <f>MATCH(A1248,Database!$A$2:$A$948,0)</f>
        <v>#N/A</v>
      </c>
      <c r="L1248" t="e">
        <f>VLOOKUP(A1248,Database!$A$2:$I$948,4,0)</f>
        <v>#N/A</v>
      </c>
      <c r="M1248" t="e">
        <f t="shared" si="41"/>
        <v>#N/A</v>
      </c>
      <c r="N1248" t="e">
        <f>VLOOKUP(A1248,Database!$A$2:$I$948,5,0)</f>
        <v>#N/A</v>
      </c>
    </row>
    <row r="1249" spans="1:14" hidden="1" x14ac:dyDescent="0.35">
      <c r="A1249" s="3">
        <v>103405969</v>
      </c>
      <c r="B1249" s="3" t="s">
        <v>2890</v>
      </c>
      <c r="C1249" s="3" t="str">
        <f t="shared" si="40"/>
        <v>2022-07-06</v>
      </c>
      <c r="D1249" s="3" t="s">
        <v>9</v>
      </c>
      <c r="E1249" s="3" t="s">
        <v>5</v>
      </c>
      <c r="F1249" s="3" t="s">
        <v>10</v>
      </c>
      <c r="G1249" s="3" t="s">
        <v>2891</v>
      </c>
      <c r="H1249" s="3" t="s">
        <v>2892</v>
      </c>
      <c r="I1249" s="3">
        <v>808</v>
      </c>
      <c r="J1249" s="3" t="s">
        <v>11</v>
      </c>
      <c r="K1249" t="e">
        <f>MATCH(A1249,Database!$A$2:$A$948,0)</f>
        <v>#N/A</v>
      </c>
      <c r="L1249" t="e">
        <f>VLOOKUP(A1249,Database!$A$2:$I$948,4,0)</f>
        <v>#N/A</v>
      </c>
      <c r="M1249" t="e">
        <f t="shared" si="41"/>
        <v>#N/A</v>
      </c>
      <c r="N1249" t="e">
        <f>VLOOKUP(A1249,Database!$A$2:$I$948,5,0)</f>
        <v>#N/A</v>
      </c>
    </row>
    <row r="1250" spans="1:14" hidden="1" x14ac:dyDescent="0.35">
      <c r="A1250" s="3">
        <v>103405890</v>
      </c>
      <c r="B1250" s="3" t="s">
        <v>2893</v>
      </c>
      <c r="C1250" s="3" t="str">
        <f t="shared" si="40"/>
        <v>2022-07-06</v>
      </c>
      <c r="D1250" s="3" t="s">
        <v>9</v>
      </c>
      <c r="E1250" s="3" t="s">
        <v>5</v>
      </c>
      <c r="F1250" s="3" t="s">
        <v>10</v>
      </c>
      <c r="G1250" s="3" t="s">
        <v>2894</v>
      </c>
      <c r="H1250" s="3" t="s">
        <v>2895</v>
      </c>
      <c r="I1250" s="5">
        <v>4098</v>
      </c>
      <c r="J1250" s="3" t="s">
        <v>11</v>
      </c>
      <c r="K1250" t="e">
        <f>MATCH(A1250,Database!$A$2:$A$948,0)</f>
        <v>#N/A</v>
      </c>
      <c r="L1250" t="e">
        <f>VLOOKUP(A1250,Database!$A$2:$I$948,4,0)</f>
        <v>#N/A</v>
      </c>
      <c r="M1250" t="e">
        <f t="shared" si="41"/>
        <v>#N/A</v>
      </c>
      <c r="N1250" t="e">
        <f>VLOOKUP(A1250,Database!$A$2:$I$948,5,0)</f>
        <v>#N/A</v>
      </c>
    </row>
    <row r="1251" spans="1:14" hidden="1" x14ac:dyDescent="0.35">
      <c r="A1251" s="3">
        <v>103405887</v>
      </c>
      <c r="B1251" s="3" t="s">
        <v>2896</v>
      </c>
      <c r="C1251" s="3" t="str">
        <f t="shared" si="40"/>
        <v>2022-07-06</v>
      </c>
      <c r="D1251" s="3" t="s">
        <v>9</v>
      </c>
      <c r="E1251" s="3" t="s">
        <v>5</v>
      </c>
      <c r="F1251" s="3" t="s">
        <v>10</v>
      </c>
      <c r="G1251" s="3" t="s">
        <v>2897</v>
      </c>
      <c r="H1251" s="3" t="s">
        <v>2898</v>
      </c>
      <c r="I1251" s="4">
        <v>3134.05</v>
      </c>
      <c r="J1251" s="3" t="s">
        <v>11</v>
      </c>
      <c r="K1251" t="e">
        <f>MATCH(A1251,Database!$A$2:$A$948,0)</f>
        <v>#N/A</v>
      </c>
      <c r="L1251" t="e">
        <f>VLOOKUP(A1251,Database!$A$2:$I$948,4,0)</f>
        <v>#N/A</v>
      </c>
      <c r="M1251" t="e">
        <f t="shared" si="41"/>
        <v>#N/A</v>
      </c>
      <c r="N1251" t="e">
        <f>VLOOKUP(A1251,Database!$A$2:$I$948,5,0)</f>
        <v>#N/A</v>
      </c>
    </row>
    <row r="1252" spans="1:14" hidden="1" x14ac:dyDescent="0.35">
      <c r="A1252" s="3">
        <v>103405882</v>
      </c>
      <c r="B1252" s="3" t="s">
        <v>2899</v>
      </c>
      <c r="C1252" s="3" t="str">
        <f t="shared" si="40"/>
        <v>2022-07-06</v>
      </c>
      <c r="D1252" s="3" t="s">
        <v>9</v>
      </c>
      <c r="E1252" s="3" t="s">
        <v>5</v>
      </c>
      <c r="F1252" s="3" t="s">
        <v>10</v>
      </c>
      <c r="G1252" s="3" t="s">
        <v>2900</v>
      </c>
      <c r="H1252" s="3" t="s">
        <v>2901</v>
      </c>
      <c r="I1252" s="5">
        <v>1719</v>
      </c>
      <c r="J1252" s="3" t="s">
        <v>11</v>
      </c>
      <c r="K1252" t="e">
        <f>MATCH(A1252,Database!$A$2:$A$948,0)</f>
        <v>#N/A</v>
      </c>
      <c r="L1252" t="e">
        <f>VLOOKUP(A1252,Database!$A$2:$I$948,4,0)</f>
        <v>#N/A</v>
      </c>
      <c r="M1252" t="e">
        <f t="shared" si="41"/>
        <v>#N/A</v>
      </c>
      <c r="N1252" t="e">
        <f>VLOOKUP(A1252,Database!$A$2:$I$948,5,0)</f>
        <v>#N/A</v>
      </c>
    </row>
    <row r="1253" spans="1:14" hidden="1" x14ac:dyDescent="0.35">
      <c r="A1253" s="3">
        <v>103405879</v>
      </c>
      <c r="B1253" s="3" t="s">
        <v>2902</v>
      </c>
      <c r="C1253" s="3" t="str">
        <f t="shared" si="40"/>
        <v>2022-07-06</v>
      </c>
      <c r="D1253" s="3" t="s">
        <v>9</v>
      </c>
      <c r="E1253" s="3" t="s">
        <v>5</v>
      </c>
      <c r="F1253" s="3" t="s">
        <v>10</v>
      </c>
      <c r="G1253" s="3" t="s">
        <v>2903</v>
      </c>
      <c r="H1253" s="3" t="s">
        <v>2904</v>
      </c>
      <c r="I1253" s="4">
        <v>5745.6</v>
      </c>
      <c r="J1253" s="3" t="s">
        <v>11</v>
      </c>
      <c r="K1253" t="e">
        <f>MATCH(A1253,Database!$A$2:$A$948,0)</f>
        <v>#N/A</v>
      </c>
      <c r="L1253" t="e">
        <f>VLOOKUP(A1253,Database!$A$2:$I$948,4,0)</f>
        <v>#N/A</v>
      </c>
      <c r="M1253" t="e">
        <f t="shared" si="41"/>
        <v>#N/A</v>
      </c>
      <c r="N1253" t="e">
        <f>VLOOKUP(A1253,Database!$A$2:$I$948,5,0)</f>
        <v>#N/A</v>
      </c>
    </row>
    <row r="1254" spans="1:14" hidden="1" x14ac:dyDescent="0.35">
      <c r="A1254" s="3">
        <v>103405878</v>
      </c>
      <c r="B1254" s="3" t="s">
        <v>2905</v>
      </c>
      <c r="C1254" s="3" t="str">
        <f t="shared" si="40"/>
        <v>2022-07-06</v>
      </c>
      <c r="D1254" s="3" t="s">
        <v>9</v>
      </c>
      <c r="E1254" s="3" t="s">
        <v>5</v>
      </c>
      <c r="F1254" s="3" t="s">
        <v>10</v>
      </c>
      <c r="G1254" s="3" t="s">
        <v>2906</v>
      </c>
      <c r="H1254" s="3" t="s">
        <v>2907</v>
      </c>
      <c r="I1254" s="3">
        <v>949.05</v>
      </c>
      <c r="J1254" s="3" t="s">
        <v>11</v>
      </c>
      <c r="K1254" t="e">
        <f>MATCH(A1254,Database!$A$2:$A$948,0)</f>
        <v>#N/A</v>
      </c>
      <c r="L1254" t="e">
        <f>VLOOKUP(A1254,Database!$A$2:$I$948,4,0)</f>
        <v>#N/A</v>
      </c>
      <c r="M1254" t="e">
        <f t="shared" si="41"/>
        <v>#N/A</v>
      </c>
      <c r="N1254" t="e">
        <f>VLOOKUP(A1254,Database!$A$2:$I$948,5,0)</f>
        <v>#N/A</v>
      </c>
    </row>
    <row r="1255" spans="1:14" hidden="1" x14ac:dyDescent="0.35">
      <c r="A1255" s="3">
        <v>103405877</v>
      </c>
      <c r="B1255" s="3" t="s">
        <v>2908</v>
      </c>
      <c r="C1255" s="3" t="str">
        <f t="shared" si="40"/>
        <v>2022-07-06</v>
      </c>
      <c r="D1255" s="3" t="s">
        <v>9</v>
      </c>
      <c r="E1255" s="3" t="s">
        <v>5</v>
      </c>
      <c r="F1255" s="3" t="s">
        <v>10</v>
      </c>
      <c r="G1255" s="3" t="s">
        <v>2909</v>
      </c>
      <c r="H1255" s="3" t="s">
        <v>2910</v>
      </c>
      <c r="I1255" s="5">
        <v>3849</v>
      </c>
      <c r="J1255" s="3" t="s">
        <v>11</v>
      </c>
      <c r="K1255" t="e">
        <f>MATCH(A1255,Database!$A$2:$A$948,0)</f>
        <v>#N/A</v>
      </c>
      <c r="L1255" t="e">
        <f>VLOOKUP(A1255,Database!$A$2:$I$948,4,0)</f>
        <v>#N/A</v>
      </c>
      <c r="M1255" t="e">
        <f t="shared" si="41"/>
        <v>#N/A</v>
      </c>
      <c r="N1255" t="e">
        <f>VLOOKUP(A1255,Database!$A$2:$I$948,5,0)</f>
        <v>#N/A</v>
      </c>
    </row>
    <row r="1256" spans="1:14" hidden="1" x14ac:dyDescent="0.35">
      <c r="A1256" s="3">
        <v>103405853</v>
      </c>
      <c r="B1256" s="3" t="s">
        <v>2911</v>
      </c>
      <c r="C1256" s="3" t="str">
        <f t="shared" si="40"/>
        <v>2022-07-06</v>
      </c>
      <c r="D1256" s="3" t="s">
        <v>9</v>
      </c>
      <c r="E1256" s="3" t="s">
        <v>5</v>
      </c>
      <c r="F1256" s="3" t="s">
        <v>10</v>
      </c>
      <c r="G1256" s="3" t="s">
        <v>2912</v>
      </c>
      <c r="H1256" s="3" t="s">
        <v>2913</v>
      </c>
      <c r="I1256" s="4">
        <v>2991.64</v>
      </c>
      <c r="J1256" s="3" t="s">
        <v>11</v>
      </c>
      <c r="K1256" t="e">
        <f>MATCH(A1256,Database!$A$2:$A$948,0)</f>
        <v>#N/A</v>
      </c>
      <c r="L1256" t="e">
        <f>VLOOKUP(A1256,Database!$A$2:$I$948,4,0)</f>
        <v>#N/A</v>
      </c>
      <c r="M1256" t="e">
        <f t="shared" si="41"/>
        <v>#N/A</v>
      </c>
      <c r="N1256" t="e">
        <f>VLOOKUP(A1256,Database!$A$2:$I$948,5,0)</f>
        <v>#N/A</v>
      </c>
    </row>
    <row r="1257" spans="1:14" hidden="1" x14ac:dyDescent="0.35">
      <c r="A1257" s="3">
        <v>103405873</v>
      </c>
      <c r="B1257" s="3" t="s">
        <v>2914</v>
      </c>
      <c r="C1257" s="3" t="str">
        <f t="shared" si="40"/>
        <v>2022-07-06</v>
      </c>
      <c r="D1257" s="3" t="s">
        <v>9</v>
      </c>
      <c r="E1257" s="3" t="s">
        <v>5</v>
      </c>
      <c r="F1257" s="3" t="s">
        <v>10</v>
      </c>
      <c r="G1257" s="3" t="s">
        <v>2915</v>
      </c>
      <c r="H1257" s="3" t="s">
        <v>2916</v>
      </c>
      <c r="I1257" s="5">
        <v>2309</v>
      </c>
      <c r="J1257" s="3" t="s">
        <v>11</v>
      </c>
      <c r="K1257" t="e">
        <f>MATCH(A1257,Database!$A$2:$A$948,0)</f>
        <v>#N/A</v>
      </c>
      <c r="L1257" t="e">
        <f>VLOOKUP(A1257,Database!$A$2:$I$948,4,0)</f>
        <v>#N/A</v>
      </c>
      <c r="M1257" t="e">
        <f t="shared" si="41"/>
        <v>#N/A</v>
      </c>
      <c r="N1257" t="e">
        <f>VLOOKUP(A1257,Database!$A$2:$I$948,5,0)</f>
        <v>#N/A</v>
      </c>
    </row>
    <row r="1258" spans="1:14" hidden="1" x14ac:dyDescent="0.35">
      <c r="A1258" s="3">
        <v>103405849</v>
      </c>
      <c r="B1258" s="3" t="s">
        <v>2917</v>
      </c>
      <c r="C1258" s="3" t="str">
        <f t="shared" si="40"/>
        <v>2022-07-06</v>
      </c>
      <c r="D1258" s="3" t="s">
        <v>9</v>
      </c>
      <c r="E1258" s="3" t="s">
        <v>5</v>
      </c>
      <c r="F1258" s="3" t="s">
        <v>10</v>
      </c>
      <c r="G1258" s="3" t="s">
        <v>2918</v>
      </c>
      <c r="H1258" s="3" t="s">
        <v>2919</v>
      </c>
      <c r="I1258" s="4">
        <v>1367.14</v>
      </c>
      <c r="J1258" s="3" t="s">
        <v>11</v>
      </c>
      <c r="K1258" t="e">
        <f>MATCH(A1258,Database!$A$2:$A$948,0)</f>
        <v>#N/A</v>
      </c>
      <c r="L1258" t="e">
        <f>VLOOKUP(A1258,Database!$A$2:$I$948,4,0)</f>
        <v>#N/A</v>
      </c>
      <c r="M1258" t="e">
        <f t="shared" si="41"/>
        <v>#N/A</v>
      </c>
      <c r="N1258" t="e">
        <f>VLOOKUP(A1258,Database!$A$2:$I$948,5,0)</f>
        <v>#N/A</v>
      </c>
    </row>
    <row r="1259" spans="1:14" hidden="1" x14ac:dyDescent="0.35">
      <c r="A1259" s="3">
        <v>103405870</v>
      </c>
      <c r="B1259" s="3" t="s">
        <v>2917</v>
      </c>
      <c r="C1259" s="3" t="str">
        <f t="shared" si="40"/>
        <v>2022-07-06</v>
      </c>
      <c r="D1259" s="3" t="s">
        <v>9</v>
      </c>
      <c r="E1259" s="3" t="s">
        <v>5</v>
      </c>
      <c r="F1259" s="3" t="s">
        <v>10</v>
      </c>
      <c r="G1259" s="3" t="s">
        <v>2920</v>
      </c>
      <c r="H1259" s="3" t="s">
        <v>2921</v>
      </c>
      <c r="I1259" s="3">
        <v>929</v>
      </c>
      <c r="J1259" s="3" t="s">
        <v>11</v>
      </c>
      <c r="K1259" t="e">
        <f>MATCH(A1259,Database!$A$2:$A$948,0)</f>
        <v>#N/A</v>
      </c>
      <c r="L1259" t="e">
        <f>VLOOKUP(A1259,Database!$A$2:$I$948,4,0)</f>
        <v>#N/A</v>
      </c>
      <c r="M1259" t="e">
        <f t="shared" si="41"/>
        <v>#N/A</v>
      </c>
      <c r="N1259" t="e">
        <f>VLOOKUP(A1259,Database!$A$2:$I$948,5,0)</f>
        <v>#N/A</v>
      </c>
    </row>
    <row r="1260" spans="1:14" hidden="1" x14ac:dyDescent="0.35">
      <c r="A1260" s="3">
        <v>103405848</v>
      </c>
      <c r="B1260" s="3" t="s">
        <v>2922</v>
      </c>
      <c r="C1260" s="3" t="str">
        <f t="shared" si="40"/>
        <v>2022-07-06</v>
      </c>
      <c r="D1260" s="3" t="s">
        <v>9</v>
      </c>
      <c r="E1260" s="3" t="s">
        <v>5</v>
      </c>
      <c r="F1260" s="3" t="s">
        <v>10</v>
      </c>
      <c r="G1260" s="3" t="s">
        <v>2923</v>
      </c>
      <c r="H1260" s="3" t="s">
        <v>2924</v>
      </c>
      <c r="I1260" s="3">
        <v>759.24</v>
      </c>
      <c r="J1260" s="3" t="s">
        <v>11</v>
      </c>
      <c r="K1260" t="e">
        <f>MATCH(A1260,Database!$A$2:$A$948,0)</f>
        <v>#N/A</v>
      </c>
      <c r="L1260" t="e">
        <f>VLOOKUP(A1260,Database!$A$2:$I$948,4,0)</f>
        <v>#N/A</v>
      </c>
      <c r="M1260" t="e">
        <f t="shared" si="41"/>
        <v>#N/A</v>
      </c>
      <c r="N1260" t="e">
        <f>VLOOKUP(A1260,Database!$A$2:$I$948,5,0)</f>
        <v>#N/A</v>
      </c>
    </row>
    <row r="1261" spans="1:14" hidden="1" x14ac:dyDescent="0.35">
      <c r="A1261" s="3">
        <v>103405847</v>
      </c>
      <c r="B1261" s="3" t="s">
        <v>2925</v>
      </c>
      <c r="C1261" s="3" t="str">
        <f t="shared" si="40"/>
        <v>2022-07-06</v>
      </c>
      <c r="D1261" s="3" t="s">
        <v>9</v>
      </c>
      <c r="E1261" s="3" t="s">
        <v>5</v>
      </c>
      <c r="F1261" s="3" t="s">
        <v>10</v>
      </c>
      <c r="G1261" s="3" t="s">
        <v>2926</v>
      </c>
      <c r="H1261" s="3" t="s">
        <v>2927</v>
      </c>
      <c r="I1261" s="3">
        <v>568</v>
      </c>
      <c r="J1261" s="3" t="s">
        <v>11</v>
      </c>
      <c r="K1261" t="e">
        <f>MATCH(A1261,Database!$A$2:$A$948,0)</f>
        <v>#N/A</v>
      </c>
      <c r="L1261" t="e">
        <f>VLOOKUP(A1261,Database!$A$2:$I$948,4,0)</f>
        <v>#N/A</v>
      </c>
      <c r="M1261" t="e">
        <f t="shared" si="41"/>
        <v>#N/A</v>
      </c>
      <c r="N1261" t="e">
        <f>VLOOKUP(A1261,Database!$A$2:$I$948,5,0)</f>
        <v>#N/A</v>
      </c>
    </row>
    <row r="1262" spans="1:14" hidden="1" x14ac:dyDescent="0.35">
      <c r="A1262" s="3">
        <v>103405868</v>
      </c>
      <c r="B1262" s="3" t="s">
        <v>2928</v>
      </c>
      <c r="C1262" s="3" t="str">
        <f t="shared" si="40"/>
        <v>2022-07-06</v>
      </c>
      <c r="D1262" s="3" t="s">
        <v>9</v>
      </c>
      <c r="E1262" s="3" t="s">
        <v>5</v>
      </c>
      <c r="F1262" s="3" t="s">
        <v>10</v>
      </c>
      <c r="G1262" s="3" t="s">
        <v>2900</v>
      </c>
      <c r="H1262" s="3" t="s">
        <v>2901</v>
      </c>
      <c r="I1262" s="5">
        <v>1999</v>
      </c>
      <c r="J1262" s="3" t="s">
        <v>11</v>
      </c>
      <c r="K1262" t="e">
        <f>MATCH(A1262,Database!$A$2:$A$948,0)</f>
        <v>#N/A</v>
      </c>
      <c r="L1262" t="e">
        <f>VLOOKUP(A1262,Database!$A$2:$I$948,4,0)</f>
        <v>#N/A</v>
      </c>
      <c r="M1262" t="e">
        <f t="shared" si="41"/>
        <v>#N/A</v>
      </c>
      <c r="N1262" t="e">
        <f>VLOOKUP(A1262,Database!$A$2:$I$948,5,0)</f>
        <v>#N/A</v>
      </c>
    </row>
    <row r="1263" spans="1:14" hidden="1" x14ac:dyDescent="0.35">
      <c r="A1263" s="3">
        <v>103405844</v>
      </c>
      <c r="B1263" s="3" t="s">
        <v>2929</v>
      </c>
      <c r="C1263" s="3" t="str">
        <f t="shared" si="40"/>
        <v>2022-07-06</v>
      </c>
      <c r="D1263" s="3" t="s">
        <v>9</v>
      </c>
      <c r="E1263" s="3" t="s">
        <v>5</v>
      </c>
      <c r="F1263" s="3" t="s">
        <v>10</v>
      </c>
      <c r="G1263" s="3" t="s">
        <v>2930</v>
      </c>
      <c r="H1263" s="3" t="s">
        <v>2931</v>
      </c>
      <c r="I1263" s="5">
        <v>2499</v>
      </c>
      <c r="J1263" s="3" t="s">
        <v>11</v>
      </c>
      <c r="K1263" t="e">
        <f>MATCH(A1263,Database!$A$2:$A$948,0)</f>
        <v>#N/A</v>
      </c>
      <c r="L1263" t="e">
        <f>VLOOKUP(A1263,Database!$A$2:$I$948,4,0)</f>
        <v>#N/A</v>
      </c>
      <c r="M1263" t="e">
        <f t="shared" si="41"/>
        <v>#N/A</v>
      </c>
      <c r="N1263" t="e">
        <f>VLOOKUP(A1263,Database!$A$2:$I$948,5,0)</f>
        <v>#N/A</v>
      </c>
    </row>
    <row r="1264" spans="1:14" hidden="1" x14ac:dyDescent="0.35">
      <c r="A1264" s="3">
        <v>103405841</v>
      </c>
      <c r="B1264" s="3" t="s">
        <v>2932</v>
      </c>
      <c r="C1264" s="3" t="str">
        <f t="shared" si="40"/>
        <v>2022-07-06</v>
      </c>
      <c r="D1264" s="3" t="s">
        <v>9</v>
      </c>
      <c r="E1264" s="3" t="s">
        <v>5</v>
      </c>
      <c r="F1264" s="3" t="s">
        <v>10</v>
      </c>
      <c r="G1264" s="3" t="s">
        <v>703</v>
      </c>
      <c r="H1264" s="3" t="s">
        <v>704</v>
      </c>
      <c r="I1264" s="3">
        <v>740.05</v>
      </c>
      <c r="J1264" s="3" t="s">
        <v>11</v>
      </c>
      <c r="K1264" t="e">
        <f>MATCH(A1264,Database!$A$2:$A$948,0)</f>
        <v>#N/A</v>
      </c>
      <c r="L1264" t="e">
        <f>VLOOKUP(A1264,Database!$A$2:$I$948,4,0)</f>
        <v>#N/A</v>
      </c>
      <c r="M1264" t="e">
        <f t="shared" si="41"/>
        <v>#N/A</v>
      </c>
      <c r="N1264" t="e">
        <f>VLOOKUP(A1264,Database!$A$2:$I$948,5,0)</f>
        <v>#N/A</v>
      </c>
    </row>
    <row r="1265" spans="1:14" hidden="1" x14ac:dyDescent="0.35">
      <c r="A1265" s="3">
        <v>103405835</v>
      </c>
      <c r="B1265" s="3" t="s">
        <v>2933</v>
      </c>
      <c r="C1265" s="3" t="str">
        <f t="shared" si="40"/>
        <v>2022-07-06</v>
      </c>
      <c r="D1265" s="3" t="s">
        <v>9</v>
      </c>
      <c r="E1265" s="3" t="s">
        <v>5</v>
      </c>
      <c r="F1265" s="3" t="s">
        <v>12</v>
      </c>
      <c r="G1265" s="3" t="s">
        <v>2934</v>
      </c>
      <c r="H1265" s="3" t="s">
        <v>2935</v>
      </c>
      <c r="I1265" s="3">
        <v>799</v>
      </c>
      <c r="J1265" s="3" t="s">
        <v>11</v>
      </c>
      <c r="K1265" t="e">
        <f>MATCH(A1265,Database!$A$2:$A$948,0)</f>
        <v>#N/A</v>
      </c>
      <c r="L1265" t="e">
        <f>VLOOKUP(A1265,Database!$A$2:$I$948,4,0)</f>
        <v>#N/A</v>
      </c>
      <c r="M1265" t="e">
        <f t="shared" si="41"/>
        <v>#N/A</v>
      </c>
      <c r="N1265" t="e">
        <f>VLOOKUP(A1265,Database!$A$2:$I$948,5,0)</f>
        <v>#N/A</v>
      </c>
    </row>
    <row r="1266" spans="1:14" hidden="1" x14ac:dyDescent="0.35">
      <c r="A1266" s="3">
        <v>103405833</v>
      </c>
      <c r="B1266" s="3" t="s">
        <v>2936</v>
      </c>
      <c r="C1266" s="3" t="str">
        <f t="shared" si="40"/>
        <v>2022-07-06</v>
      </c>
      <c r="D1266" s="3" t="s">
        <v>9</v>
      </c>
      <c r="E1266" s="3" t="s">
        <v>5</v>
      </c>
      <c r="F1266" s="3" t="s">
        <v>10</v>
      </c>
      <c r="G1266" s="3" t="s">
        <v>2937</v>
      </c>
      <c r="H1266" s="3" t="s">
        <v>2938</v>
      </c>
      <c r="I1266" s="5">
        <v>5199</v>
      </c>
      <c r="J1266" s="3" t="s">
        <v>11</v>
      </c>
      <c r="K1266" t="e">
        <f>MATCH(A1266,Database!$A$2:$A$948,0)</f>
        <v>#N/A</v>
      </c>
      <c r="L1266" t="e">
        <f>VLOOKUP(A1266,Database!$A$2:$I$948,4,0)</f>
        <v>#N/A</v>
      </c>
      <c r="M1266" t="e">
        <f t="shared" si="41"/>
        <v>#N/A</v>
      </c>
      <c r="N1266" t="e">
        <f>VLOOKUP(A1266,Database!$A$2:$I$948,5,0)</f>
        <v>#N/A</v>
      </c>
    </row>
    <row r="1267" spans="1:14" hidden="1" x14ac:dyDescent="0.35">
      <c r="A1267" s="3">
        <v>103405756</v>
      </c>
      <c r="B1267" s="3" t="s">
        <v>2939</v>
      </c>
      <c r="C1267" s="3" t="str">
        <f t="shared" si="40"/>
        <v>2022-07-06</v>
      </c>
      <c r="D1267" s="3" t="s">
        <v>9</v>
      </c>
      <c r="E1267" s="3" t="s">
        <v>5</v>
      </c>
      <c r="F1267" s="3" t="s">
        <v>10</v>
      </c>
      <c r="G1267" s="3" t="s">
        <v>2940</v>
      </c>
      <c r="H1267" s="3" t="s">
        <v>2941</v>
      </c>
      <c r="I1267" s="5">
        <v>1249</v>
      </c>
      <c r="J1267" s="3" t="s">
        <v>11</v>
      </c>
      <c r="K1267" t="e">
        <f>MATCH(A1267,Database!$A$2:$A$948,0)</f>
        <v>#N/A</v>
      </c>
      <c r="L1267" t="e">
        <f>VLOOKUP(A1267,Database!$A$2:$I$948,4,0)</f>
        <v>#N/A</v>
      </c>
      <c r="M1267" t="e">
        <f t="shared" si="41"/>
        <v>#N/A</v>
      </c>
      <c r="N1267" t="e">
        <f>VLOOKUP(A1267,Database!$A$2:$I$948,5,0)</f>
        <v>#N/A</v>
      </c>
    </row>
    <row r="1268" spans="1:14" hidden="1" x14ac:dyDescent="0.35">
      <c r="A1268" s="3">
        <v>103405755</v>
      </c>
      <c r="B1268" s="3" t="s">
        <v>2942</v>
      </c>
      <c r="C1268" s="3" t="str">
        <f t="shared" si="40"/>
        <v>2022-07-06</v>
      </c>
      <c r="D1268" s="3" t="s">
        <v>9</v>
      </c>
      <c r="E1268" s="3" t="s">
        <v>5</v>
      </c>
      <c r="F1268" s="3" t="s">
        <v>10</v>
      </c>
      <c r="G1268" s="3" t="s">
        <v>2943</v>
      </c>
      <c r="H1268" s="3" t="s">
        <v>2944</v>
      </c>
      <c r="I1268" s="4">
        <v>1586.59</v>
      </c>
      <c r="J1268" s="3" t="s">
        <v>11</v>
      </c>
      <c r="K1268" t="e">
        <f>MATCH(A1268,Database!$A$2:$A$948,0)</f>
        <v>#N/A</v>
      </c>
      <c r="L1268" t="e">
        <f>VLOOKUP(A1268,Database!$A$2:$I$948,4,0)</f>
        <v>#N/A</v>
      </c>
      <c r="M1268" t="e">
        <f t="shared" si="41"/>
        <v>#N/A</v>
      </c>
      <c r="N1268" t="e">
        <f>VLOOKUP(A1268,Database!$A$2:$I$948,5,0)</f>
        <v>#N/A</v>
      </c>
    </row>
    <row r="1269" spans="1:14" hidden="1" x14ac:dyDescent="0.35">
      <c r="A1269" s="3">
        <v>103405828</v>
      </c>
      <c r="B1269" s="3" t="s">
        <v>2945</v>
      </c>
      <c r="C1269" s="3" t="str">
        <f t="shared" si="40"/>
        <v>2022-07-06</v>
      </c>
      <c r="D1269" s="3" t="s">
        <v>9</v>
      </c>
      <c r="E1269" s="3" t="s">
        <v>5</v>
      </c>
      <c r="F1269" s="3" t="s">
        <v>10</v>
      </c>
      <c r="G1269" s="3" t="s">
        <v>2946</v>
      </c>
      <c r="H1269" s="3" t="s">
        <v>2947</v>
      </c>
      <c r="I1269" s="5">
        <v>2599</v>
      </c>
      <c r="J1269" s="3" t="s">
        <v>11</v>
      </c>
      <c r="K1269" t="e">
        <f>MATCH(A1269,Database!$A$2:$A$948,0)</f>
        <v>#N/A</v>
      </c>
      <c r="L1269" t="e">
        <f>VLOOKUP(A1269,Database!$A$2:$I$948,4,0)</f>
        <v>#N/A</v>
      </c>
      <c r="M1269" t="e">
        <f t="shared" si="41"/>
        <v>#N/A</v>
      </c>
      <c r="N1269" t="e">
        <f>VLOOKUP(A1269,Database!$A$2:$I$948,5,0)</f>
        <v>#N/A</v>
      </c>
    </row>
    <row r="1270" spans="1:14" hidden="1" x14ac:dyDescent="0.35">
      <c r="A1270" s="3">
        <v>103405827</v>
      </c>
      <c r="B1270" s="3" t="s">
        <v>2948</v>
      </c>
      <c r="C1270" s="3" t="str">
        <f t="shared" si="40"/>
        <v>2022-07-06</v>
      </c>
      <c r="D1270" s="3" t="s">
        <v>9</v>
      </c>
      <c r="E1270" s="3" t="s">
        <v>5</v>
      </c>
      <c r="F1270" s="3" t="s">
        <v>10</v>
      </c>
      <c r="G1270" s="3" t="s">
        <v>2949</v>
      </c>
      <c r="H1270" s="3" t="s">
        <v>2950</v>
      </c>
      <c r="I1270" s="3">
        <v>331.55</v>
      </c>
      <c r="J1270" s="3" t="s">
        <v>11</v>
      </c>
      <c r="K1270" t="e">
        <f>MATCH(A1270,Database!$A$2:$A$948,0)</f>
        <v>#N/A</v>
      </c>
      <c r="L1270" t="e">
        <f>VLOOKUP(A1270,Database!$A$2:$I$948,4,0)</f>
        <v>#N/A</v>
      </c>
      <c r="M1270" t="e">
        <f t="shared" si="41"/>
        <v>#N/A</v>
      </c>
      <c r="N1270" t="e">
        <f>VLOOKUP(A1270,Database!$A$2:$I$948,5,0)</f>
        <v>#N/A</v>
      </c>
    </row>
    <row r="1271" spans="1:14" hidden="1" x14ac:dyDescent="0.35">
      <c r="A1271" s="3">
        <v>103405750</v>
      </c>
      <c r="B1271" s="3" t="s">
        <v>2951</v>
      </c>
      <c r="C1271" s="3" t="str">
        <f t="shared" si="40"/>
        <v>2022-07-06</v>
      </c>
      <c r="D1271" s="3" t="s">
        <v>9</v>
      </c>
      <c r="E1271" s="3" t="s">
        <v>5</v>
      </c>
      <c r="F1271" s="3" t="s">
        <v>10</v>
      </c>
      <c r="G1271" s="3" t="s">
        <v>2952</v>
      </c>
      <c r="H1271" s="3" t="s">
        <v>2953</v>
      </c>
      <c r="I1271" s="3">
        <v>949.05</v>
      </c>
      <c r="J1271" s="3" t="s">
        <v>11</v>
      </c>
      <c r="K1271" t="e">
        <f>MATCH(A1271,Database!$A$2:$A$948,0)</f>
        <v>#N/A</v>
      </c>
      <c r="L1271" t="e">
        <f>VLOOKUP(A1271,Database!$A$2:$I$948,4,0)</f>
        <v>#N/A</v>
      </c>
      <c r="M1271" t="e">
        <f t="shared" si="41"/>
        <v>#N/A</v>
      </c>
      <c r="N1271" t="e">
        <f>VLOOKUP(A1271,Database!$A$2:$I$948,5,0)</f>
        <v>#N/A</v>
      </c>
    </row>
    <row r="1272" spans="1:14" hidden="1" x14ac:dyDescent="0.35">
      <c r="A1272" s="3">
        <v>103405821</v>
      </c>
      <c r="B1272" s="3" t="s">
        <v>4795</v>
      </c>
      <c r="C1272" s="3" t="str">
        <f t="shared" si="40"/>
        <v>2022-07-06</v>
      </c>
      <c r="D1272" s="3" t="s">
        <v>9</v>
      </c>
      <c r="E1272" s="3" t="s">
        <v>5</v>
      </c>
      <c r="F1272" s="3" t="s">
        <v>10</v>
      </c>
      <c r="G1272" s="3" t="s">
        <v>4796</v>
      </c>
      <c r="H1272" s="3" t="s">
        <v>4797</v>
      </c>
      <c r="I1272" s="4">
        <v>1538.05</v>
      </c>
      <c r="J1272" s="3" t="s">
        <v>13</v>
      </c>
      <c r="K1272">
        <f>MATCH(A1272,Database!$A$2:$A$948,0)</f>
        <v>16</v>
      </c>
      <c r="L1272">
        <f>VLOOKUP(A1272,Database!$A$2:$I$948,4,0)</f>
        <v>1538.05</v>
      </c>
      <c r="M1272" t="b">
        <f t="shared" si="41"/>
        <v>1</v>
      </c>
      <c r="N1272">
        <f>VLOOKUP(A1272,Database!$A$2:$I$948,5,0)</f>
        <v>1</v>
      </c>
    </row>
    <row r="1273" spans="1:14" hidden="1" x14ac:dyDescent="0.35">
      <c r="A1273" s="3">
        <v>103405745</v>
      </c>
      <c r="B1273" s="3" t="s">
        <v>2954</v>
      </c>
      <c r="C1273" s="3" t="str">
        <f t="shared" si="40"/>
        <v>2022-07-06</v>
      </c>
      <c r="D1273" s="3" t="s">
        <v>9</v>
      </c>
      <c r="E1273" s="3" t="s">
        <v>5</v>
      </c>
      <c r="F1273" s="3" t="s">
        <v>12</v>
      </c>
      <c r="G1273" s="3" t="s">
        <v>2955</v>
      </c>
      <c r="H1273" s="3" t="s">
        <v>2956</v>
      </c>
      <c r="I1273" s="5">
        <v>1238</v>
      </c>
      <c r="J1273" s="3" t="s">
        <v>11</v>
      </c>
      <c r="K1273" t="e">
        <f>MATCH(A1273,Database!$A$2:$A$948,0)</f>
        <v>#N/A</v>
      </c>
      <c r="L1273" t="e">
        <f>VLOOKUP(A1273,Database!$A$2:$I$948,4,0)</f>
        <v>#N/A</v>
      </c>
      <c r="M1273" t="e">
        <f t="shared" si="41"/>
        <v>#N/A</v>
      </c>
      <c r="N1273" t="e">
        <f>VLOOKUP(A1273,Database!$A$2:$I$948,5,0)</f>
        <v>#N/A</v>
      </c>
    </row>
    <row r="1274" spans="1:14" hidden="1" x14ac:dyDescent="0.35">
      <c r="A1274" s="3">
        <v>103405744</v>
      </c>
      <c r="B1274" s="3" t="s">
        <v>2957</v>
      </c>
      <c r="C1274" s="3" t="str">
        <f t="shared" si="40"/>
        <v>2022-07-06</v>
      </c>
      <c r="D1274" s="3" t="s">
        <v>9</v>
      </c>
      <c r="E1274" s="3" t="s">
        <v>5</v>
      </c>
      <c r="F1274" s="3" t="s">
        <v>10</v>
      </c>
      <c r="G1274" s="3" t="s">
        <v>2958</v>
      </c>
      <c r="H1274" s="3" t="s">
        <v>2959</v>
      </c>
      <c r="I1274" s="5">
        <v>1349</v>
      </c>
      <c r="J1274" s="3" t="s">
        <v>11</v>
      </c>
      <c r="K1274" t="e">
        <f>MATCH(A1274,Database!$A$2:$A$948,0)</f>
        <v>#N/A</v>
      </c>
      <c r="L1274" t="e">
        <f>VLOOKUP(A1274,Database!$A$2:$I$948,4,0)</f>
        <v>#N/A</v>
      </c>
      <c r="M1274" t="e">
        <f t="shared" si="41"/>
        <v>#N/A</v>
      </c>
      <c r="N1274" t="e">
        <f>VLOOKUP(A1274,Database!$A$2:$I$948,5,0)</f>
        <v>#N/A</v>
      </c>
    </row>
    <row r="1275" spans="1:14" hidden="1" x14ac:dyDescent="0.35">
      <c r="A1275" s="3">
        <v>103405742</v>
      </c>
      <c r="B1275" s="3" t="s">
        <v>2960</v>
      </c>
      <c r="C1275" s="3" t="str">
        <f t="shared" si="40"/>
        <v>2022-07-06</v>
      </c>
      <c r="D1275" s="3" t="s">
        <v>9</v>
      </c>
      <c r="E1275" s="3" t="s">
        <v>5</v>
      </c>
      <c r="F1275" s="3" t="s">
        <v>10</v>
      </c>
      <c r="G1275" s="3" t="s">
        <v>2961</v>
      </c>
      <c r="H1275" s="3" t="s">
        <v>2962</v>
      </c>
      <c r="I1275" s="3">
        <v>728.1</v>
      </c>
      <c r="J1275" s="3" t="s">
        <v>11</v>
      </c>
      <c r="K1275" t="e">
        <f>MATCH(A1275,Database!$A$2:$A$948,0)</f>
        <v>#N/A</v>
      </c>
      <c r="L1275" t="e">
        <f>VLOOKUP(A1275,Database!$A$2:$I$948,4,0)</f>
        <v>#N/A</v>
      </c>
      <c r="M1275" t="e">
        <f t="shared" si="41"/>
        <v>#N/A</v>
      </c>
      <c r="N1275" t="e">
        <f>VLOOKUP(A1275,Database!$A$2:$I$948,5,0)</f>
        <v>#N/A</v>
      </c>
    </row>
    <row r="1276" spans="1:14" hidden="1" x14ac:dyDescent="0.35">
      <c r="A1276" s="3">
        <v>103405813</v>
      </c>
      <c r="B1276" s="3" t="s">
        <v>2963</v>
      </c>
      <c r="C1276" s="3" t="str">
        <f t="shared" si="40"/>
        <v>2022-07-06</v>
      </c>
      <c r="D1276" s="3" t="s">
        <v>9</v>
      </c>
      <c r="E1276" s="3" t="s">
        <v>5</v>
      </c>
      <c r="F1276" s="3" t="s">
        <v>10</v>
      </c>
      <c r="G1276" s="3" t="s">
        <v>2964</v>
      </c>
      <c r="H1276" s="3" t="s">
        <v>2965</v>
      </c>
      <c r="I1276" s="3">
        <v>949.05</v>
      </c>
      <c r="J1276" s="3" t="s">
        <v>11</v>
      </c>
      <c r="K1276" t="e">
        <f>MATCH(A1276,Database!$A$2:$A$948,0)</f>
        <v>#N/A</v>
      </c>
      <c r="L1276" t="e">
        <f>VLOOKUP(A1276,Database!$A$2:$I$948,4,0)</f>
        <v>#N/A</v>
      </c>
      <c r="M1276" t="e">
        <f t="shared" si="41"/>
        <v>#N/A</v>
      </c>
      <c r="N1276" t="e">
        <f>VLOOKUP(A1276,Database!$A$2:$I$948,5,0)</f>
        <v>#N/A</v>
      </c>
    </row>
    <row r="1277" spans="1:14" hidden="1" x14ac:dyDescent="0.35">
      <c r="A1277" s="3">
        <v>103405810</v>
      </c>
      <c r="B1277" s="3" t="s">
        <v>2966</v>
      </c>
      <c r="C1277" s="3" t="str">
        <f t="shared" si="40"/>
        <v>2022-07-06</v>
      </c>
      <c r="D1277" s="3" t="s">
        <v>9</v>
      </c>
      <c r="E1277" s="3" t="s">
        <v>5</v>
      </c>
      <c r="F1277" s="3" t="s">
        <v>10</v>
      </c>
      <c r="G1277" s="3" t="s">
        <v>2967</v>
      </c>
      <c r="H1277" s="3" t="s">
        <v>2968</v>
      </c>
      <c r="I1277" s="5">
        <v>5567</v>
      </c>
      <c r="J1277" s="3" t="s">
        <v>11</v>
      </c>
      <c r="K1277" t="e">
        <f>MATCH(A1277,Database!$A$2:$A$948,0)</f>
        <v>#N/A</v>
      </c>
      <c r="L1277" t="e">
        <f>VLOOKUP(A1277,Database!$A$2:$I$948,4,0)</f>
        <v>#N/A</v>
      </c>
      <c r="M1277" t="e">
        <f t="shared" si="41"/>
        <v>#N/A</v>
      </c>
      <c r="N1277" t="e">
        <f>VLOOKUP(A1277,Database!$A$2:$I$948,5,0)</f>
        <v>#N/A</v>
      </c>
    </row>
    <row r="1278" spans="1:14" hidden="1" x14ac:dyDescent="0.35">
      <c r="A1278" s="3">
        <v>103405809</v>
      </c>
      <c r="B1278" s="3" t="s">
        <v>2969</v>
      </c>
      <c r="C1278" s="3" t="str">
        <f t="shared" si="40"/>
        <v>2022-07-06</v>
      </c>
      <c r="D1278" s="3" t="s">
        <v>9</v>
      </c>
      <c r="E1278" s="3" t="s">
        <v>5</v>
      </c>
      <c r="F1278" s="3" t="s">
        <v>10</v>
      </c>
      <c r="G1278" s="3" t="s">
        <v>2970</v>
      </c>
      <c r="H1278" s="3" t="s">
        <v>2971</v>
      </c>
      <c r="I1278" s="5">
        <v>1189</v>
      </c>
      <c r="J1278" s="3" t="s">
        <v>11</v>
      </c>
      <c r="K1278" t="e">
        <f>MATCH(A1278,Database!$A$2:$A$948,0)</f>
        <v>#N/A</v>
      </c>
      <c r="L1278" t="e">
        <f>VLOOKUP(A1278,Database!$A$2:$I$948,4,0)</f>
        <v>#N/A</v>
      </c>
      <c r="M1278" t="e">
        <f t="shared" si="41"/>
        <v>#N/A</v>
      </c>
      <c r="N1278" t="e">
        <f>VLOOKUP(A1278,Database!$A$2:$I$948,5,0)</f>
        <v>#N/A</v>
      </c>
    </row>
    <row r="1279" spans="1:14" hidden="1" x14ac:dyDescent="0.35">
      <c r="A1279" s="3">
        <v>103405803</v>
      </c>
      <c r="B1279" s="3" t="s">
        <v>2972</v>
      </c>
      <c r="C1279" s="3" t="str">
        <f t="shared" si="40"/>
        <v>2022-07-06</v>
      </c>
      <c r="D1279" s="3" t="s">
        <v>9</v>
      </c>
      <c r="E1279" s="3" t="s">
        <v>5</v>
      </c>
      <c r="F1279" s="3" t="s">
        <v>10</v>
      </c>
      <c r="G1279" s="3" t="s">
        <v>2973</v>
      </c>
      <c r="H1279" s="3" t="s">
        <v>2974</v>
      </c>
      <c r="I1279" s="3">
        <v>441.32</v>
      </c>
      <c r="J1279" s="3" t="s">
        <v>11</v>
      </c>
      <c r="K1279" t="e">
        <f>MATCH(A1279,Database!$A$2:$A$948,0)</f>
        <v>#N/A</v>
      </c>
      <c r="L1279" t="e">
        <f>VLOOKUP(A1279,Database!$A$2:$I$948,4,0)</f>
        <v>#N/A</v>
      </c>
      <c r="M1279" t="e">
        <f t="shared" si="41"/>
        <v>#N/A</v>
      </c>
      <c r="N1279" t="e">
        <f>VLOOKUP(A1279,Database!$A$2:$I$948,5,0)</f>
        <v>#N/A</v>
      </c>
    </row>
    <row r="1280" spans="1:14" hidden="1" x14ac:dyDescent="0.35">
      <c r="A1280" s="3">
        <v>103405739</v>
      </c>
      <c r="B1280" s="3" t="s">
        <v>2975</v>
      </c>
      <c r="C1280" s="3" t="str">
        <f t="shared" si="40"/>
        <v>2022-07-06</v>
      </c>
      <c r="D1280" s="3" t="s">
        <v>9</v>
      </c>
      <c r="E1280" s="3" t="s">
        <v>5</v>
      </c>
      <c r="F1280" s="3" t="s">
        <v>10</v>
      </c>
      <c r="G1280" s="3" t="s">
        <v>2976</v>
      </c>
      <c r="H1280" s="3" t="s">
        <v>2977</v>
      </c>
      <c r="I1280" s="4">
        <v>4008.05</v>
      </c>
      <c r="J1280" s="3" t="s">
        <v>11</v>
      </c>
      <c r="K1280" t="e">
        <f>MATCH(A1280,Database!$A$2:$A$948,0)</f>
        <v>#N/A</v>
      </c>
      <c r="L1280" t="e">
        <f>VLOOKUP(A1280,Database!$A$2:$I$948,4,0)</f>
        <v>#N/A</v>
      </c>
      <c r="M1280" t="e">
        <f t="shared" si="41"/>
        <v>#N/A</v>
      </c>
      <c r="N1280" t="e">
        <f>VLOOKUP(A1280,Database!$A$2:$I$948,5,0)</f>
        <v>#N/A</v>
      </c>
    </row>
    <row r="1281" spans="1:14" hidden="1" x14ac:dyDescent="0.35">
      <c r="A1281" s="3">
        <v>103405798</v>
      </c>
      <c r="B1281" s="3" t="s">
        <v>2978</v>
      </c>
      <c r="C1281" s="3" t="str">
        <f t="shared" si="40"/>
        <v>2022-07-06</v>
      </c>
      <c r="D1281" s="3" t="s">
        <v>9</v>
      </c>
      <c r="E1281" s="3" t="s">
        <v>5</v>
      </c>
      <c r="F1281" s="3" t="s">
        <v>10</v>
      </c>
      <c r="G1281" s="3" t="s">
        <v>2979</v>
      </c>
      <c r="H1281" s="3" t="s">
        <v>2980</v>
      </c>
      <c r="I1281" s="4">
        <v>4434.6000000000004</v>
      </c>
      <c r="J1281" s="3" t="s">
        <v>11</v>
      </c>
      <c r="K1281" t="e">
        <f>MATCH(A1281,Database!$A$2:$A$948,0)</f>
        <v>#N/A</v>
      </c>
      <c r="L1281" t="e">
        <f>VLOOKUP(A1281,Database!$A$2:$I$948,4,0)</f>
        <v>#N/A</v>
      </c>
      <c r="M1281" t="e">
        <f t="shared" si="41"/>
        <v>#N/A</v>
      </c>
      <c r="N1281" t="e">
        <f>VLOOKUP(A1281,Database!$A$2:$I$948,5,0)</f>
        <v>#N/A</v>
      </c>
    </row>
    <row r="1282" spans="1:14" hidden="1" x14ac:dyDescent="0.35">
      <c r="A1282" s="3">
        <v>103405791</v>
      </c>
      <c r="B1282" s="3" t="s">
        <v>2981</v>
      </c>
      <c r="C1282" s="3" t="str">
        <f t="shared" si="40"/>
        <v>2022-07-06</v>
      </c>
      <c r="D1282" s="3" t="s">
        <v>9</v>
      </c>
      <c r="E1282" s="3" t="s">
        <v>5</v>
      </c>
      <c r="F1282" s="3" t="s">
        <v>12</v>
      </c>
      <c r="G1282" s="3" t="s">
        <v>2982</v>
      </c>
      <c r="H1282" s="3" t="s">
        <v>2983</v>
      </c>
      <c r="I1282" s="5">
        <v>3999</v>
      </c>
      <c r="J1282" s="3" t="s">
        <v>11</v>
      </c>
      <c r="K1282" t="e">
        <f>MATCH(A1282,Database!$A$2:$A$948,0)</f>
        <v>#N/A</v>
      </c>
      <c r="L1282" t="e">
        <f>VLOOKUP(A1282,Database!$A$2:$I$948,4,0)</f>
        <v>#N/A</v>
      </c>
      <c r="M1282" t="e">
        <f t="shared" si="41"/>
        <v>#N/A</v>
      </c>
      <c r="N1282" t="e">
        <f>VLOOKUP(A1282,Database!$A$2:$I$948,5,0)</f>
        <v>#N/A</v>
      </c>
    </row>
    <row r="1283" spans="1:14" hidden="1" x14ac:dyDescent="0.35">
      <c r="A1283" s="3">
        <v>103405788</v>
      </c>
      <c r="B1283" s="3" t="s">
        <v>2984</v>
      </c>
      <c r="C1283" s="3" t="str">
        <f t="shared" ref="C1283:C1346" si="42">LEFT(B1283,FIND("T",B1283)-1)</f>
        <v>2022-07-06</v>
      </c>
      <c r="D1283" s="3" t="s">
        <v>9</v>
      </c>
      <c r="E1283" s="3" t="s">
        <v>5</v>
      </c>
      <c r="F1283" s="3" t="s">
        <v>10</v>
      </c>
      <c r="G1283" s="3" t="s">
        <v>2985</v>
      </c>
      <c r="H1283" s="3" t="s">
        <v>2986</v>
      </c>
      <c r="I1283" s="4">
        <v>3846.64</v>
      </c>
      <c r="J1283" s="3" t="s">
        <v>11</v>
      </c>
      <c r="K1283" t="e">
        <f>MATCH(A1283,Database!$A$2:$A$948,0)</f>
        <v>#N/A</v>
      </c>
      <c r="L1283" t="e">
        <f>VLOOKUP(A1283,Database!$A$2:$I$948,4,0)</f>
        <v>#N/A</v>
      </c>
      <c r="M1283" t="e">
        <f t="shared" si="41"/>
        <v>#N/A</v>
      </c>
      <c r="N1283" t="e">
        <f>VLOOKUP(A1283,Database!$A$2:$I$948,5,0)</f>
        <v>#N/A</v>
      </c>
    </row>
    <row r="1284" spans="1:14" hidden="1" x14ac:dyDescent="0.35">
      <c r="A1284" s="3">
        <v>103405787</v>
      </c>
      <c r="B1284" s="3" t="s">
        <v>2987</v>
      </c>
      <c r="C1284" s="3" t="str">
        <f t="shared" si="42"/>
        <v>2022-07-06</v>
      </c>
      <c r="D1284" s="3" t="s">
        <v>9</v>
      </c>
      <c r="E1284" s="3" t="s">
        <v>5</v>
      </c>
      <c r="F1284" s="3" t="s">
        <v>12</v>
      </c>
      <c r="G1284" s="3" t="s">
        <v>2988</v>
      </c>
      <c r="H1284" s="3" t="s">
        <v>2989</v>
      </c>
      <c r="I1284" s="3">
        <v>759.05</v>
      </c>
      <c r="J1284" s="3" t="s">
        <v>11</v>
      </c>
      <c r="K1284" t="e">
        <f>MATCH(A1284,Database!$A$2:$A$948,0)</f>
        <v>#N/A</v>
      </c>
      <c r="L1284" t="e">
        <f>VLOOKUP(A1284,Database!$A$2:$I$948,4,0)</f>
        <v>#N/A</v>
      </c>
      <c r="M1284" t="e">
        <f t="shared" si="41"/>
        <v>#N/A</v>
      </c>
      <c r="N1284" t="e">
        <f>VLOOKUP(A1284,Database!$A$2:$I$948,5,0)</f>
        <v>#N/A</v>
      </c>
    </row>
    <row r="1285" spans="1:14" hidden="1" x14ac:dyDescent="0.35">
      <c r="A1285" s="3">
        <v>103405786</v>
      </c>
      <c r="B1285" s="3" t="s">
        <v>2990</v>
      </c>
      <c r="C1285" s="3" t="str">
        <f t="shared" si="42"/>
        <v>2022-07-06</v>
      </c>
      <c r="D1285" s="3" t="s">
        <v>9</v>
      </c>
      <c r="E1285" s="3" t="s">
        <v>5</v>
      </c>
      <c r="F1285" s="3" t="s">
        <v>10</v>
      </c>
      <c r="G1285" s="3" t="s">
        <v>2991</v>
      </c>
      <c r="H1285" s="3" t="s">
        <v>2992</v>
      </c>
      <c r="I1285" s="5">
        <v>1539</v>
      </c>
      <c r="J1285" s="3" t="s">
        <v>11</v>
      </c>
      <c r="K1285" t="e">
        <f>MATCH(A1285,Database!$A$2:$A$948,0)</f>
        <v>#N/A</v>
      </c>
      <c r="L1285" t="e">
        <f>VLOOKUP(A1285,Database!$A$2:$I$948,4,0)</f>
        <v>#N/A</v>
      </c>
      <c r="M1285" t="e">
        <f t="shared" si="41"/>
        <v>#N/A</v>
      </c>
      <c r="N1285" t="e">
        <f>VLOOKUP(A1285,Database!$A$2:$I$948,5,0)</f>
        <v>#N/A</v>
      </c>
    </row>
    <row r="1286" spans="1:14" hidden="1" x14ac:dyDescent="0.35">
      <c r="A1286" s="3">
        <v>103405785</v>
      </c>
      <c r="B1286" s="3" t="s">
        <v>2993</v>
      </c>
      <c r="C1286" s="3" t="str">
        <f t="shared" si="42"/>
        <v>2022-07-06</v>
      </c>
      <c r="D1286" s="3" t="s">
        <v>9</v>
      </c>
      <c r="E1286" s="3" t="s">
        <v>5</v>
      </c>
      <c r="F1286" s="3" t="s">
        <v>10</v>
      </c>
      <c r="G1286" s="3" t="s">
        <v>2994</v>
      </c>
      <c r="H1286" s="3" t="s">
        <v>2995</v>
      </c>
      <c r="I1286" s="4">
        <v>4321.55</v>
      </c>
      <c r="J1286" s="3" t="s">
        <v>11</v>
      </c>
      <c r="K1286" t="e">
        <f>MATCH(A1286,Database!$A$2:$A$948,0)</f>
        <v>#N/A</v>
      </c>
      <c r="L1286" t="e">
        <f>VLOOKUP(A1286,Database!$A$2:$I$948,4,0)</f>
        <v>#N/A</v>
      </c>
      <c r="M1286" t="e">
        <f t="shared" si="41"/>
        <v>#N/A</v>
      </c>
      <c r="N1286" t="e">
        <f>VLOOKUP(A1286,Database!$A$2:$I$948,5,0)</f>
        <v>#N/A</v>
      </c>
    </row>
    <row r="1287" spans="1:14" hidden="1" x14ac:dyDescent="0.35">
      <c r="A1287" s="3">
        <v>103405784</v>
      </c>
      <c r="B1287" s="3" t="s">
        <v>2996</v>
      </c>
      <c r="C1287" s="3" t="str">
        <f t="shared" si="42"/>
        <v>2022-07-06</v>
      </c>
      <c r="D1287" s="3" t="s">
        <v>9</v>
      </c>
      <c r="E1287" s="3" t="s">
        <v>5</v>
      </c>
      <c r="F1287" s="3" t="s">
        <v>10</v>
      </c>
      <c r="G1287" s="3" t="s">
        <v>2997</v>
      </c>
      <c r="H1287" s="3" t="s">
        <v>2998</v>
      </c>
      <c r="I1287" s="4">
        <v>2868.05</v>
      </c>
      <c r="J1287" s="3" t="s">
        <v>11</v>
      </c>
      <c r="K1287" t="e">
        <f>MATCH(A1287,Database!$A$2:$A$948,0)</f>
        <v>#N/A</v>
      </c>
      <c r="L1287" t="e">
        <f>VLOOKUP(A1287,Database!$A$2:$I$948,4,0)</f>
        <v>#N/A</v>
      </c>
      <c r="M1287" t="e">
        <f t="shared" si="41"/>
        <v>#N/A</v>
      </c>
      <c r="N1287" t="e">
        <f>VLOOKUP(A1287,Database!$A$2:$I$948,5,0)</f>
        <v>#N/A</v>
      </c>
    </row>
    <row r="1288" spans="1:14" hidden="1" x14ac:dyDescent="0.35">
      <c r="A1288" s="3">
        <v>103405728</v>
      </c>
      <c r="B1288" s="3" t="s">
        <v>2999</v>
      </c>
      <c r="C1288" s="3" t="str">
        <f t="shared" si="42"/>
        <v>2022-07-06</v>
      </c>
      <c r="D1288" s="3" t="s">
        <v>9</v>
      </c>
      <c r="E1288" s="3" t="s">
        <v>5</v>
      </c>
      <c r="F1288" s="3" t="s">
        <v>12</v>
      </c>
      <c r="G1288" s="3" t="s">
        <v>3000</v>
      </c>
      <c r="H1288" s="3" t="s">
        <v>3001</v>
      </c>
      <c r="I1288" s="5">
        <v>1198</v>
      </c>
      <c r="J1288" s="3" t="s">
        <v>11</v>
      </c>
      <c r="K1288" t="e">
        <f>MATCH(A1288,Database!$A$2:$A$948,0)</f>
        <v>#N/A</v>
      </c>
      <c r="L1288" t="e">
        <f>VLOOKUP(A1288,Database!$A$2:$I$948,4,0)</f>
        <v>#N/A</v>
      </c>
      <c r="M1288" t="e">
        <f t="shared" si="41"/>
        <v>#N/A</v>
      </c>
      <c r="N1288" t="e">
        <f>VLOOKUP(A1288,Database!$A$2:$I$948,5,0)</f>
        <v>#N/A</v>
      </c>
    </row>
    <row r="1289" spans="1:14" hidden="1" x14ac:dyDescent="0.35">
      <c r="A1289" s="3">
        <v>103405775</v>
      </c>
      <c r="B1289" s="3" t="s">
        <v>3002</v>
      </c>
      <c r="C1289" s="3" t="str">
        <f t="shared" si="42"/>
        <v>2022-07-06</v>
      </c>
      <c r="D1289" s="3" t="s">
        <v>9</v>
      </c>
      <c r="E1289" s="3" t="s">
        <v>5</v>
      </c>
      <c r="F1289" s="3" t="s">
        <v>10</v>
      </c>
      <c r="G1289" s="3" t="s">
        <v>3003</v>
      </c>
      <c r="H1289" s="3" t="s">
        <v>3004</v>
      </c>
      <c r="I1289" s="5">
        <v>1799</v>
      </c>
      <c r="J1289" s="3" t="s">
        <v>11</v>
      </c>
      <c r="K1289" t="e">
        <f>MATCH(A1289,Database!$A$2:$A$948,0)</f>
        <v>#N/A</v>
      </c>
      <c r="L1289" t="e">
        <f>VLOOKUP(A1289,Database!$A$2:$I$948,4,0)</f>
        <v>#N/A</v>
      </c>
      <c r="M1289" t="e">
        <f t="shared" si="41"/>
        <v>#N/A</v>
      </c>
      <c r="N1289" t="e">
        <f>VLOOKUP(A1289,Database!$A$2:$I$948,5,0)</f>
        <v>#N/A</v>
      </c>
    </row>
    <row r="1290" spans="1:14" hidden="1" x14ac:dyDescent="0.35">
      <c r="A1290" s="3">
        <v>103405770</v>
      </c>
      <c r="B1290" s="3" t="s">
        <v>3005</v>
      </c>
      <c r="C1290" s="3" t="str">
        <f t="shared" si="42"/>
        <v>2022-07-06</v>
      </c>
      <c r="D1290" s="3" t="s">
        <v>9</v>
      </c>
      <c r="E1290" s="3" t="s">
        <v>5</v>
      </c>
      <c r="F1290" s="3" t="s">
        <v>10</v>
      </c>
      <c r="G1290" s="3" t="s">
        <v>3006</v>
      </c>
      <c r="H1290" s="3" t="s">
        <v>3007</v>
      </c>
      <c r="I1290" s="3">
        <v>838.42</v>
      </c>
      <c r="J1290" s="3" t="s">
        <v>11</v>
      </c>
      <c r="K1290" t="e">
        <f>MATCH(A1290,Database!$A$2:$A$948,0)</f>
        <v>#N/A</v>
      </c>
      <c r="L1290" t="e">
        <f>VLOOKUP(A1290,Database!$A$2:$I$948,4,0)</f>
        <v>#N/A</v>
      </c>
      <c r="M1290" t="e">
        <f t="shared" si="41"/>
        <v>#N/A</v>
      </c>
      <c r="N1290" t="e">
        <f>VLOOKUP(A1290,Database!$A$2:$I$948,5,0)</f>
        <v>#N/A</v>
      </c>
    </row>
    <row r="1291" spans="1:14" hidden="1" x14ac:dyDescent="0.35">
      <c r="A1291" s="3">
        <v>103405771</v>
      </c>
      <c r="B1291" s="3" t="s">
        <v>3005</v>
      </c>
      <c r="C1291" s="3" t="str">
        <f t="shared" si="42"/>
        <v>2022-07-06</v>
      </c>
      <c r="D1291" s="3" t="s">
        <v>9</v>
      </c>
      <c r="E1291" s="3" t="s">
        <v>5</v>
      </c>
      <c r="F1291" s="3" t="s">
        <v>10</v>
      </c>
      <c r="G1291" s="3" t="s">
        <v>3008</v>
      </c>
      <c r="H1291" s="3" t="s">
        <v>3009</v>
      </c>
      <c r="I1291" s="3">
        <v>756.29</v>
      </c>
      <c r="J1291" s="3" t="s">
        <v>11</v>
      </c>
      <c r="K1291" t="e">
        <f>MATCH(A1291,Database!$A$2:$A$948,0)</f>
        <v>#N/A</v>
      </c>
      <c r="L1291" t="e">
        <f>VLOOKUP(A1291,Database!$A$2:$I$948,4,0)</f>
        <v>#N/A</v>
      </c>
      <c r="M1291" t="e">
        <f t="shared" si="41"/>
        <v>#N/A</v>
      </c>
      <c r="N1291" t="e">
        <f>VLOOKUP(A1291,Database!$A$2:$I$948,5,0)</f>
        <v>#N/A</v>
      </c>
    </row>
    <row r="1292" spans="1:14" hidden="1" x14ac:dyDescent="0.35">
      <c r="A1292" s="3">
        <v>103405769</v>
      </c>
      <c r="B1292" s="3" t="s">
        <v>3010</v>
      </c>
      <c r="C1292" s="3" t="str">
        <f t="shared" si="42"/>
        <v>2022-07-06</v>
      </c>
      <c r="D1292" s="3" t="s">
        <v>9</v>
      </c>
      <c r="E1292" s="3" t="s">
        <v>5</v>
      </c>
      <c r="F1292" s="3" t="s">
        <v>10</v>
      </c>
      <c r="G1292" s="3" t="s">
        <v>3011</v>
      </c>
      <c r="H1292" s="3" t="s">
        <v>3012</v>
      </c>
      <c r="I1292" s="4">
        <v>2221.29</v>
      </c>
      <c r="J1292" s="3" t="s">
        <v>11</v>
      </c>
      <c r="K1292" t="e">
        <f>MATCH(A1292,Database!$A$2:$A$948,0)</f>
        <v>#N/A</v>
      </c>
      <c r="L1292" t="e">
        <f>VLOOKUP(A1292,Database!$A$2:$I$948,4,0)</f>
        <v>#N/A</v>
      </c>
      <c r="M1292" t="e">
        <f t="shared" ref="M1292:M1355" si="43">I1292=L1292</f>
        <v>#N/A</v>
      </c>
      <c r="N1292" t="e">
        <f>VLOOKUP(A1292,Database!$A$2:$I$948,5,0)</f>
        <v>#N/A</v>
      </c>
    </row>
    <row r="1293" spans="1:14" hidden="1" x14ac:dyDescent="0.35">
      <c r="A1293" s="3">
        <v>103405726</v>
      </c>
      <c r="B1293" s="3" t="s">
        <v>3013</v>
      </c>
      <c r="C1293" s="3" t="str">
        <f t="shared" si="42"/>
        <v>2022-07-06</v>
      </c>
      <c r="D1293" s="3" t="s">
        <v>9</v>
      </c>
      <c r="E1293" s="3" t="s">
        <v>5</v>
      </c>
      <c r="F1293" s="3" t="s">
        <v>10</v>
      </c>
      <c r="G1293" s="3" t="s">
        <v>3014</v>
      </c>
      <c r="H1293" s="3" t="s">
        <v>3015</v>
      </c>
      <c r="I1293" s="3">
        <v>969</v>
      </c>
      <c r="J1293" s="3" t="s">
        <v>11</v>
      </c>
      <c r="K1293" t="e">
        <f>MATCH(A1293,Database!$A$2:$A$948,0)</f>
        <v>#N/A</v>
      </c>
      <c r="L1293" t="e">
        <f>VLOOKUP(A1293,Database!$A$2:$I$948,4,0)</f>
        <v>#N/A</v>
      </c>
      <c r="M1293" t="e">
        <f t="shared" si="43"/>
        <v>#N/A</v>
      </c>
      <c r="N1293" t="e">
        <f>VLOOKUP(A1293,Database!$A$2:$I$948,5,0)</f>
        <v>#N/A</v>
      </c>
    </row>
    <row r="1294" spans="1:14" hidden="1" x14ac:dyDescent="0.35">
      <c r="A1294" s="3">
        <v>103405725</v>
      </c>
      <c r="B1294" s="3" t="s">
        <v>3016</v>
      </c>
      <c r="C1294" s="3" t="str">
        <f t="shared" si="42"/>
        <v>2022-07-06</v>
      </c>
      <c r="D1294" s="3" t="s">
        <v>9</v>
      </c>
      <c r="E1294" s="3" t="s">
        <v>5</v>
      </c>
      <c r="F1294" s="3" t="s">
        <v>10</v>
      </c>
      <c r="G1294" s="3" t="s">
        <v>3017</v>
      </c>
      <c r="H1294" s="3" t="s">
        <v>3018</v>
      </c>
      <c r="I1294" s="4">
        <v>3989.05</v>
      </c>
      <c r="J1294" s="3" t="s">
        <v>11</v>
      </c>
      <c r="K1294" t="e">
        <f>MATCH(A1294,Database!$A$2:$A$948,0)</f>
        <v>#N/A</v>
      </c>
      <c r="L1294" t="e">
        <f>VLOOKUP(A1294,Database!$A$2:$I$948,4,0)</f>
        <v>#N/A</v>
      </c>
      <c r="M1294" t="e">
        <f t="shared" si="43"/>
        <v>#N/A</v>
      </c>
      <c r="N1294" t="e">
        <f>VLOOKUP(A1294,Database!$A$2:$I$948,5,0)</f>
        <v>#N/A</v>
      </c>
    </row>
    <row r="1295" spans="1:14" hidden="1" x14ac:dyDescent="0.35">
      <c r="A1295" s="3">
        <v>103405664</v>
      </c>
      <c r="B1295" s="3" t="s">
        <v>3019</v>
      </c>
      <c r="C1295" s="3" t="str">
        <f t="shared" si="42"/>
        <v>2022-07-06</v>
      </c>
      <c r="D1295" s="3" t="s">
        <v>9</v>
      </c>
      <c r="E1295" s="3" t="s">
        <v>5</v>
      </c>
      <c r="F1295" s="3" t="s">
        <v>10</v>
      </c>
      <c r="G1295" s="3" t="s">
        <v>3020</v>
      </c>
      <c r="H1295" s="3" t="s">
        <v>3021</v>
      </c>
      <c r="I1295" s="5">
        <v>7999</v>
      </c>
      <c r="J1295" s="3" t="s">
        <v>11</v>
      </c>
      <c r="K1295" t="e">
        <f>MATCH(A1295,Database!$A$2:$A$948,0)</f>
        <v>#N/A</v>
      </c>
      <c r="L1295" t="e">
        <f>VLOOKUP(A1295,Database!$A$2:$I$948,4,0)</f>
        <v>#N/A</v>
      </c>
      <c r="M1295" t="e">
        <f t="shared" si="43"/>
        <v>#N/A</v>
      </c>
      <c r="N1295" t="e">
        <f>VLOOKUP(A1295,Database!$A$2:$I$948,5,0)</f>
        <v>#N/A</v>
      </c>
    </row>
    <row r="1296" spans="1:14" hidden="1" x14ac:dyDescent="0.35">
      <c r="A1296" s="3">
        <v>103405766</v>
      </c>
      <c r="B1296" s="3" t="s">
        <v>3019</v>
      </c>
      <c r="C1296" s="3" t="str">
        <f t="shared" si="42"/>
        <v>2022-07-06</v>
      </c>
      <c r="D1296" s="3" t="s">
        <v>9</v>
      </c>
      <c r="E1296" s="3" t="s">
        <v>5</v>
      </c>
      <c r="F1296" s="3" t="s">
        <v>10</v>
      </c>
      <c r="G1296" s="3" t="s">
        <v>1309</v>
      </c>
      <c r="H1296" s="3" t="s">
        <v>3022</v>
      </c>
      <c r="I1296" s="3">
        <v>464.55</v>
      </c>
      <c r="J1296" s="3" t="s">
        <v>11</v>
      </c>
      <c r="K1296" t="e">
        <f>MATCH(A1296,Database!$A$2:$A$948,0)</f>
        <v>#N/A</v>
      </c>
      <c r="L1296" t="e">
        <f>VLOOKUP(A1296,Database!$A$2:$I$948,4,0)</f>
        <v>#N/A</v>
      </c>
      <c r="M1296" t="e">
        <f t="shared" si="43"/>
        <v>#N/A</v>
      </c>
      <c r="N1296" t="e">
        <f>VLOOKUP(A1296,Database!$A$2:$I$948,5,0)</f>
        <v>#N/A</v>
      </c>
    </row>
    <row r="1297" spans="1:14" hidden="1" x14ac:dyDescent="0.35">
      <c r="A1297" s="3">
        <v>103405662</v>
      </c>
      <c r="B1297" s="3" t="s">
        <v>3023</v>
      </c>
      <c r="C1297" s="3" t="str">
        <f t="shared" si="42"/>
        <v>2022-07-06</v>
      </c>
      <c r="D1297" s="3" t="s">
        <v>9</v>
      </c>
      <c r="E1297" s="3" t="s">
        <v>5</v>
      </c>
      <c r="F1297" s="3" t="s">
        <v>12</v>
      </c>
      <c r="G1297" s="3" t="s">
        <v>3024</v>
      </c>
      <c r="H1297" s="3" t="s">
        <v>3025</v>
      </c>
      <c r="I1297" s="3">
        <v>664.05</v>
      </c>
      <c r="J1297" s="3" t="s">
        <v>11</v>
      </c>
      <c r="K1297" t="e">
        <f>MATCH(A1297,Database!$A$2:$A$948,0)</f>
        <v>#N/A</v>
      </c>
      <c r="L1297" t="e">
        <f>VLOOKUP(A1297,Database!$A$2:$I$948,4,0)</f>
        <v>#N/A</v>
      </c>
      <c r="M1297" t="e">
        <f t="shared" si="43"/>
        <v>#N/A</v>
      </c>
      <c r="N1297" t="e">
        <f>VLOOKUP(A1297,Database!$A$2:$I$948,5,0)</f>
        <v>#N/A</v>
      </c>
    </row>
    <row r="1298" spans="1:14" hidden="1" x14ac:dyDescent="0.35">
      <c r="A1298" s="3">
        <v>103405654</v>
      </c>
      <c r="B1298" s="3" t="s">
        <v>3026</v>
      </c>
      <c r="C1298" s="3" t="str">
        <f t="shared" si="42"/>
        <v>2022-07-06</v>
      </c>
      <c r="D1298" s="3" t="s">
        <v>9</v>
      </c>
      <c r="E1298" s="3" t="s">
        <v>5</v>
      </c>
      <c r="F1298" s="3" t="s">
        <v>10</v>
      </c>
      <c r="G1298" s="3" t="s">
        <v>3027</v>
      </c>
      <c r="H1298" s="3" t="s">
        <v>3028</v>
      </c>
      <c r="I1298" s="4">
        <v>4319.1000000000004</v>
      </c>
      <c r="J1298" s="3" t="s">
        <v>11</v>
      </c>
      <c r="K1298" t="e">
        <f>MATCH(A1298,Database!$A$2:$A$948,0)</f>
        <v>#N/A</v>
      </c>
      <c r="L1298" t="e">
        <f>VLOOKUP(A1298,Database!$A$2:$I$948,4,0)</f>
        <v>#N/A</v>
      </c>
      <c r="M1298" t="e">
        <f t="shared" si="43"/>
        <v>#N/A</v>
      </c>
      <c r="N1298" t="e">
        <f>VLOOKUP(A1298,Database!$A$2:$I$948,5,0)</f>
        <v>#N/A</v>
      </c>
    </row>
    <row r="1299" spans="1:14" hidden="1" x14ac:dyDescent="0.35">
      <c r="A1299" s="3">
        <v>103405718</v>
      </c>
      <c r="B1299" s="3" t="s">
        <v>3029</v>
      </c>
      <c r="C1299" s="3" t="str">
        <f t="shared" si="42"/>
        <v>2022-07-06</v>
      </c>
      <c r="D1299" s="3" t="s">
        <v>9</v>
      </c>
      <c r="E1299" s="3" t="s">
        <v>5</v>
      </c>
      <c r="F1299" s="3" t="s">
        <v>12</v>
      </c>
      <c r="G1299" s="3" t="s">
        <v>3030</v>
      </c>
      <c r="H1299" s="3" t="s">
        <v>3031</v>
      </c>
      <c r="I1299" s="5">
        <v>9999</v>
      </c>
      <c r="J1299" s="3" t="s">
        <v>11</v>
      </c>
      <c r="K1299" t="e">
        <f>MATCH(A1299,Database!$A$2:$A$948,0)</f>
        <v>#N/A</v>
      </c>
      <c r="L1299" t="e">
        <f>VLOOKUP(A1299,Database!$A$2:$I$948,4,0)</f>
        <v>#N/A</v>
      </c>
      <c r="M1299" t="e">
        <f t="shared" si="43"/>
        <v>#N/A</v>
      </c>
      <c r="N1299" t="e">
        <f>VLOOKUP(A1299,Database!$A$2:$I$948,5,0)</f>
        <v>#N/A</v>
      </c>
    </row>
    <row r="1300" spans="1:14" hidden="1" x14ac:dyDescent="0.35">
      <c r="A1300" s="3">
        <v>103405653</v>
      </c>
      <c r="B1300" s="3" t="s">
        <v>3032</v>
      </c>
      <c r="C1300" s="3" t="str">
        <f t="shared" si="42"/>
        <v>2022-07-06</v>
      </c>
      <c r="D1300" s="3" t="s">
        <v>9</v>
      </c>
      <c r="E1300" s="3" t="s">
        <v>5</v>
      </c>
      <c r="F1300" s="3" t="s">
        <v>10</v>
      </c>
      <c r="G1300" s="3" t="s">
        <v>3033</v>
      </c>
      <c r="H1300" s="3" t="s">
        <v>3034</v>
      </c>
      <c r="I1300" s="5">
        <v>2249</v>
      </c>
      <c r="J1300" s="3" t="s">
        <v>11</v>
      </c>
      <c r="K1300" t="e">
        <f>MATCH(A1300,Database!$A$2:$A$948,0)</f>
        <v>#N/A</v>
      </c>
      <c r="L1300" t="e">
        <f>VLOOKUP(A1300,Database!$A$2:$I$948,4,0)</f>
        <v>#N/A</v>
      </c>
      <c r="M1300" t="e">
        <f t="shared" si="43"/>
        <v>#N/A</v>
      </c>
      <c r="N1300" t="e">
        <f>VLOOKUP(A1300,Database!$A$2:$I$948,5,0)</f>
        <v>#N/A</v>
      </c>
    </row>
    <row r="1301" spans="1:14" hidden="1" x14ac:dyDescent="0.35">
      <c r="A1301" s="3">
        <v>103405651</v>
      </c>
      <c r="B1301" s="3" t="s">
        <v>3035</v>
      </c>
      <c r="C1301" s="3" t="str">
        <f t="shared" si="42"/>
        <v>2022-07-06</v>
      </c>
      <c r="D1301" s="3" t="s">
        <v>9</v>
      </c>
      <c r="E1301" s="3" t="s">
        <v>5</v>
      </c>
      <c r="F1301" s="3" t="s">
        <v>10</v>
      </c>
      <c r="G1301" s="3" t="s">
        <v>3036</v>
      </c>
      <c r="H1301" s="3" t="s">
        <v>3037</v>
      </c>
      <c r="I1301" s="4">
        <v>1922.89</v>
      </c>
      <c r="J1301" s="3" t="s">
        <v>11</v>
      </c>
      <c r="K1301" t="e">
        <f>MATCH(A1301,Database!$A$2:$A$948,0)</f>
        <v>#N/A</v>
      </c>
      <c r="L1301" t="e">
        <f>VLOOKUP(A1301,Database!$A$2:$I$948,4,0)</f>
        <v>#N/A</v>
      </c>
      <c r="M1301" t="e">
        <f t="shared" si="43"/>
        <v>#N/A</v>
      </c>
      <c r="N1301" t="e">
        <f>VLOOKUP(A1301,Database!$A$2:$I$948,5,0)</f>
        <v>#N/A</v>
      </c>
    </row>
    <row r="1302" spans="1:14" hidden="1" x14ac:dyDescent="0.35">
      <c r="A1302" s="3">
        <v>103405645</v>
      </c>
      <c r="B1302" s="3" t="s">
        <v>3038</v>
      </c>
      <c r="C1302" s="3" t="str">
        <f t="shared" si="42"/>
        <v>2022-07-06</v>
      </c>
      <c r="D1302" s="3" t="s">
        <v>9</v>
      </c>
      <c r="E1302" s="3" t="s">
        <v>5</v>
      </c>
      <c r="F1302" s="3" t="s">
        <v>10</v>
      </c>
      <c r="G1302" s="3" t="s">
        <v>3039</v>
      </c>
      <c r="H1302" s="3" t="s">
        <v>3040</v>
      </c>
      <c r="I1302" s="4">
        <v>4559.05</v>
      </c>
      <c r="J1302" s="3" t="s">
        <v>11</v>
      </c>
      <c r="K1302" t="e">
        <f>MATCH(A1302,Database!$A$2:$A$948,0)</f>
        <v>#N/A</v>
      </c>
      <c r="L1302" t="e">
        <f>VLOOKUP(A1302,Database!$A$2:$I$948,4,0)</f>
        <v>#N/A</v>
      </c>
      <c r="M1302" t="e">
        <f t="shared" si="43"/>
        <v>#N/A</v>
      </c>
      <c r="N1302" t="e">
        <f>VLOOKUP(A1302,Database!$A$2:$I$948,5,0)</f>
        <v>#N/A</v>
      </c>
    </row>
    <row r="1303" spans="1:14" hidden="1" x14ac:dyDescent="0.35">
      <c r="A1303" s="3">
        <v>103405644</v>
      </c>
      <c r="B1303" s="3" t="s">
        <v>3041</v>
      </c>
      <c r="C1303" s="3" t="str">
        <f t="shared" si="42"/>
        <v>2022-07-06</v>
      </c>
      <c r="D1303" s="3" t="s">
        <v>9</v>
      </c>
      <c r="E1303" s="3" t="s">
        <v>5</v>
      </c>
      <c r="F1303" s="3" t="s">
        <v>10</v>
      </c>
      <c r="G1303" s="3" t="s">
        <v>3042</v>
      </c>
      <c r="H1303" s="3" t="s">
        <v>3043</v>
      </c>
      <c r="I1303" s="3">
        <v>369</v>
      </c>
      <c r="J1303" s="3" t="s">
        <v>11</v>
      </c>
      <c r="K1303" t="e">
        <f>MATCH(A1303,Database!$A$2:$A$948,0)</f>
        <v>#N/A</v>
      </c>
      <c r="L1303" t="e">
        <f>VLOOKUP(A1303,Database!$A$2:$I$948,4,0)</f>
        <v>#N/A</v>
      </c>
      <c r="M1303" t="e">
        <f t="shared" si="43"/>
        <v>#N/A</v>
      </c>
      <c r="N1303" t="e">
        <f>VLOOKUP(A1303,Database!$A$2:$I$948,5,0)</f>
        <v>#N/A</v>
      </c>
    </row>
    <row r="1304" spans="1:14" hidden="1" x14ac:dyDescent="0.35">
      <c r="A1304" s="3">
        <v>103405704</v>
      </c>
      <c r="B1304" s="3" t="s">
        <v>3044</v>
      </c>
      <c r="C1304" s="3" t="str">
        <f t="shared" si="42"/>
        <v>2022-07-06</v>
      </c>
      <c r="D1304" s="3" t="s">
        <v>9</v>
      </c>
      <c r="E1304" s="3" t="s">
        <v>5</v>
      </c>
      <c r="F1304" s="3" t="s">
        <v>10</v>
      </c>
      <c r="G1304" s="3" t="s">
        <v>3045</v>
      </c>
      <c r="H1304" s="3" t="s">
        <v>3046</v>
      </c>
      <c r="I1304" s="5">
        <v>2699</v>
      </c>
      <c r="J1304" s="3" t="s">
        <v>11</v>
      </c>
      <c r="K1304" t="e">
        <f>MATCH(A1304,Database!$A$2:$A$948,0)</f>
        <v>#N/A</v>
      </c>
      <c r="L1304" t="e">
        <f>VLOOKUP(A1304,Database!$A$2:$I$948,4,0)</f>
        <v>#N/A</v>
      </c>
      <c r="M1304" t="e">
        <f t="shared" si="43"/>
        <v>#N/A</v>
      </c>
      <c r="N1304" t="e">
        <f>VLOOKUP(A1304,Database!$A$2:$I$948,5,0)</f>
        <v>#N/A</v>
      </c>
    </row>
    <row r="1305" spans="1:14" hidden="1" x14ac:dyDescent="0.35">
      <c r="A1305" s="3">
        <v>103405642</v>
      </c>
      <c r="B1305" s="3" t="s">
        <v>3047</v>
      </c>
      <c r="C1305" s="3" t="str">
        <f t="shared" si="42"/>
        <v>2022-07-06</v>
      </c>
      <c r="D1305" s="3" t="s">
        <v>9</v>
      </c>
      <c r="E1305" s="3" t="s">
        <v>5</v>
      </c>
      <c r="F1305" s="3" t="s">
        <v>10</v>
      </c>
      <c r="G1305" s="3" t="s">
        <v>3048</v>
      </c>
      <c r="H1305" s="3" t="s">
        <v>3049</v>
      </c>
      <c r="I1305" s="3">
        <v>649</v>
      </c>
      <c r="J1305" s="3" t="s">
        <v>11</v>
      </c>
      <c r="K1305" t="e">
        <f>MATCH(A1305,Database!$A$2:$A$948,0)</f>
        <v>#N/A</v>
      </c>
      <c r="L1305" t="e">
        <f>VLOOKUP(A1305,Database!$A$2:$I$948,4,0)</f>
        <v>#N/A</v>
      </c>
      <c r="M1305" t="e">
        <f t="shared" si="43"/>
        <v>#N/A</v>
      </c>
      <c r="N1305" t="e">
        <f>VLOOKUP(A1305,Database!$A$2:$I$948,5,0)</f>
        <v>#N/A</v>
      </c>
    </row>
    <row r="1306" spans="1:14" hidden="1" x14ac:dyDescent="0.35">
      <c r="A1306" s="3">
        <v>103405700</v>
      </c>
      <c r="B1306" s="3" t="s">
        <v>3050</v>
      </c>
      <c r="C1306" s="3" t="str">
        <f t="shared" si="42"/>
        <v>2022-07-06</v>
      </c>
      <c r="D1306" s="3" t="s">
        <v>9</v>
      </c>
      <c r="E1306" s="3" t="s">
        <v>5</v>
      </c>
      <c r="F1306" s="3" t="s">
        <v>10</v>
      </c>
      <c r="G1306" s="3" t="s">
        <v>3008</v>
      </c>
      <c r="H1306" s="3" t="s">
        <v>3009</v>
      </c>
      <c r="I1306" s="4">
        <v>4487.8900000000003</v>
      </c>
      <c r="J1306" s="3" t="s">
        <v>11</v>
      </c>
      <c r="K1306" t="e">
        <f>MATCH(A1306,Database!$A$2:$A$948,0)</f>
        <v>#N/A</v>
      </c>
      <c r="L1306" t="e">
        <f>VLOOKUP(A1306,Database!$A$2:$I$948,4,0)</f>
        <v>#N/A</v>
      </c>
      <c r="M1306" t="e">
        <f t="shared" si="43"/>
        <v>#N/A</v>
      </c>
      <c r="N1306" t="e">
        <f>VLOOKUP(A1306,Database!$A$2:$I$948,5,0)</f>
        <v>#N/A</v>
      </c>
    </row>
    <row r="1307" spans="1:14" hidden="1" x14ac:dyDescent="0.35">
      <c r="A1307" s="3">
        <v>103405634</v>
      </c>
      <c r="B1307" s="3" t="s">
        <v>3051</v>
      </c>
      <c r="C1307" s="3" t="str">
        <f t="shared" si="42"/>
        <v>2022-07-06</v>
      </c>
      <c r="D1307" s="3" t="s">
        <v>9</v>
      </c>
      <c r="E1307" s="3" t="s">
        <v>5</v>
      </c>
      <c r="F1307" s="3" t="s">
        <v>10</v>
      </c>
      <c r="G1307" s="3" t="s">
        <v>3052</v>
      </c>
      <c r="H1307" s="3" t="s">
        <v>3053</v>
      </c>
      <c r="I1307" s="4">
        <v>6567.3</v>
      </c>
      <c r="J1307" s="3" t="s">
        <v>11</v>
      </c>
      <c r="K1307" t="e">
        <f>MATCH(A1307,Database!$A$2:$A$948,0)</f>
        <v>#N/A</v>
      </c>
      <c r="L1307" t="e">
        <f>VLOOKUP(A1307,Database!$A$2:$I$948,4,0)</f>
        <v>#N/A</v>
      </c>
      <c r="M1307" t="e">
        <f t="shared" si="43"/>
        <v>#N/A</v>
      </c>
      <c r="N1307" t="e">
        <f>VLOOKUP(A1307,Database!$A$2:$I$948,5,0)</f>
        <v>#N/A</v>
      </c>
    </row>
    <row r="1308" spans="1:14" hidden="1" x14ac:dyDescent="0.35">
      <c r="A1308" s="3">
        <v>103405696</v>
      </c>
      <c r="B1308" s="3" t="s">
        <v>3054</v>
      </c>
      <c r="C1308" s="3" t="str">
        <f t="shared" si="42"/>
        <v>2022-07-06</v>
      </c>
      <c r="D1308" s="3" t="s">
        <v>9</v>
      </c>
      <c r="E1308" s="3" t="s">
        <v>5</v>
      </c>
      <c r="F1308" s="3" t="s">
        <v>10</v>
      </c>
      <c r="G1308" s="3" t="s">
        <v>21</v>
      </c>
      <c r="H1308" s="3" t="s">
        <v>3055</v>
      </c>
      <c r="I1308" s="5">
        <v>1169</v>
      </c>
      <c r="J1308" s="3" t="s">
        <v>11</v>
      </c>
      <c r="K1308" t="e">
        <f>MATCH(A1308,Database!$A$2:$A$948,0)</f>
        <v>#N/A</v>
      </c>
      <c r="L1308" t="e">
        <f>VLOOKUP(A1308,Database!$A$2:$I$948,4,0)</f>
        <v>#N/A</v>
      </c>
      <c r="M1308" t="e">
        <f t="shared" si="43"/>
        <v>#N/A</v>
      </c>
      <c r="N1308" t="e">
        <f>VLOOKUP(A1308,Database!$A$2:$I$948,5,0)</f>
        <v>#N/A</v>
      </c>
    </row>
    <row r="1309" spans="1:14" hidden="1" x14ac:dyDescent="0.35">
      <c r="A1309" s="3">
        <v>103405631</v>
      </c>
      <c r="B1309" s="3" t="s">
        <v>3056</v>
      </c>
      <c r="C1309" s="3" t="str">
        <f t="shared" si="42"/>
        <v>2022-07-06</v>
      </c>
      <c r="D1309" s="3" t="s">
        <v>9</v>
      </c>
      <c r="E1309" s="3" t="s">
        <v>5</v>
      </c>
      <c r="F1309" s="3" t="s">
        <v>10</v>
      </c>
      <c r="G1309" s="3" t="s">
        <v>3057</v>
      </c>
      <c r="H1309" s="3" t="s">
        <v>3058</v>
      </c>
      <c r="I1309" s="3">
        <v>749</v>
      </c>
      <c r="J1309" s="3" t="s">
        <v>11</v>
      </c>
      <c r="K1309" t="e">
        <f>MATCH(A1309,Database!$A$2:$A$948,0)</f>
        <v>#N/A</v>
      </c>
      <c r="L1309" t="e">
        <f>VLOOKUP(A1309,Database!$A$2:$I$948,4,0)</f>
        <v>#N/A</v>
      </c>
      <c r="M1309" t="e">
        <f t="shared" si="43"/>
        <v>#N/A</v>
      </c>
      <c r="N1309" t="e">
        <f>VLOOKUP(A1309,Database!$A$2:$I$948,5,0)</f>
        <v>#N/A</v>
      </c>
    </row>
    <row r="1310" spans="1:14" hidden="1" x14ac:dyDescent="0.35">
      <c r="A1310" s="3">
        <v>103405694</v>
      </c>
      <c r="B1310" s="3" t="s">
        <v>3059</v>
      </c>
      <c r="C1310" s="3" t="str">
        <f t="shared" si="42"/>
        <v>2022-07-06</v>
      </c>
      <c r="D1310" s="3" t="s">
        <v>9</v>
      </c>
      <c r="E1310" s="3" t="s">
        <v>5</v>
      </c>
      <c r="F1310" s="3" t="s">
        <v>10</v>
      </c>
      <c r="G1310" s="3" t="s">
        <v>3060</v>
      </c>
      <c r="H1310" s="3" t="s">
        <v>3061</v>
      </c>
      <c r="I1310" s="3">
        <v>519</v>
      </c>
      <c r="J1310" s="3" t="s">
        <v>11</v>
      </c>
      <c r="K1310" t="e">
        <f>MATCH(A1310,Database!$A$2:$A$948,0)</f>
        <v>#N/A</v>
      </c>
      <c r="L1310" t="e">
        <f>VLOOKUP(A1310,Database!$A$2:$I$948,4,0)</f>
        <v>#N/A</v>
      </c>
      <c r="M1310" t="e">
        <f t="shared" si="43"/>
        <v>#N/A</v>
      </c>
      <c r="N1310" t="e">
        <f>VLOOKUP(A1310,Database!$A$2:$I$948,5,0)</f>
        <v>#N/A</v>
      </c>
    </row>
    <row r="1311" spans="1:14" hidden="1" x14ac:dyDescent="0.35">
      <c r="A1311" s="3">
        <v>103405692</v>
      </c>
      <c r="B1311" s="3" t="s">
        <v>3062</v>
      </c>
      <c r="C1311" s="3" t="str">
        <f t="shared" si="42"/>
        <v>2022-07-06</v>
      </c>
      <c r="D1311" s="3" t="s">
        <v>9</v>
      </c>
      <c r="E1311" s="3" t="s">
        <v>5</v>
      </c>
      <c r="F1311" s="3" t="s">
        <v>10</v>
      </c>
      <c r="G1311" s="3" t="s">
        <v>3063</v>
      </c>
      <c r="H1311" s="3" t="s">
        <v>3064</v>
      </c>
      <c r="I1311" s="4">
        <v>1110.55</v>
      </c>
      <c r="J1311" s="3" t="s">
        <v>11</v>
      </c>
      <c r="K1311" t="e">
        <f>MATCH(A1311,Database!$A$2:$A$948,0)</f>
        <v>#N/A</v>
      </c>
      <c r="L1311" t="e">
        <f>VLOOKUP(A1311,Database!$A$2:$I$948,4,0)</f>
        <v>#N/A</v>
      </c>
      <c r="M1311" t="e">
        <f t="shared" si="43"/>
        <v>#N/A</v>
      </c>
      <c r="N1311" t="e">
        <f>VLOOKUP(A1311,Database!$A$2:$I$948,5,0)</f>
        <v>#N/A</v>
      </c>
    </row>
    <row r="1312" spans="1:14" hidden="1" x14ac:dyDescent="0.35">
      <c r="A1312" s="3">
        <v>103405623</v>
      </c>
      <c r="B1312" s="3" t="s">
        <v>3065</v>
      </c>
      <c r="C1312" s="3" t="str">
        <f t="shared" si="42"/>
        <v>2022-07-06</v>
      </c>
      <c r="D1312" s="3" t="s">
        <v>9</v>
      </c>
      <c r="E1312" s="3" t="s">
        <v>5</v>
      </c>
      <c r="F1312" s="3" t="s">
        <v>10</v>
      </c>
      <c r="G1312" s="3" t="s">
        <v>3066</v>
      </c>
      <c r="H1312" s="3" t="s">
        <v>3067</v>
      </c>
      <c r="I1312" s="3">
        <v>920.55</v>
      </c>
      <c r="J1312" s="3" t="s">
        <v>11</v>
      </c>
      <c r="K1312" t="e">
        <f>MATCH(A1312,Database!$A$2:$A$948,0)</f>
        <v>#N/A</v>
      </c>
      <c r="L1312" t="e">
        <f>VLOOKUP(A1312,Database!$A$2:$I$948,4,0)</f>
        <v>#N/A</v>
      </c>
      <c r="M1312" t="e">
        <f t="shared" si="43"/>
        <v>#N/A</v>
      </c>
      <c r="N1312" t="e">
        <f>VLOOKUP(A1312,Database!$A$2:$I$948,5,0)</f>
        <v>#N/A</v>
      </c>
    </row>
    <row r="1313" spans="1:14" hidden="1" x14ac:dyDescent="0.35">
      <c r="A1313" s="3">
        <v>103405622</v>
      </c>
      <c r="B1313" s="3" t="s">
        <v>3068</v>
      </c>
      <c r="C1313" s="3" t="str">
        <f t="shared" si="42"/>
        <v>2022-07-06</v>
      </c>
      <c r="D1313" s="3" t="s">
        <v>9</v>
      </c>
      <c r="E1313" s="3" t="s">
        <v>5</v>
      </c>
      <c r="F1313" s="3" t="s">
        <v>12</v>
      </c>
      <c r="G1313" s="3" t="s">
        <v>3069</v>
      </c>
      <c r="H1313" s="3" t="s">
        <v>3070</v>
      </c>
      <c r="I1313" s="3">
        <v>599</v>
      </c>
      <c r="J1313" s="3" t="s">
        <v>11</v>
      </c>
      <c r="K1313" t="e">
        <f>MATCH(A1313,Database!$A$2:$A$948,0)</f>
        <v>#N/A</v>
      </c>
      <c r="L1313" t="e">
        <f>VLOOKUP(A1313,Database!$A$2:$I$948,4,0)</f>
        <v>#N/A</v>
      </c>
      <c r="M1313" t="e">
        <f t="shared" si="43"/>
        <v>#N/A</v>
      </c>
      <c r="N1313" t="e">
        <f>VLOOKUP(A1313,Database!$A$2:$I$948,5,0)</f>
        <v>#N/A</v>
      </c>
    </row>
    <row r="1314" spans="1:14" hidden="1" x14ac:dyDescent="0.35">
      <c r="A1314" s="3">
        <v>103405621</v>
      </c>
      <c r="B1314" s="3" t="s">
        <v>3071</v>
      </c>
      <c r="C1314" s="3" t="str">
        <f t="shared" si="42"/>
        <v>2022-07-06</v>
      </c>
      <c r="D1314" s="3" t="s">
        <v>9</v>
      </c>
      <c r="E1314" s="3" t="s">
        <v>5</v>
      </c>
      <c r="F1314" s="3" t="s">
        <v>10</v>
      </c>
      <c r="G1314" s="3" t="s">
        <v>3072</v>
      </c>
      <c r="H1314" s="3" t="s">
        <v>3073</v>
      </c>
      <c r="I1314" s="4">
        <v>2193.5500000000002</v>
      </c>
      <c r="J1314" s="3" t="s">
        <v>11</v>
      </c>
      <c r="K1314" t="e">
        <f>MATCH(A1314,Database!$A$2:$A$948,0)</f>
        <v>#N/A</v>
      </c>
      <c r="L1314" t="e">
        <f>VLOOKUP(A1314,Database!$A$2:$I$948,4,0)</f>
        <v>#N/A</v>
      </c>
      <c r="M1314" t="e">
        <f t="shared" si="43"/>
        <v>#N/A</v>
      </c>
      <c r="N1314" t="e">
        <f>VLOOKUP(A1314,Database!$A$2:$I$948,5,0)</f>
        <v>#N/A</v>
      </c>
    </row>
    <row r="1315" spans="1:14" hidden="1" x14ac:dyDescent="0.35">
      <c r="A1315" s="3">
        <v>103405690</v>
      </c>
      <c r="B1315" s="3" t="s">
        <v>3074</v>
      </c>
      <c r="C1315" s="3" t="str">
        <f t="shared" si="42"/>
        <v>2022-07-06</v>
      </c>
      <c r="D1315" s="3" t="s">
        <v>9</v>
      </c>
      <c r="E1315" s="3" t="s">
        <v>5</v>
      </c>
      <c r="F1315" s="3" t="s">
        <v>10</v>
      </c>
      <c r="G1315" s="3" t="s">
        <v>3075</v>
      </c>
      <c r="H1315" s="3" t="s">
        <v>3076</v>
      </c>
      <c r="I1315" s="5">
        <v>2599</v>
      </c>
      <c r="J1315" s="3" t="s">
        <v>11</v>
      </c>
      <c r="K1315" t="e">
        <f>MATCH(A1315,Database!$A$2:$A$948,0)</f>
        <v>#N/A</v>
      </c>
      <c r="L1315" t="e">
        <f>VLOOKUP(A1315,Database!$A$2:$I$948,4,0)</f>
        <v>#N/A</v>
      </c>
      <c r="M1315" t="e">
        <f t="shared" si="43"/>
        <v>#N/A</v>
      </c>
      <c r="N1315" t="e">
        <f>VLOOKUP(A1315,Database!$A$2:$I$948,5,0)</f>
        <v>#N/A</v>
      </c>
    </row>
    <row r="1316" spans="1:14" hidden="1" x14ac:dyDescent="0.35">
      <c r="A1316" s="3">
        <v>103405619</v>
      </c>
      <c r="B1316" s="3" t="s">
        <v>3077</v>
      </c>
      <c r="C1316" s="3" t="str">
        <f t="shared" si="42"/>
        <v>2022-07-06</v>
      </c>
      <c r="D1316" s="3" t="s">
        <v>9</v>
      </c>
      <c r="E1316" s="3" t="s">
        <v>5</v>
      </c>
      <c r="F1316" s="3" t="s">
        <v>10</v>
      </c>
      <c r="G1316" s="3" t="s">
        <v>3078</v>
      </c>
      <c r="H1316" s="3" t="s">
        <v>3079</v>
      </c>
      <c r="I1316" s="3">
        <v>369.55</v>
      </c>
      <c r="J1316" s="3" t="s">
        <v>11</v>
      </c>
      <c r="K1316" t="e">
        <f>MATCH(A1316,Database!$A$2:$A$948,0)</f>
        <v>#N/A</v>
      </c>
      <c r="L1316" t="e">
        <f>VLOOKUP(A1316,Database!$A$2:$I$948,4,0)</f>
        <v>#N/A</v>
      </c>
      <c r="M1316" t="e">
        <f t="shared" si="43"/>
        <v>#N/A</v>
      </c>
      <c r="N1316" t="e">
        <f>VLOOKUP(A1316,Database!$A$2:$I$948,5,0)</f>
        <v>#N/A</v>
      </c>
    </row>
    <row r="1317" spans="1:14" hidden="1" x14ac:dyDescent="0.35">
      <c r="A1317" s="3">
        <v>103405677</v>
      </c>
      <c r="B1317" s="3" t="s">
        <v>3080</v>
      </c>
      <c r="C1317" s="3" t="str">
        <f t="shared" si="42"/>
        <v>2022-07-06</v>
      </c>
      <c r="D1317" s="3" t="s">
        <v>9</v>
      </c>
      <c r="E1317" s="3" t="s">
        <v>5</v>
      </c>
      <c r="F1317" s="3" t="s">
        <v>12</v>
      </c>
      <c r="G1317" s="3" t="s">
        <v>3081</v>
      </c>
      <c r="H1317" s="3" t="s">
        <v>3082</v>
      </c>
      <c r="I1317" s="5">
        <v>2458</v>
      </c>
      <c r="J1317" s="3" t="s">
        <v>11</v>
      </c>
      <c r="K1317" t="e">
        <f>MATCH(A1317,Database!$A$2:$A$948,0)</f>
        <v>#N/A</v>
      </c>
      <c r="L1317" t="e">
        <f>VLOOKUP(A1317,Database!$A$2:$I$948,4,0)</f>
        <v>#N/A</v>
      </c>
      <c r="M1317" t="e">
        <f t="shared" si="43"/>
        <v>#N/A</v>
      </c>
      <c r="N1317" t="e">
        <f>VLOOKUP(A1317,Database!$A$2:$I$948,5,0)</f>
        <v>#N/A</v>
      </c>
    </row>
    <row r="1318" spans="1:14" hidden="1" x14ac:dyDescent="0.35">
      <c r="A1318" s="3">
        <v>103405676</v>
      </c>
      <c r="B1318" s="3" t="s">
        <v>3083</v>
      </c>
      <c r="C1318" s="3" t="str">
        <f t="shared" si="42"/>
        <v>2022-07-06</v>
      </c>
      <c r="D1318" s="3" t="s">
        <v>9</v>
      </c>
      <c r="E1318" s="3" t="s">
        <v>5</v>
      </c>
      <c r="F1318" s="3" t="s">
        <v>10</v>
      </c>
      <c r="G1318" s="3" t="s">
        <v>3084</v>
      </c>
      <c r="H1318" s="3" t="s">
        <v>3085</v>
      </c>
      <c r="I1318" s="3">
        <v>711.55</v>
      </c>
      <c r="J1318" s="3" t="s">
        <v>11</v>
      </c>
      <c r="K1318" t="e">
        <f>MATCH(A1318,Database!$A$2:$A$948,0)</f>
        <v>#N/A</v>
      </c>
      <c r="L1318" t="e">
        <f>VLOOKUP(A1318,Database!$A$2:$I$948,4,0)</f>
        <v>#N/A</v>
      </c>
      <c r="M1318" t="e">
        <f t="shared" si="43"/>
        <v>#N/A</v>
      </c>
      <c r="N1318" t="e">
        <f>VLOOKUP(A1318,Database!$A$2:$I$948,5,0)</f>
        <v>#N/A</v>
      </c>
    </row>
    <row r="1319" spans="1:14" hidden="1" x14ac:dyDescent="0.35">
      <c r="A1319" s="3">
        <v>103405675</v>
      </c>
      <c r="B1319" s="3" t="s">
        <v>3086</v>
      </c>
      <c r="C1319" s="3" t="str">
        <f t="shared" si="42"/>
        <v>2022-07-06</v>
      </c>
      <c r="D1319" s="3" t="s">
        <v>9</v>
      </c>
      <c r="E1319" s="3" t="s">
        <v>5</v>
      </c>
      <c r="F1319" s="3" t="s">
        <v>10</v>
      </c>
      <c r="G1319" s="3" t="s">
        <v>3087</v>
      </c>
      <c r="H1319" s="3" t="s">
        <v>3070</v>
      </c>
      <c r="I1319" s="3">
        <v>599</v>
      </c>
      <c r="J1319" s="3" t="s">
        <v>11</v>
      </c>
      <c r="K1319" t="e">
        <f>MATCH(A1319,Database!$A$2:$A$948,0)</f>
        <v>#N/A</v>
      </c>
      <c r="L1319" t="e">
        <f>VLOOKUP(A1319,Database!$A$2:$I$948,4,0)</f>
        <v>#N/A</v>
      </c>
      <c r="M1319" t="e">
        <f t="shared" si="43"/>
        <v>#N/A</v>
      </c>
      <c r="N1319" t="e">
        <f>VLOOKUP(A1319,Database!$A$2:$I$948,5,0)</f>
        <v>#N/A</v>
      </c>
    </row>
    <row r="1320" spans="1:14" hidden="1" x14ac:dyDescent="0.35">
      <c r="A1320" s="3">
        <v>103405605</v>
      </c>
      <c r="B1320" s="3" t="s">
        <v>3088</v>
      </c>
      <c r="C1320" s="3" t="str">
        <f t="shared" si="42"/>
        <v>2022-07-06</v>
      </c>
      <c r="D1320" s="3" t="s">
        <v>9</v>
      </c>
      <c r="E1320" s="3" t="s">
        <v>5</v>
      </c>
      <c r="F1320" s="3" t="s">
        <v>10</v>
      </c>
      <c r="G1320" s="3" t="s">
        <v>3089</v>
      </c>
      <c r="H1320" s="3" t="s">
        <v>3090</v>
      </c>
      <c r="I1320" s="4">
        <v>3086.55</v>
      </c>
      <c r="J1320" s="3" t="s">
        <v>11</v>
      </c>
      <c r="K1320" t="e">
        <f>MATCH(A1320,Database!$A$2:$A$948,0)</f>
        <v>#N/A</v>
      </c>
      <c r="L1320" t="e">
        <f>VLOOKUP(A1320,Database!$A$2:$I$948,4,0)</f>
        <v>#N/A</v>
      </c>
      <c r="M1320" t="e">
        <f t="shared" si="43"/>
        <v>#N/A</v>
      </c>
      <c r="N1320" t="e">
        <f>VLOOKUP(A1320,Database!$A$2:$I$948,5,0)</f>
        <v>#N/A</v>
      </c>
    </row>
    <row r="1321" spans="1:14" hidden="1" x14ac:dyDescent="0.35">
      <c r="A1321" s="3">
        <v>103405673</v>
      </c>
      <c r="B1321" s="3" t="s">
        <v>3091</v>
      </c>
      <c r="C1321" s="3" t="str">
        <f t="shared" si="42"/>
        <v>2022-07-06</v>
      </c>
      <c r="D1321" s="3" t="s">
        <v>9</v>
      </c>
      <c r="E1321" s="3" t="s">
        <v>5</v>
      </c>
      <c r="F1321" s="3" t="s">
        <v>10</v>
      </c>
      <c r="G1321" s="3" t="s">
        <v>3092</v>
      </c>
      <c r="H1321" s="3" t="s">
        <v>3093</v>
      </c>
      <c r="I1321" s="3">
        <v>854.05</v>
      </c>
      <c r="J1321" s="3" t="s">
        <v>11</v>
      </c>
      <c r="K1321" t="e">
        <f>MATCH(A1321,Database!$A$2:$A$948,0)</f>
        <v>#N/A</v>
      </c>
      <c r="L1321" t="e">
        <f>VLOOKUP(A1321,Database!$A$2:$I$948,4,0)</f>
        <v>#N/A</v>
      </c>
      <c r="M1321" t="e">
        <f t="shared" si="43"/>
        <v>#N/A</v>
      </c>
      <c r="N1321" t="e">
        <f>VLOOKUP(A1321,Database!$A$2:$I$948,5,0)</f>
        <v>#N/A</v>
      </c>
    </row>
    <row r="1322" spans="1:14" hidden="1" x14ac:dyDescent="0.35">
      <c r="A1322" s="3">
        <v>103405670</v>
      </c>
      <c r="B1322" s="3" t="s">
        <v>3094</v>
      </c>
      <c r="C1322" s="3" t="str">
        <f t="shared" si="42"/>
        <v>2022-07-06</v>
      </c>
      <c r="D1322" s="3" t="s">
        <v>9</v>
      </c>
      <c r="E1322" s="3" t="s">
        <v>5</v>
      </c>
      <c r="F1322" s="3" t="s">
        <v>10</v>
      </c>
      <c r="G1322" s="3" t="s">
        <v>3095</v>
      </c>
      <c r="H1322" s="3" t="s">
        <v>3096</v>
      </c>
      <c r="I1322" s="4">
        <v>2611.5500000000002</v>
      </c>
      <c r="J1322" s="3" t="s">
        <v>11</v>
      </c>
      <c r="K1322" t="e">
        <f>MATCH(A1322,Database!$A$2:$A$948,0)</f>
        <v>#N/A</v>
      </c>
      <c r="L1322" t="e">
        <f>VLOOKUP(A1322,Database!$A$2:$I$948,4,0)</f>
        <v>#N/A</v>
      </c>
      <c r="M1322" t="e">
        <f t="shared" si="43"/>
        <v>#N/A</v>
      </c>
      <c r="N1322" t="e">
        <f>VLOOKUP(A1322,Database!$A$2:$I$948,5,0)</f>
        <v>#N/A</v>
      </c>
    </row>
    <row r="1323" spans="1:14" hidden="1" x14ac:dyDescent="0.35">
      <c r="A1323" s="3">
        <v>103405669</v>
      </c>
      <c r="B1323" s="3" t="s">
        <v>3097</v>
      </c>
      <c r="C1323" s="3" t="str">
        <f t="shared" si="42"/>
        <v>2022-07-06</v>
      </c>
      <c r="D1323" s="3" t="s">
        <v>9</v>
      </c>
      <c r="E1323" s="3" t="s">
        <v>5</v>
      </c>
      <c r="F1323" s="3" t="s">
        <v>10</v>
      </c>
      <c r="G1323" s="3" t="s">
        <v>3098</v>
      </c>
      <c r="H1323" s="3" t="s">
        <v>3099</v>
      </c>
      <c r="I1323" s="4">
        <v>2887.05</v>
      </c>
      <c r="J1323" s="3" t="s">
        <v>11</v>
      </c>
      <c r="K1323" t="e">
        <f>MATCH(A1323,Database!$A$2:$A$948,0)</f>
        <v>#N/A</v>
      </c>
      <c r="L1323" t="e">
        <f>VLOOKUP(A1323,Database!$A$2:$I$948,4,0)</f>
        <v>#N/A</v>
      </c>
      <c r="M1323" t="e">
        <f t="shared" si="43"/>
        <v>#N/A</v>
      </c>
      <c r="N1323" t="e">
        <f>VLOOKUP(A1323,Database!$A$2:$I$948,5,0)</f>
        <v>#N/A</v>
      </c>
    </row>
    <row r="1324" spans="1:14" hidden="1" x14ac:dyDescent="0.35">
      <c r="A1324" s="3">
        <v>103405601</v>
      </c>
      <c r="B1324" s="3" t="s">
        <v>3100</v>
      </c>
      <c r="C1324" s="3" t="str">
        <f t="shared" si="42"/>
        <v>2022-07-06</v>
      </c>
      <c r="D1324" s="3" t="s">
        <v>9</v>
      </c>
      <c r="E1324" s="3" t="s">
        <v>5</v>
      </c>
      <c r="F1324" s="3" t="s">
        <v>10</v>
      </c>
      <c r="G1324" s="3" t="s">
        <v>3101</v>
      </c>
      <c r="H1324" s="3" t="s">
        <v>3102</v>
      </c>
      <c r="I1324" s="4">
        <v>1310.05</v>
      </c>
      <c r="J1324" s="3" t="s">
        <v>11</v>
      </c>
      <c r="K1324" t="e">
        <f>MATCH(A1324,Database!$A$2:$A$948,0)</f>
        <v>#N/A</v>
      </c>
      <c r="L1324" t="e">
        <f>VLOOKUP(A1324,Database!$A$2:$I$948,4,0)</f>
        <v>#N/A</v>
      </c>
      <c r="M1324" t="e">
        <f t="shared" si="43"/>
        <v>#N/A</v>
      </c>
      <c r="N1324" t="e">
        <f>VLOOKUP(A1324,Database!$A$2:$I$948,5,0)</f>
        <v>#N/A</v>
      </c>
    </row>
    <row r="1325" spans="1:14" hidden="1" x14ac:dyDescent="0.35">
      <c r="A1325" s="3">
        <v>103405667</v>
      </c>
      <c r="B1325" s="3" t="s">
        <v>3103</v>
      </c>
      <c r="C1325" s="3" t="str">
        <f t="shared" si="42"/>
        <v>2022-07-06</v>
      </c>
      <c r="D1325" s="3" t="s">
        <v>9</v>
      </c>
      <c r="E1325" s="3" t="s">
        <v>5</v>
      </c>
      <c r="F1325" s="3" t="s">
        <v>10</v>
      </c>
      <c r="G1325" s="3" t="s">
        <v>3104</v>
      </c>
      <c r="H1325" s="3" t="s">
        <v>3105</v>
      </c>
      <c r="I1325" s="5">
        <v>1599</v>
      </c>
      <c r="J1325" s="3" t="s">
        <v>11</v>
      </c>
      <c r="K1325" t="e">
        <f>MATCH(A1325,Database!$A$2:$A$948,0)</f>
        <v>#N/A</v>
      </c>
      <c r="L1325" t="e">
        <f>VLOOKUP(A1325,Database!$A$2:$I$948,4,0)</f>
        <v>#N/A</v>
      </c>
      <c r="M1325" t="e">
        <f t="shared" si="43"/>
        <v>#N/A</v>
      </c>
      <c r="N1325" t="e">
        <f>VLOOKUP(A1325,Database!$A$2:$I$948,5,0)</f>
        <v>#N/A</v>
      </c>
    </row>
    <row r="1326" spans="1:14" hidden="1" x14ac:dyDescent="0.35">
      <c r="A1326" s="3">
        <v>103405665</v>
      </c>
      <c r="B1326" s="3" t="s">
        <v>3106</v>
      </c>
      <c r="C1326" s="3" t="str">
        <f t="shared" si="42"/>
        <v>2022-07-06</v>
      </c>
      <c r="D1326" s="3" t="s">
        <v>9</v>
      </c>
      <c r="E1326" s="3" t="s">
        <v>5</v>
      </c>
      <c r="F1326" s="3" t="s">
        <v>10</v>
      </c>
      <c r="G1326" s="3" t="s">
        <v>3107</v>
      </c>
      <c r="H1326" s="3" t="s">
        <v>3108</v>
      </c>
      <c r="I1326" s="4">
        <v>1217.47</v>
      </c>
      <c r="J1326" s="3" t="s">
        <v>11</v>
      </c>
      <c r="K1326" t="e">
        <f>MATCH(A1326,Database!$A$2:$A$948,0)</f>
        <v>#N/A</v>
      </c>
      <c r="L1326" t="e">
        <f>VLOOKUP(A1326,Database!$A$2:$I$948,4,0)</f>
        <v>#N/A</v>
      </c>
      <c r="M1326" t="e">
        <f t="shared" si="43"/>
        <v>#N/A</v>
      </c>
      <c r="N1326" t="e">
        <f>VLOOKUP(A1326,Database!$A$2:$I$948,5,0)</f>
        <v>#N/A</v>
      </c>
    </row>
    <row r="1327" spans="1:14" hidden="1" x14ac:dyDescent="0.35">
      <c r="A1327" s="3">
        <v>103405459</v>
      </c>
      <c r="B1327" s="3" t="s">
        <v>3109</v>
      </c>
      <c r="C1327" s="3" t="str">
        <f t="shared" si="42"/>
        <v>2022-07-06</v>
      </c>
      <c r="D1327" s="3" t="s">
        <v>9</v>
      </c>
      <c r="E1327" s="3" t="s">
        <v>5</v>
      </c>
      <c r="F1327" s="3" t="s">
        <v>10</v>
      </c>
      <c r="G1327" s="3" t="s">
        <v>3110</v>
      </c>
      <c r="H1327" s="3" t="s">
        <v>3111</v>
      </c>
      <c r="I1327" s="4">
        <v>5097.7</v>
      </c>
      <c r="J1327" s="3" t="s">
        <v>11</v>
      </c>
      <c r="K1327" t="e">
        <f>MATCH(A1327,Database!$A$2:$A$948,0)</f>
        <v>#N/A</v>
      </c>
      <c r="L1327" t="e">
        <f>VLOOKUP(A1327,Database!$A$2:$I$948,4,0)</f>
        <v>#N/A</v>
      </c>
      <c r="M1327" t="e">
        <f t="shared" si="43"/>
        <v>#N/A</v>
      </c>
      <c r="N1327" t="e">
        <f>VLOOKUP(A1327,Database!$A$2:$I$948,5,0)</f>
        <v>#N/A</v>
      </c>
    </row>
    <row r="1328" spans="1:14" hidden="1" x14ac:dyDescent="0.35">
      <c r="A1328" s="3">
        <v>103405586</v>
      </c>
      <c r="B1328" s="3" t="s">
        <v>3112</v>
      </c>
      <c r="C1328" s="3" t="str">
        <f t="shared" si="42"/>
        <v>2022-07-06</v>
      </c>
      <c r="D1328" s="3" t="s">
        <v>9</v>
      </c>
      <c r="E1328" s="3" t="s">
        <v>5</v>
      </c>
      <c r="F1328" s="3" t="s">
        <v>10</v>
      </c>
      <c r="G1328" s="3" t="s">
        <v>3113</v>
      </c>
      <c r="H1328" s="3" t="s">
        <v>3114</v>
      </c>
      <c r="I1328" s="4">
        <v>2042.1</v>
      </c>
      <c r="J1328" s="3" t="s">
        <v>11</v>
      </c>
      <c r="K1328" t="e">
        <f>MATCH(A1328,Database!$A$2:$A$948,0)</f>
        <v>#N/A</v>
      </c>
      <c r="L1328" t="e">
        <f>VLOOKUP(A1328,Database!$A$2:$I$948,4,0)</f>
        <v>#N/A</v>
      </c>
      <c r="M1328" t="e">
        <f t="shared" si="43"/>
        <v>#N/A</v>
      </c>
      <c r="N1328" t="e">
        <f>VLOOKUP(A1328,Database!$A$2:$I$948,5,0)</f>
        <v>#N/A</v>
      </c>
    </row>
    <row r="1329" spans="1:14" hidden="1" x14ac:dyDescent="0.35">
      <c r="A1329" s="3">
        <v>103405451</v>
      </c>
      <c r="B1329" s="3" t="s">
        <v>3115</v>
      </c>
      <c r="C1329" s="3" t="str">
        <f t="shared" si="42"/>
        <v>2022-07-06</v>
      </c>
      <c r="D1329" s="3" t="s">
        <v>9</v>
      </c>
      <c r="E1329" s="3" t="s">
        <v>5</v>
      </c>
      <c r="F1329" s="3" t="s">
        <v>10</v>
      </c>
      <c r="G1329" s="3" t="s">
        <v>2515</v>
      </c>
      <c r="H1329" s="3" t="s">
        <v>2516</v>
      </c>
      <c r="I1329" s="5">
        <v>4199</v>
      </c>
      <c r="J1329" s="3" t="s">
        <v>11</v>
      </c>
      <c r="K1329" t="e">
        <f>MATCH(A1329,Database!$A$2:$A$948,0)</f>
        <v>#N/A</v>
      </c>
      <c r="L1329" t="e">
        <f>VLOOKUP(A1329,Database!$A$2:$I$948,4,0)</f>
        <v>#N/A</v>
      </c>
      <c r="M1329" t="e">
        <f t="shared" si="43"/>
        <v>#N/A</v>
      </c>
      <c r="N1329" t="e">
        <f>VLOOKUP(A1329,Database!$A$2:$I$948,5,0)</f>
        <v>#N/A</v>
      </c>
    </row>
    <row r="1330" spans="1:14" hidden="1" x14ac:dyDescent="0.35">
      <c r="A1330" s="3">
        <v>103405585</v>
      </c>
      <c r="B1330" s="3" t="s">
        <v>3116</v>
      </c>
      <c r="C1330" s="3" t="str">
        <f t="shared" si="42"/>
        <v>2022-07-06</v>
      </c>
      <c r="D1330" s="3" t="s">
        <v>9</v>
      </c>
      <c r="E1330" s="3" t="s">
        <v>5</v>
      </c>
      <c r="F1330" s="3" t="s">
        <v>10</v>
      </c>
      <c r="G1330" s="3" t="s">
        <v>3117</v>
      </c>
      <c r="H1330" s="3" t="s">
        <v>3118</v>
      </c>
      <c r="I1330" s="4">
        <v>1186.55</v>
      </c>
      <c r="J1330" s="3" t="s">
        <v>11</v>
      </c>
      <c r="K1330" t="e">
        <f>MATCH(A1330,Database!$A$2:$A$948,0)</f>
        <v>#N/A</v>
      </c>
      <c r="L1330" t="e">
        <f>VLOOKUP(A1330,Database!$A$2:$I$948,4,0)</f>
        <v>#N/A</v>
      </c>
      <c r="M1330" t="e">
        <f t="shared" si="43"/>
        <v>#N/A</v>
      </c>
      <c r="N1330" t="e">
        <f>VLOOKUP(A1330,Database!$A$2:$I$948,5,0)</f>
        <v>#N/A</v>
      </c>
    </row>
    <row r="1331" spans="1:14" hidden="1" x14ac:dyDescent="0.35">
      <c r="A1331" s="3">
        <v>103405581</v>
      </c>
      <c r="B1331" s="3" t="s">
        <v>3119</v>
      </c>
      <c r="C1331" s="3" t="str">
        <f t="shared" si="42"/>
        <v>2022-07-06</v>
      </c>
      <c r="D1331" s="3" t="s">
        <v>9</v>
      </c>
      <c r="E1331" s="3" t="s">
        <v>5</v>
      </c>
      <c r="F1331" s="3" t="s">
        <v>10</v>
      </c>
      <c r="G1331" s="3" t="s">
        <v>3120</v>
      </c>
      <c r="H1331" s="3" t="s">
        <v>3121</v>
      </c>
      <c r="I1331" s="5">
        <v>1189</v>
      </c>
      <c r="J1331" s="3" t="s">
        <v>11</v>
      </c>
      <c r="K1331" t="e">
        <f>MATCH(A1331,Database!$A$2:$A$948,0)</f>
        <v>#N/A</v>
      </c>
      <c r="L1331" t="e">
        <f>VLOOKUP(A1331,Database!$A$2:$I$948,4,0)</f>
        <v>#N/A</v>
      </c>
      <c r="M1331" t="e">
        <f t="shared" si="43"/>
        <v>#N/A</v>
      </c>
      <c r="N1331" t="e">
        <f>VLOOKUP(A1331,Database!$A$2:$I$948,5,0)</f>
        <v>#N/A</v>
      </c>
    </row>
    <row r="1332" spans="1:14" hidden="1" x14ac:dyDescent="0.35">
      <c r="A1332" s="3">
        <v>103405572</v>
      </c>
      <c r="B1332" s="3" t="s">
        <v>3122</v>
      </c>
      <c r="C1332" s="3" t="str">
        <f t="shared" si="42"/>
        <v>2022-07-06</v>
      </c>
      <c r="D1332" s="3" t="s">
        <v>9</v>
      </c>
      <c r="E1332" s="3" t="s">
        <v>5</v>
      </c>
      <c r="F1332" s="3" t="s">
        <v>10</v>
      </c>
      <c r="G1332" s="3" t="s">
        <v>3123</v>
      </c>
      <c r="H1332" s="3" t="s">
        <v>3124</v>
      </c>
      <c r="I1332" s="4">
        <v>2717.1</v>
      </c>
      <c r="J1332" s="3" t="s">
        <v>11</v>
      </c>
      <c r="K1332" t="e">
        <f>MATCH(A1332,Database!$A$2:$A$948,0)</f>
        <v>#N/A</v>
      </c>
      <c r="L1332" t="e">
        <f>VLOOKUP(A1332,Database!$A$2:$I$948,4,0)</f>
        <v>#N/A</v>
      </c>
      <c r="M1332" t="e">
        <f t="shared" si="43"/>
        <v>#N/A</v>
      </c>
      <c r="N1332" t="e">
        <f>VLOOKUP(A1332,Database!$A$2:$I$948,5,0)</f>
        <v>#N/A</v>
      </c>
    </row>
    <row r="1333" spans="1:14" hidden="1" x14ac:dyDescent="0.35">
      <c r="A1333" s="3">
        <v>103405568</v>
      </c>
      <c r="B1333" s="3" t="s">
        <v>3125</v>
      </c>
      <c r="C1333" s="3" t="str">
        <f t="shared" si="42"/>
        <v>2022-07-06</v>
      </c>
      <c r="D1333" s="3" t="s">
        <v>9</v>
      </c>
      <c r="E1333" s="3" t="s">
        <v>5</v>
      </c>
      <c r="F1333" s="3" t="s">
        <v>12</v>
      </c>
      <c r="G1333" s="3" t="s">
        <v>3126</v>
      </c>
      <c r="H1333" s="3" t="s">
        <v>3127</v>
      </c>
      <c r="I1333" s="3">
        <v>920.55</v>
      </c>
      <c r="J1333" s="3" t="s">
        <v>11</v>
      </c>
      <c r="K1333" t="e">
        <f>MATCH(A1333,Database!$A$2:$A$948,0)</f>
        <v>#N/A</v>
      </c>
      <c r="L1333" t="e">
        <f>VLOOKUP(A1333,Database!$A$2:$I$948,4,0)</f>
        <v>#N/A</v>
      </c>
      <c r="M1333" t="e">
        <f t="shared" si="43"/>
        <v>#N/A</v>
      </c>
      <c r="N1333" t="e">
        <f>VLOOKUP(A1333,Database!$A$2:$I$948,5,0)</f>
        <v>#N/A</v>
      </c>
    </row>
    <row r="1334" spans="1:14" hidden="1" x14ac:dyDescent="0.35">
      <c r="A1334" s="3">
        <v>103405565</v>
      </c>
      <c r="B1334" s="3" t="s">
        <v>3128</v>
      </c>
      <c r="C1334" s="3" t="str">
        <f t="shared" si="42"/>
        <v>2022-07-06</v>
      </c>
      <c r="D1334" s="3" t="s">
        <v>9</v>
      </c>
      <c r="E1334" s="3" t="s">
        <v>5</v>
      </c>
      <c r="F1334" s="3" t="s">
        <v>10</v>
      </c>
      <c r="G1334" s="3" t="s">
        <v>3129</v>
      </c>
      <c r="H1334" s="3" t="s">
        <v>3130</v>
      </c>
      <c r="I1334" s="4">
        <v>3040.52</v>
      </c>
      <c r="J1334" s="3" t="s">
        <v>11</v>
      </c>
      <c r="K1334" t="e">
        <f>MATCH(A1334,Database!$A$2:$A$948,0)</f>
        <v>#N/A</v>
      </c>
      <c r="L1334" t="e">
        <f>VLOOKUP(A1334,Database!$A$2:$I$948,4,0)</f>
        <v>#N/A</v>
      </c>
      <c r="M1334" t="e">
        <f t="shared" si="43"/>
        <v>#N/A</v>
      </c>
      <c r="N1334" t="e">
        <f>VLOOKUP(A1334,Database!$A$2:$I$948,5,0)</f>
        <v>#N/A</v>
      </c>
    </row>
    <row r="1335" spans="1:14" hidden="1" x14ac:dyDescent="0.35">
      <c r="A1335" s="3">
        <v>103405564</v>
      </c>
      <c r="B1335" s="3" t="s">
        <v>3131</v>
      </c>
      <c r="C1335" s="3" t="str">
        <f t="shared" si="42"/>
        <v>2022-07-06</v>
      </c>
      <c r="D1335" s="3" t="s">
        <v>9</v>
      </c>
      <c r="E1335" s="3" t="s">
        <v>5</v>
      </c>
      <c r="F1335" s="3" t="s">
        <v>10</v>
      </c>
      <c r="G1335" s="3" t="s">
        <v>3132</v>
      </c>
      <c r="H1335" s="3" t="s">
        <v>3133</v>
      </c>
      <c r="I1335" s="4">
        <v>4103.67</v>
      </c>
      <c r="J1335" s="3" t="s">
        <v>11</v>
      </c>
      <c r="K1335" t="e">
        <f>MATCH(A1335,Database!$A$2:$A$948,0)</f>
        <v>#N/A</v>
      </c>
      <c r="L1335" t="e">
        <f>VLOOKUP(A1335,Database!$A$2:$I$948,4,0)</f>
        <v>#N/A</v>
      </c>
      <c r="M1335" t="e">
        <f t="shared" si="43"/>
        <v>#N/A</v>
      </c>
      <c r="N1335" t="e">
        <f>VLOOKUP(A1335,Database!$A$2:$I$948,5,0)</f>
        <v>#N/A</v>
      </c>
    </row>
    <row r="1336" spans="1:14" hidden="1" x14ac:dyDescent="0.35">
      <c r="A1336" s="3">
        <v>103405563</v>
      </c>
      <c r="B1336" s="3" t="s">
        <v>3134</v>
      </c>
      <c r="C1336" s="3" t="str">
        <f t="shared" si="42"/>
        <v>2022-07-06</v>
      </c>
      <c r="D1336" s="3" t="s">
        <v>9</v>
      </c>
      <c r="E1336" s="3" t="s">
        <v>5</v>
      </c>
      <c r="F1336" s="3" t="s">
        <v>10</v>
      </c>
      <c r="G1336" s="3" t="s">
        <v>3135</v>
      </c>
      <c r="H1336" s="3" t="s">
        <v>3136</v>
      </c>
      <c r="I1336" s="4">
        <v>3086.55</v>
      </c>
      <c r="J1336" s="3" t="s">
        <v>11</v>
      </c>
      <c r="K1336" t="e">
        <f>MATCH(A1336,Database!$A$2:$A$948,0)</f>
        <v>#N/A</v>
      </c>
      <c r="L1336" t="e">
        <f>VLOOKUP(A1336,Database!$A$2:$I$948,4,0)</f>
        <v>#N/A</v>
      </c>
      <c r="M1336" t="e">
        <f t="shared" si="43"/>
        <v>#N/A</v>
      </c>
      <c r="N1336" t="e">
        <f>VLOOKUP(A1336,Database!$A$2:$I$948,5,0)</f>
        <v>#N/A</v>
      </c>
    </row>
    <row r="1337" spans="1:14" hidden="1" x14ac:dyDescent="0.35">
      <c r="A1337" s="3">
        <v>103405441</v>
      </c>
      <c r="B1337" s="3" t="s">
        <v>3137</v>
      </c>
      <c r="C1337" s="3" t="str">
        <f t="shared" si="42"/>
        <v>2022-07-06</v>
      </c>
      <c r="D1337" s="3" t="s">
        <v>9</v>
      </c>
      <c r="E1337" s="3" t="s">
        <v>5</v>
      </c>
      <c r="F1337" s="3" t="s">
        <v>10</v>
      </c>
      <c r="G1337" s="3" t="s">
        <v>3138</v>
      </c>
      <c r="H1337" s="3" t="s">
        <v>3139</v>
      </c>
      <c r="I1337" s="5">
        <v>1199</v>
      </c>
      <c r="J1337" s="3" t="s">
        <v>11</v>
      </c>
      <c r="K1337" t="e">
        <f>MATCH(A1337,Database!$A$2:$A$948,0)</f>
        <v>#N/A</v>
      </c>
      <c r="L1337" t="e">
        <f>VLOOKUP(A1337,Database!$A$2:$I$948,4,0)</f>
        <v>#N/A</v>
      </c>
      <c r="M1337" t="e">
        <f t="shared" si="43"/>
        <v>#N/A</v>
      </c>
      <c r="N1337" t="e">
        <f>VLOOKUP(A1337,Database!$A$2:$I$948,5,0)</f>
        <v>#N/A</v>
      </c>
    </row>
    <row r="1338" spans="1:14" hidden="1" x14ac:dyDescent="0.35">
      <c r="A1338" s="3">
        <v>103405440</v>
      </c>
      <c r="B1338" s="3" t="s">
        <v>3140</v>
      </c>
      <c r="C1338" s="3" t="str">
        <f t="shared" si="42"/>
        <v>2022-07-06</v>
      </c>
      <c r="D1338" s="3" t="s">
        <v>9</v>
      </c>
      <c r="E1338" s="3" t="s">
        <v>5</v>
      </c>
      <c r="F1338" s="3" t="s">
        <v>10</v>
      </c>
      <c r="G1338" s="3" t="s">
        <v>3141</v>
      </c>
      <c r="H1338" s="3" t="s">
        <v>3142</v>
      </c>
      <c r="I1338" s="3">
        <v>759.05</v>
      </c>
      <c r="J1338" s="3" t="s">
        <v>11</v>
      </c>
      <c r="K1338" t="e">
        <f>MATCH(A1338,Database!$A$2:$A$948,0)</f>
        <v>#N/A</v>
      </c>
      <c r="L1338" t="e">
        <f>VLOOKUP(A1338,Database!$A$2:$I$948,4,0)</f>
        <v>#N/A</v>
      </c>
      <c r="M1338" t="e">
        <f t="shared" si="43"/>
        <v>#N/A</v>
      </c>
      <c r="N1338" t="e">
        <f>VLOOKUP(A1338,Database!$A$2:$I$948,5,0)</f>
        <v>#N/A</v>
      </c>
    </row>
    <row r="1339" spans="1:14" hidden="1" x14ac:dyDescent="0.35">
      <c r="A1339" s="3">
        <v>103405556</v>
      </c>
      <c r="B1339" s="3" t="s">
        <v>3143</v>
      </c>
      <c r="C1339" s="3" t="str">
        <f t="shared" si="42"/>
        <v>2022-07-06</v>
      </c>
      <c r="D1339" s="3" t="s">
        <v>9</v>
      </c>
      <c r="E1339" s="3" t="s">
        <v>5</v>
      </c>
      <c r="F1339" s="3" t="s">
        <v>10</v>
      </c>
      <c r="G1339" s="3" t="s">
        <v>3144</v>
      </c>
      <c r="H1339" s="3" t="s">
        <v>3145</v>
      </c>
      <c r="I1339" s="4">
        <v>3419.05</v>
      </c>
      <c r="J1339" s="3" t="s">
        <v>11</v>
      </c>
      <c r="K1339" t="e">
        <f>MATCH(A1339,Database!$A$2:$A$948,0)</f>
        <v>#N/A</v>
      </c>
      <c r="L1339" t="e">
        <f>VLOOKUP(A1339,Database!$A$2:$I$948,4,0)</f>
        <v>#N/A</v>
      </c>
      <c r="M1339" t="e">
        <f t="shared" si="43"/>
        <v>#N/A</v>
      </c>
      <c r="N1339" t="e">
        <f>VLOOKUP(A1339,Database!$A$2:$I$948,5,0)</f>
        <v>#N/A</v>
      </c>
    </row>
    <row r="1340" spans="1:14" hidden="1" x14ac:dyDescent="0.35">
      <c r="A1340" s="3">
        <v>103405555</v>
      </c>
      <c r="B1340" s="3" t="s">
        <v>3146</v>
      </c>
      <c r="C1340" s="3" t="str">
        <f t="shared" si="42"/>
        <v>2022-07-06</v>
      </c>
      <c r="D1340" s="3" t="s">
        <v>9</v>
      </c>
      <c r="E1340" s="3" t="s">
        <v>5</v>
      </c>
      <c r="F1340" s="3" t="s">
        <v>10</v>
      </c>
      <c r="G1340" s="3" t="s">
        <v>3147</v>
      </c>
      <c r="H1340" s="3" t="s">
        <v>3148</v>
      </c>
      <c r="I1340" s="3">
        <v>399</v>
      </c>
      <c r="J1340" s="3" t="s">
        <v>11</v>
      </c>
      <c r="K1340" t="e">
        <f>MATCH(A1340,Database!$A$2:$A$948,0)</f>
        <v>#N/A</v>
      </c>
      <c r="L1340" t="e">
        <f>VLOOKUP(A1340,Database!$A$2:$I$948,4,0)</f>
        <v>#N/A</v>
      </c>
      <c r="M1340" t="e">
        <f t="shared" si="43"/>
        <v>#N/A</v>
      </c>
      <c r="N1340" t="e">
        <f>VLOOKUP(A1340,Database!$A$2:$I$948,5,0)</f>
        <v>#N/A</v>
      </c>
    </row>
    <row r="1341" spans="1:14" hidden="1" x14ac:dyDescent="0.35">
      <c r="A1341" s="3">
        <v>103405554</v>
      </c>
      <c r="B1341" s="3" t="s">
        <v>3149</v>
      </c>
      <c r="C1341" s="3" t="str">
        <f t="shared" si="42"/>
        <v>2022-07-06</v>
      </c>
      <c r="D1341" s="3" t="s">
        <v>9</v>
      </c>
      <c r="E1341" s="3" t="s">
        <v>5</v>
      </c>
      <c r="F1341" s="3" t="s">
        <v>10</v>
      </c>
      <c r="G1341" s="3" t="s">
        <v>3150</v>
      </c>
      <c r="H1341" s="3" t="s">
        <v>3151</v>
      </c>
      <c r="I1341" s="4">
        <v>3134.05</v>
      </c>
      <c r="J1341" s="3" t="s">
        <v>11</v>
      </c>
      <c r="K1341" t="e">
        <f>MATCH(A1341,Database!$A$2:$A$948,0)</f>
        <v>#N/A</v>
      </c>
      <c r="L1341" t="e">
        <f>VLOOKUP(A1341,Database!$A$2:$I$948,4,0)</f>
        <v>#N/A</v>
      </c>
      <c r="M1341" t="e">
        <f t="shared" si="43"/>
        <v>#N/A</v>
      </c>
      <c r="N1341" t="e">
        <f>VLOOKUP(A1341,Database!$A$2:$I$948,5,0)</f>
        <v>#N/A</v>
      </c>
    </row>
    <row r="1342" spans="1:14" hidden="1" x14ac:dyDescent="0.35">
      <c r="A1342" s="3">
        <v>103405553</v>
      </c>
      <c r="B1342" s="3" t="s">
        <v>3152</v>
      </c>
      <c r="C1342" s="3" t="str">
        <f t="shared" si="42"/>
        <v>2022-07-06</v>
      </c>
      <c r="D1342" s="3" t="s">
        <v>9</v>
      </c>
      <c r="E1342" s="3" t="s">
        <v>5</v>
      </c>
      <c r="F1342" s="3" t="s">
        <v>10</v>
      </c>
      <c r="G1342" s="3" t="s">
        <v>3153</v>
      </c>
      <c r="H1342" s="3" t="s">
        <v>22</v>
      </c>
      <c r="I1342" s="3">
        <v>269</v>
      </c>
      <c r="J1342" s="3" t="s">
        <v>11</v>
      </c>
      <c r="K1342" t="e">
        <f>MATCH(A1342,Database!$A$2:$A$948,0)</f>
        <v>#N/A</v>
      </c>
      <c r="L1342" t="e">
        <f>VLOOKUP(A1342,Database!$A$2:$I$948,4,0)</f>
        <v>#N/A</v>
      </c>
      <c r="M1342" t="e">
        <f t="shared" si="43"/>
        <v>#N/A</v>
      </c>
      <c r="N1342" t="e">
        <f>VLOOKUP(A1342,Database!$A$2:$I$948,5,0)</f>
        <v>#N/A</v>
      </c>
    </row>
    <row r="1343" spans="1:14" hidden="1" x14ac:dyDescent="0.35">
      <c r="A1343" s="3">
        <v>103405551</v>
      </c>
      <c r="B1343" s="3" t="s">
        <v>3154</v>
      </c>
      <c r="C1343" s="3" t="str">
        <f t="shared" si="42"/>
        <v>2022-07-06</v>
      </c>
      <c r="D1343" s="3" t="s">
        <v>9</v>
      </c>
      <c r="E1343" s="3" t="s">
        <v>5</v>
      </c>
      <c r="F1343" s="3" t="s">
        <v>10</v>
      </c>
      <c r="G1343" s="3" t="s">
        <v>3155</v>
      </c>
      <c r="H1343" s="3" t="s">
        <v>3156</v>
      </c>
      <c r="I1343" s="3">
        <v>748.5</v>
      </c>
      <c r="J1343" s="3" t="s">
        <v>11</v>
      </c>
      <c r="K1343" t="e">
        <f>MATCH(A1343,Database!$A$2:$A$948,0)</f>
        <v>#N/A</v>
      </c>
      <c r="L1343" t="e">
        <f>VLOOKUP(A1343,Database!$A$2:$I$948,4,0)</f>
        <v>#N/A</v>
      </c>
      <c r="M1343" t="e">
        <f t="shared" si="43"/>
        <v>#N/A</v>
      </c>
      <c r="N1343" t="e">
        <f>VLOOKUP(A1343,Database!$A$2:$I$948,5,0)</f>
        <v>#N/A</v>
      </c>
    </row>
    <row r="1344" spans="1:14" hidden="1" x14ac:dyDescent="0.35">
      <c r="A1344" s="3">
        <v>103405433</v>
      </c>
      <c r="B1344" s="3" t="s">
        <v>3157</v>
      </c>
      <c r="C1344" s="3" t="str">
        <f t="shared" si="42"/>
        <v>2022-07-06</v>
      </c>
      <c r="D1344" s="3" t="s">
        <v>9</v>
      </c>
      <c r="E1344" s="3" t="s">
        <v>5</v>
      </c>
      <c r="F1344" s="3" t="s">
        <v>10</v>
      </c>
      <c r="G1344" s="3" t="s">
        <v>3158</v>
      </c>
      <c r="H1344" s="3" t="s">
        <v>3159</v>
      </c>
      <c r="I1344" s="4">
        <v>1994.05</v>
      </c>
      <c r="J1344" s="3" t="s">
        <v>11</v>
      </c>
      <c r="K1344" t="e">
        <f>MATCH(A1344,Database!$A$2:$A$948,0)</f>
        <v>#N/A</v>
      </c>
      <c r="L1344" t="e">
        <f>VLOOKUP(A1344,Database!$A$2:$I$948,4,0)</f>
        <v>#N/A</v>
      </c>
      <c r="M1344" t="e">
        <f t="shared" si="43"/>
        <v>#N/A</v>
      </c>
      <c r="N1344" t="e">
        <f>VLOOKUP(A1344,Database!$A$2:$I$948,5,0)</f>
        <v>#N/A</v>
      </c>
    </row>
    <row r="1345" spans="1:14" hidden="1" x14ac:dyDescent="0.35">
      <c r="A1345" s="3">
        <v>103405550</v>
      </c>
      <c r="B1345" s="3" t="s">
        <v>3160</v>
      </c>
      <c r="C1345" s="3" t="str">
        <f t="shared" si="42"/>
        <v>2022-07-06</v>
      </c>
      <c r="D1345" s="3" t="s">
        <v>9</v>
      </c>
      <c r="E1345" s="3" t="s">
        <v>5</v>
      </c>
      <c r="F1345" s="3" t="s">
        <v>10</v>
      </c>
      <c r="G1345" s="3" t="s">
        <v>3161</v>
      </c>
      <c r="H1345" s="3" t="s">
        <v>3162</v>
      </c>
      <c r="I1345" s="4">
        <v>1310.05</v>
      </c>
      <c r="J1345" s="3" t="s">
        <v>11</v>
      </c>
      <c r="K1345" t="e">
        <f>MATCH(A1345,Database!$A$2:$A$948,0)</f>
        <v>#N/A</v>
      </c>
      <c r="L1345" t="e">
        <f>VLOOKUP(A1345,Database!$A$2:$I$948,4,0)</f>
        <v>#N/A</v>
      </c>
      <c r="M1345" t="e">
        <f t="shared" si="43"/>
        <v>#N/A</v>
      </c>
      <c r="N1345" t="e">
        <f>VLOOKUP(A1345,Database!$A$2:$I$948,5,0)</f>
        <v>#N/A</v>
      </c>
    </row>
    <row r="1346" spans="1:14" hidden="1" x14ac:dyDescent="0.35">
      <c r="A1346" s="3">
        <v>103405549</v>
      </c>
      <c r="B1346" s="3" t="s">
        <v>3163</v>
      </c>
      <c r="C1346" s="3" t="str">
        <f t="shared" si="42"/>
        <v>2022-07-06</v>
      </c>
      <c r="D1346" s="3" t="s">
        <v>9</v>
      </c>
      <c r="E1346" s="3" t="s">
        <v>5</v>
      </c>
      <c r="F1346" s="3" t="s">
        <v>10</v>
      </c>
      <c r="G1346" s="3" t="s">
        <v>3164</v>
      </c>
      <c r="H1346" s="3" t="s">
        <v>3165</v>
      </c>
      <c r="I1346" s="4">
        <v>1196.05</v>
      </c>
      <c r="J1346" s="3" t="s">
        <v>11</v>
      </c>
      <c r="K1346" t="e">
        <f>MATCH(A1346,Database!$A$2:$A$948,0)</f>
        <v>#N/A</v>
      </c>
      <c r="L1346" t="e">
        <f>VLOOKUP(A1346,Database!$A$2:$I$948,4,0)</f>
        <v>#N/A</v>
      </c>
      <c r="M1346" t="e">
        <f t="shared" si="43"/>
        <v>#N/A</v>
      </c>
      <c r="N1346" t="e">
        <f>VLOOKUP(A1346,Database!$A$2:$I$948,5,0)</f>
        <v>#N/A</v>
      </c>
    </row>
    <row r="1347" spans="1:14" hidden="1" x14ac:dyDescent="0.35">
      <c r="A1347" s="3">
        <v>103405547</v>
      </c>
      <c r="B1347" s="3" t="s">
        <v>3166</v>
      </c>
      <c r="C1347" s="3" t="str">
        <f t="shared" ref="C1347:C1410" si="44">LEFT(B1347,FIND("T",B1347)-1)</f>
        <v>2022-07-06</v>
      </c>
      <c r="D1347" s="3" t="s">
        <v>9</v>
      </c>
      <c r="E1347" s="3" t="s">
        <v>5</v>
      </c>
      <c r="F1347" s="3" t="s">
        <v>12</v>
      </c>
      <c r="G1347" s="3" t="s">
        <v>2515</v>
      </c>
      <c r="H1347" s="3" t="s">
        <v>3167</v>
      </c>
      <c r="I1347" s="5">
        <v>4199</v>
      </c>
      <c r="J1347" s="3" t="s">
        <v>11</v>
      </c>
      <c r="K1347" t="e">
        <f>MATCH(A1347,Database!$A$2:$A$948,0)</f>
        <v>#N/A</v>
      </c>
      <c r="L1347" t="e">
        <f>VLOOKUP(A1347,Database!$A$2:$I$948,4,0)</f>
        <v>#N/A</v>
      </c>
      <c r="M1347" t="e">
        <f t="shared" si="43"/>
        <v>#N/A</v>
      </c>
      <c r="N1347" t="e">
        <f>VLOOKUP(A1347,Database!$A$2:$I$948,5,0)</f>
        <v>#N/A</v>
      </c>
    </row>
    <row r="1348" spans="1:14" hidden="1" x14ac:dyDescent="0.35">
      <c r="A1348" s="3">
        <v>103405538</v>
      </c>
      <c r="B1348" s="3" t="s">
        <v>3168</v>
      </c>
      <c r="C1348" s="3" t="str">
        <f t="shared" si="44"/>
        <v>2022-07-06</v>
      </c>
      <c r="D1348" s="3" t="s">
        <v>9</v>
      </c>
      <c r="E1348" s="3" t="s">
        <v>5</v>
      </c>
      <c r="F1348" s="3" t="s">
        <v>10</v>
      </c>
      <c r="G1348" s="3" t="s">
        <v>3169</v>
      </c>
      <c r="H1348" s="3" t="s">
        <v>3170</v>
      </c>
      <c r="I1348" s="4">
        <v>1661.55</v>
      </c>
      <c r="J1348" s="3" t="s">
        <v>11</v>
      </c>
      <c r="K1348" t="e">
        <f>MATCH(A1348,Database!$A$2:$A$948,0)</f>
        <v>#N/A</v>
      </c>
      <c r="L1348" t="e">
        <f>VLOOKUP(A1348,Database!$A$2:$I$948,4,0)</f>
        <v>#N/A</v>
      </c>
      <c r="M1348" t="e">
        <f t="shared" si="43"/>
        <v>#N/A</v>
      </c>
      <c r="N1348" t="e">
        <f>VLOOKUP(A1348,Database!$A$2:$I$948,5,0)</f>
        <v>#N/A</v>
      </c>
    </row>
    <row r="1349" spans="1:14" hidden="1" x14ac:dyDescent="0.35">
      <c r="A1349" s="3">
        <v>103405532</v>
      </c>
      <c r="B1349" s="3" t="s">
        <v>3171</v>
      </c>
      <c r="C1349" s="3" t="str">
        <f t="shared" si="44"/>
        <v>2022-07-06</v>
      </c>
      <c r="D1349" s="3" t="s">
        <v>9</v>
      </c>
      <c r="E1349" s="3" t="s">
        <v>5</v>
      </c>
      <c r="F1349" s="3" t="s">
        <v>10</v>
      </c>
      <c r="G1349" s="3" t="s">
        <v>3147</v>
      </c>
      <c r="H1349" s="3" t="s">
        <v>3148</v>
      </c>
      <c r="I1349" s="3">
        <v>279</v>
      </c>
      <c r="J1349" s="3" t="s">
        <v>11</v>
      </c>
      <c r="K1349" t="e">
        <f>MATCH(A1349,Database!$A$2:$A$948,0)</f>
        <v>#N/A</v>
      </c>
      <c r="L1349" t="e">
        <f>VLOOKUP(A1349,Database!$A$2:$I$948,4,0)</f>
        <v>#N/A</v>
      </c>
      <c r="M1349" t="e">
        <f t="shared" si="43"/>
        <v>#N/A</v>
      </c>
      <c r="N1349" t="e">
        <f>VLOOKUP(A1349,Database!$A$2:$I$948,5,0)</f>
        <v>#N/A</v>
      </c>
    </row>
    <row r="1350" spans="1:14" hidden="1" x14ac:dyDescent="0.35">
      <c r="A1350" s="3">
        <v>103405421</v>
      </c>
      <c r="B1350" s="3" t="s">
        <v>3172</v>
      </c>
      <c r="C1350" s="3" t="str">
        <f t="shared" si="44"/>
        <v>2022-07-06</v>
      </c>
      <c r="D1350" s="3" t="s">
        <v>9</v>
      </c>
      <c r="E1350" s="3" t="s">
        <v>5</v>
      </c>
      <c r="F1350" s="3" t="s">
        <v>10</v>
      </c>
      <c r="G1350" s="3" t="s">
        <v>3173</v>
      </c>
      <c r="H1350" s="3" t="s">
        <v>3174</v>
      </c>
      <c r="I1350" s="3">
        <v>474.05</v>
      </c>
      <c r="J1350" s="3" t="s">
        <v>11</v>
      </c>
      <c r="K1350" t="e">
        <f>MATCH(A1350,Database!$A$2:$A$948,0)</f>
        <v>#N/A</v>
      </c>
      <c r="L1350" t="e">
        <f>VLOOKUP(A1350,Database!$A$2:$I$948,4,0)</f>
        <v>#N/A</v>
      </c>
      <c r="M1350" t="e">
        <f t="shared" si="43"/>
        <v>#N/A</v>
      </c>
      <c r="N1350" t="e">
        <f>VLOOKUP(A1350,Database!$A$2:$I$948,5,0)</f>
        <v>#N/A</v>
      </c>
    </row>
    <row r="1351" spans="1:14" hidden="1" x14ac:dyDescent="0.35">
      <c r="A1351" s="3">
        <v>103405420</v>
      </c>
      <c r="B1351" s="3" t="s">
        <v>3175</v>
      </c>
      <c r="C1351" s="3" t="str">
        <f t="shared" si="44"/>
        <v>2022-07-06</v>
      </c>
      <c r="D1351" s="3" t="s">
        <v>9</v>
      </c>
      <c r="E1351" s="3" t="s">
        <v>5</v>
      </c>
      <c r="F1351" s="3" t="s">
        <v>10</v>
      </c>
      <c r="G1351" s="3" t="s">
        <v>3176</v>
      </c>
      <c r="H1351" s="3" t="s">
        <v>3177</v>
      </c>
      <c r="I1351" s="4">
        <v>4872.6000000000004</v>
      </c>
      <c r="J1351" s="3" t="s">
        <v>11</v>
      </c>
      <c r="K1351" t="e">
        <f>MATCH(A1351,Database!$A$2:$A$948,0)</f>
        <v>#N/A</v>
      </c>
      <c r="L1351" t="e">
        <f>VLOOKUP(A1351,Database!$A$2:$I$948,4,0)</f>
        <v>#N/A</v>
      </c>
      <c r="M1351" t="e">
        <f t="shared" si="43"/>
        <v>#N/A</v>
      </c>
      <c r="N1351" t="e">
        <f>VLOOKUP(A1351,Database!$A$2:$I$948,5,0)</f>
        <v>#N/A</v>
      </c>
    </row>
    <row r="1352" spans="1:14" hidden="1" x14ac:dyDescent="0.35">
      <c r="A1352" s="3">
        <v>103405531</v>
      </c>
      <c r="B1352" s="3" t="s">
        <v>3178</v>
      </c>
      <c r="C1352" s="3" t="str">
        <f t="shared" si="44"/>
        <v>2022-07-06</v>
      </c>
      <c r="D1352" s="3" t="s">
        <v>9</v>
      </c>
      <c r="E1352" s="3" t="s">
        <v>5</v>
      </c>
      <c r="F1352" s="3" t="s">
        <v>10</v>
      </c>
      <c r="G1352" s="3" t="s">
        <v>3179</v>
      </c>
      <c r="H1352" s="3" t="s">
        <v>3180</v>
      </c>
      <c r="I1352" s="4">
        <v>1835.68</v>
      </c>
      <c r="J1352" s="3" t="s">
        <v>11</v>
      </c>
      <c r="K1352" t="e">
        <f>MATCH(A1352,Database!$A$2:$A$948,0)</f>
        <v>#N/A</v>
      </c>
      <c r="L1352" t="e">
        <f>VLOOKUP(A1352,Database!$A$2:$I$948,4,0)</f>
        <v>#N/A</v>
      </c>
      <c r="M1352" t="e">
        <f t="shared" si="43"/>
        <v>#N/A</v>
      </c>
      <c r="N1352" t="e">
        <f>VLOOKUP(A1352,Database!$A$2:$I$948,5,0)</f>
        <v>#N/A</v>
      </c>
    </row>
    <row r="1353" spans="1:14" hidden="1" x14ac:dyDescent="0.35">
      <c r="A1353" s="3">
        <v>103405419</v>
      </c>
      <c r="B1353" s="3" t="s">
        <v>3181</v>
      </c>
      <c r="C1353" s="3" t="str">
        <f t="shared" si="44"/>
        <v>2022-07-06</v>
      </c>
      <c r="D1353" s="3" t="s">
        <v>9</v>
      </c>
      <c r="E1353" s="3" t="s">
        <v>5</v>
      </c>
      <c r="F1353" s="3" t="s">
        <v>12</v>
      </c>
      <c r="G1353" s="3" t="s">
        <v>3182</v>
      </c>
      <c r="H1353" s="3" t="s">
        <v>3183</v>
      </c>
      <c r="I1353" s="5">
        <v>8398</v>
      </c>
      <c r="J1353" s="3" t="s">
        <v>11</v>
      </c>
      <c r="K1353" t="e">
        <f>MATCH(A1353,Database!$A$2:$A$948,0)</f>
        <v>#N/A</v>
      </c>
      <c r="L1353" t="e">
        <f>VLOOKUP(A1353,Database!$A$2:$I$948,4,0)</f>
        <v>#N/A</v>
      </c>
      <c r="M1353" t="e">
        <f t="shared" si="43"/>
        <v>#N/A</v>
      </c>
      <c r="N1353" t="e">
        <f>VLOOKUP(A1353,Database!$A$2:$I$948,5,0)</f>
        <v>#N/A</v>
      </c>
    </row>
    <row r="1354" spans="1:14" hidden="1" x14ac:dyDescent="0.35">
      <c r="A1354" s="3">
        <v>103405528</v>
      </c>
      <c r="B1354" s="3" t="s">
        <v>3184</v>
      </c>
      <c r="C1354" s="3" t="str">
        <f t="shared" si="44"/>
        <v>2022-07-06</v>
      </c>
      <c r="D1354" s="3" t="s">
        <v>9</v>
      </c>
      <c r="E1354" s="3" t="s">
        <v>5</v>
      </c>
      <c r="F1354" s="3" t="s">
        <v>10</v>
      </c>
      <c r="G1354" s="3" t="s">
        <v>1114</v>
      </c>
      <c r="H1354" s="3" t="s">
        <v>3185</v>
      </c>
      <c r="I1354" s="5">
        <v>3849</v>
      </c>
      <c r="J1354" s="3" t="s">
        <v>11</v>
      </c>
      <c r="K1354" t="e">
        <f>MATCH(A1354,Database!$A$2:$A$948,0)</f>
        <v>#N/A</v>
      </c>
      <c r="L1354" t="e">
        <f>VLOOKUP(A1354,Database!$A$2:$I$948,4,0)</f>
        <v>#N/A</v>
      </c>
      <c r="M1354" t="e">
        <f t="shared" si="43"/>
        <v>#N/A</v>
      </c>
      <c r="N1354" t="e">
        <f>VLOOKUP(A1354,Database!$A$2:$I$948,5,0)</f>
        <v>#N/A</v>
      </c>
    </row>
    <row r="1355" spans="1:14" hidden="1" x14ac:dyDescent="0.35">
      <c r="A1355" s="3">
        <v>103405416</v>
      </c>
      <c r="B1355" s="3" t="s">
        <v>3186</v>
      </c>
      <c r="C1355" s="3" t="str">
        <f t="shared" si="44"/>
        <v>2022-07-06</v>
      </c>
      <c r="D1355" s="3" t="s">
        <v>9</v>
      </c>
      <c r="E1355" s="3" t="s">
        <v>5</v>
      </c>
      <c r="F1355" s="3" t="s">
        <v>10</v>
      </c>
      <c r="G1355" s="3" t="s">
        <v>3187</v>
      </c>
      <c r="H1355" s="3" t="s">
        <v>3188</v>
      </c>
      <c r="I1355" s="5">
        <v>3599</v>
      </c>
      <c r="J1355" s="3" t="s">
        <v>11</v>
      </c>
      <c r="K1355" t="e">
        <f>MATCH(A1355,Database!$A$2:$A$948,0)</f>
        <v>#N/A</v>
      </c>
      <c r="L1355" t="e">
        <f>VLOOKUP(A1355,Database!$A$2:$I$948,4,0)</f>
        <v>#N/A</v>
      </c>
      <c r="M1355" t="e">
        <f t="shared" si="43"/>
        <v>#N/A</v>
      </c>
      <c r="N1355" t="e">
        <f>VLOOKUP(A1355,Database!$A$2:$I$948,5,0)</f>
        <v>#N/A</v>
      </c>
    </row>
    <row r="1356" spans="1:14" hidden="1" x14ac:dyDescent="0.35">
      <c r="A1356" s="3">
        <v>103405415</v>
      </c>
      <c r="B1356" s="3" t="s">
        <v>3189</v>
      </c>
      <c r="C1356" s="3" t="str">
        <f t="shared" si="44"/>
        <v>2022-07-06</v>
      </c>
      <c r="D1356" s="3" t="s">
        <v>9</v>
      </c>
      <c r="E1356" s="3" t="s">
        <v>5</v>
      </c>
      <c r="F1356" s="3" t="s">
        <v>10</v>
      </c>
      <c r="G1356" s="3" t="s">
        <v>3190</v>
      </c>
      <c r="H1356" s="3" t="s">
        <v>3191</v>
      </c>
      <c r="I1356" s="5">
        <v>1649</v>
      </c>
      <c r="J1356" s="3" t="s">
        <v>11</v>
      </c>
      <c r="K1356" t="e">
        <f>MATCH(A1356,Database!$A$2:$A$948,0)</f>
        <v>#N/A</v>
      </c>
      <c r="L1356" t="e">
        <f>VLOOKUP(A1356,Database!$A$2:$I$948,4,0)</f>
        <v>#N/A</v>
      </c>
      <c r="M1356" t="e">
        <f t="shared" ref="M1356:M1419" si="45">I1356=L1356</f>
        <v>#N/A</v>
      </c>
      <c r="N1356" t="e">
        <f>VLOOKUP(A1356,Database!$A$2:$I$948,5,0)</f>
        <v>#N/A</v>
      </c>
    </row>
    <row r="1357" spans="1:14" hidden="1" x14ac:dyDescent="0.35">
      <c r="A1357" s="3">
        <v>103405414</v>
      </c>
      <c r="B1357" s="3" t="s">
        <v>3192</v>
      </c>
      <c r="C1357" s="3" t="str">
        <f t="shared" si="44"/>
        <v>2022-07-06</v>
      </c>
      <c r="D1357" s="3" t="s">
        <v>9</v>
      </c>
      <c r="E1357" s="3" t="s">
        <v>5</v>
      </c>
      <c r="F1357" s="3" t="s">
        <v>10</v>
      </c>
      <c r="G1357" s="3" t="s">
        <v>3193</v>
      </c>
      <c r="H1357" s="3" t="s">
        <v>3194</v>
      </c>
      <c r="I1357" s="5">
        <v>4199</v>
      </c>
      <c r="J1357" s="3" t="s">
        <v>11</v>
      </c>
      <c r="K1357" t="e">
        <f>MATCH(A1357,Database!$A$2:$A$948,0)</f>
        <v>#N/A</v>
      </c>
      <c r="L1357" t="e">
        <f>VLOOKUP(A1357,Database!$A$2:$I$948,4,0)</f>
        <v>#N/A</v>
      </c>
      <c r="M1357" t="e">
        <f t="shared" si="45"/>
        <v>#N/A</v>
      </c>
      <c r="N1357" t="e">
        <f>VLOOKUP(A1357,Database!$A$2:$I$948,5,0)</f>
        <v>#N/A</v>
      </c>
    </row>
    <row r="1358" spans="1:14" hidden="1" x14ac:dyDescent="0.35">
      <c r="A1358" s="3">
        <v>103405523</v>
      </c>
      <c r="B1358" s="3" t="s">
        <v>3195</v>
      </c>
      <c r="C1358" s="3" t="str">
        <f t="shared" si="44"/>
        <v>2022-07-06</v>
      </c>
      <c r="D1358" s="3" t="s">
        <v>9</v>
      </c>
      <c r="E1358" s="3" t="s">
        <v>5</v>
      </c>
      <c r="F1358" s="3" t="s">
        <v>10</v>
      </c>
      <c r="G1358" s="3" t="s">
        <v>3196</v>
      </c>
      <c r="H1358" s="3" t="s">
        <v>3197</v>
      </c>
      <c r="I1358" s="4">
        <v>2564.14</v>
      </c>
      <c r="J1358" s="3" t="s">
        <v>11</v>
      </c>
      <c r="K1358" t="e">
        <f>MATCH(A1358,Database!$A$2:$A$948,0)</f>
        <v>#N/A</v>
      </c>
      <c r="L1358" t="e">
        <f>VLOOKUP(A1358,Database!$A$2:$I$948,4,0)</f>
        <v>#N/A</v>
      </c>
      <c r="M1358" t="e">
        <f t="shared" si="45"/>
        <v>#N/A</v>
      </c>
      <c r="N1358" t="e">
        <f>VLOOKUP(A1358,Database!$A$2:$I$948,5,0)</f>
        <v>#N/A</v>
      </c>
    </row>
    <row r="1359" spans="1:14" hidden="1" x14ac:dyDescent="0.35">
      <c r="A1359" s="3">
        <v>103405411</v>
      </c>
      <c r="B1359" s="3" t="s">
        <v>3198</v>
      </c>
      <c r="C1359" s="3" t="str">
        <f t="shared" si="44"/>
        <v>2022-07-06</v>
      </c>
      <c r="D1359" s="3" t="s">
        <v>9</v>
      </c>
      <c r="E1359" s="3" t="s">
        <v>5</v>
      </c>
      <c r="F1359" s="3" t="s">
        <v>10</v>
      </c>
      <c r="G1359" s="3" t="s">
        <v>3199</v>
      </c>
      <c r="H1359" s="3" t="s">
        <v>3200</v>
      </c>
      <c r="I1359" s="5">
        <v>1199</v>
      </c>
      <c r="J1359" s="3" t="s">
        <v>11</v>
      </c>
      <c r="K1359" t="e">
        <f>MATCH(A1359,Database!$A$2:$A$948,0)</f>
        <v>#N/A</v>
      </c>
      <c r="L1359" t="e">
        <f>VLOOKUP(A1359,Database!$A$2:$I$948,4,0)</f>
        <v>#N/A</v>
      </c>
      <c r="M1359" t="e">
        <f t="shared" si="45"/>
        <v>#N/A</v>
      </c>
      <c r="N1359" t="e">
        <f>VLOOKUP(A1359,Database!$A$2:$I$948,5,0)</f>
        <v>#N/A</v>
      </c>
    </row>
    <row r="1360" spans="1:14" hidden="1" x14ac:dyDescent="0.35">
      <c r="A1360" s="3">
        <v>103405410</v>
      </c>
      <c r="B1360" s="3" t="s">
        <v>3201</v>
      </c>
      <c r="C1360" s="3" t="str">
        <f t="shared" si="44"/>
        <v>2022-07-06</v>
      </c>
      <c r="D1360" s="3" t="s">
        <v>9</v>
      </c>
      <c r="E1360" s="3" t="s">
        <v>5</v>
      </c>
      <c r="F1360" s="3" t="s">
        <v>10</v>
      </c>
      <c r="G1360" s="3" t="s">
        <v>3202</v>
      </c>
      <c r="H1360" s="3" t="s">
        <v>3203</v>
      </c>
      <c r="I1360" s="5">
        <v>3249</v>
      </c>
      <c r="J1360" s="3" t="s">
        <v>11</v>
      </c>
      <c r="K1360" t="e">
        <f>MATCH(A1360,Database!$A$2:$A$948,0)</f>
        <v>#N/A</v>
      </c>
      <c r="L1360" t="e">
        <f>VLOOKUP(A1360,Database!$A$2:$I$948,4,0)</f>
        <v>#N/A</v>
      </c>
      <c r="M1360" t="e">
        <f t="shared" si="45"/>
        <v>#N/A</v>
      </c>
      <c r="N1360" t="e">
        <f>VLOOKUP(A1360,Database!$A$2:$I$948,5,0)</f>
        <v>#N/A</v>
      </c>
    </row>
    <row r="1361" spans="1:14" hidden="1" x14ac:dyDescent="0.35">
      <c r="A1361" s="3">
        <v>103405409</v>
      </c>
      <c r="B1361" s="3" t="s">
        <v>3204</v>
      </c>
      <c r="C1361" s="3" t="str">
        <f t="shared" si="44"/>
        <v>2022-07-06</v>
      </c>
      <c r="D1361" s="3" t="s">
        <v>9</v>
      </c>
      <c r="E1361" s="3" t="s">
        <v>5</v>
      </c>
      <c r="F1361" s="3" t="s">
        <v>10</v>
      </c>
      <c r="G1361" s="3" t="s">
        <v>3205</v>
      </c>
      <c r="H1361" s="3" t="s">
        <v>3206</v>
      </c>
      <c r="I1361" s="4">
        <v>5556.55</v>
      </c>
      <c r="J1361" s="3" t="s">
        <v>11</v>
      </c>
      <c r="K1361" t="e">
        <f>MATCH(A1361,Database!$A$2:$A$948,0)</f>
        <v>#N/A</v>
      </c>
      <c r="L1361" t="e">
        <f>VLOOKUP(A1361,Database!$A$2:$I$948,4,0)</f>
        <v>#N/A</v>
      </c>
      <c r="M1361" t="e">
        <f t="shared" si="45"/>
        <v>#N/A</v>
      </c>
      <c r="N1361" t="e">
        <f>VLOOKUP(A1361,Database!$A$2:$I$948,5,0)</f>
        <v>#N/A</v>
      </c>
    </row>
    <row r="1362" spans="1:14" hidden="1" x14ac:dyDescent="0.35">
      <c r="A1362" s="3">
        <v>103405408</v>
      </c>
      <c r="B1362" s="3" t="s">
        <v>3207</v>
      </c>
      <c r="C1362" s="3" t="str">
        <f t="shared" si="44"/>
        <v>2022-07-06</v>
      </c>
      <c r="D1362" s="3" t="s">
        <v>9</v>
      </c>
      <c r="E1362" s="3" t="s">
        <v>5</v>
      </c>
      <c r="F1362" s="3" t="s">
        <v>10</v>
      </c>
      <c r="G1362" s="3" t="s">
        <v>3208</v>
      </c>
      <c r="H1362" s="3" t="s">
        <v>3209</v>
      </c>
      <c r="I1362" s="3">
        <v>616.54999999999995</v>
      </c>
      <c r="J1362" s="3" t="s">
        <v>11</v>
      </c>
      <c r="K1362" t="e">
        <f>MATCH(A1362,Database!$A$2:$A$948,0)</f>
        <v>#N/A</v>
      </c>
      <c r="L1362" t="e">
        <f>VLOOKUP(A1362,Database!$A$2:$I$948,4,0)</f>
        <v>#N/A</v>
      </c>
      <c r="M1362" t="e">
        <f t="shared" si="45"/>
        <v>#N/A</v>
      </c>
      <c r="N1362" t="e">
        <f>VLOOKUP(A1362,Database!$A$2:$I$948,5,0)</f>
        <v>#N/A</v>
      </c>
    </row>
    <row r="1363" spans="1:14" hidden="1" x14ac:dyDescent="0.35">
      <c r="A1363" s="3">
        <v>103405519</v>
      </c>
      <c r="B1363" s="3" t="s">
        <v>3210</v>
      </c>
      <c r="C1363" s="3" t="str">
        <f t="shared" si="44"/>
        <v>2022-07-06</v>
      </c>
      <c r="D1363" s="3" t="s">
        <v>9</v>
      </c>
      <c r="E1363" s="3" t="s">
        <v>5</v>
      </c>
      <c r="F1363" s="3" t="s">
        <v>10</v>
      </c>
      <c r="G1363" s="3" t="s">
        <v>1001</v>
      </c>
      <c r="H1363" s="3" t="s">
        <v>1002</v>
      </c>
      <c r="I1363" s="5">
        <v>1399</v>
      </c>
      <c r="J1363" s="3" t="s">
        <v>11</v>
      </c>
      <c r="K1363" t="e">
        <f>MATCH(A1363,Database!$A$2:$A$948,0)</f>
        <v>#N/A</v>
      </c>
      <c r="L1363" t="e">
        <f>VLOOKUP(A1363,Database!$A$2:$I$948,4,0)</f>
        <v>#N/A</v>
      </c>
      <c r="M1363" t="e">
        <f t="shared" si="45"/>
        <v>#N/A</v>
      </c>
      <c r="N1363" t="e">
        <f>VLOOKUP(A1363,Database!$A$2:$I$948,5,0)</f>
        <v>#N/A</v>
      </c>
    </row>
    <row r="1364" spans="1:14" hidden="1" x14ac:dyDescent="0.35">
      <c r="A1364" s="3">
        <v>103405407</v>
      </c>
      <c r="B1364" s="3" t="s">
        <v>3211</v>
      </c>
      <c r="C1364" s="3" t="str">
        <f t="shared" si="44"/>
        <v>2022-07-06</v>
      </c>
      <c r="D1364" s="3" t="s">
        <v>9</v>
      </c>
      <c r="E1364" s="3" t="s">
        <v>5</v>
      </c>
      <c r="F1364" s="3" t="s">
        <v>10</v>
      </c>
      <c r="G1364" s="3" t="s">
        <v>3212</v>
      </c>
      <c r="H1364" s="3" t="s">
        <v>3213</v>
      </c>
      <c r="I1364" s="4">
        <v>3656.55</v>
      </c>
      <c r="J1364" s="3" t="s">
        <v>11</v>
      </c>
      <c r="K1364" t="e">
        <f>MATCH(A1364,Database!$A$2:$A$948,0)</f>
        <v>#N/A</v>
      </c>
      <c r="L1364" t="e">
        <f>VLOOKUP(A1364,Database!$A$2:$I$948,4,0)</f>
        <v>#N/A</v>
      </c>
      <c r="M1364" t="e">
        <f t="shared" si="45"/>
        <v>#N/A</v>
      </c>
      <c r="N1364" t="e">
        <f>VLOOKUP(A1364,Database!$A$2:$I$948,5,0)</f>
        <v>#N/A</v>
      </c>
    </row>
    <row r="1365" spans="1:14" hidden="1" x14ac:dyDescent="0.35">
      <c r="A1365" s="3">
        <v>103405405</v>
      </c>
      <c r="B1365" s="3" t="s">
        <v>3214</v>
      </c>
      <c r="C1365" s="3" t="str">
        <f t="shared" si="44"/>
        <v>2022-07-06</v>
      </c>
      <c r="D1365" s="3" t="s">
        <v>9</v>
      </c>
      <c r="E1365" s="3" t="s">
        <v>5</v>
      </c>
      <c r="F1365" s="3" t="s">
        <v>10</v>
      </c>
      <c r="G1365" s="3" t="s">
        <v>3215</v>
      </c>
      <c r="H1365" s="3" t="s">
        <v>3216</v>
      </c>
      <c r="I1365" s="4">
        <v>3656.55</v>
      </c>
      <c r="J1365" s="3" t="s">
        <v>11</v>
      </c>
      <c r="K1365" t="e">
        <f>MATCH(A1365,Database!$A$2:$A$948,0)</f>
        <v>#N/A</v>
      </c>
      <c r="L1365" t="e">
        <f>VLOOKUP(A1365,Database!$A$2:$I$948,4,0)</f>
        <v>#N/A</v>
      </c>
      <c r="M1365" t="e">
        <f t="shared" si="45"/>
        <v>#N/A</v>
      </c>
      <c r="N1365" t="e">
        <f>VLOOKUP(A1365,Database!$A$2:$I$948,5,0)</f>
        <v>#N/A</v>
      </c>
    </row>
    <row r="1366" spans="1:14" hidden="1" x14ac:dyDescent="0.35">
      <c r="A1366" s="3">
        <v>103405404</v>
      </c>
      <c r="B1366" s="3" t="s">
        <v>3217</v>
      </c>
      <c r="C1366" s="3" t="str">
        <f t="shared" si="44"/>
        <v>2022-07-06</v>
      </c>
      <c r="D1366" s="3" t="s">
        <v>9</v>
      </c>
      <c r="E1366" s="3" t="s">
        <v>5</v>
      </c>
      <c r="F1366" s="3" t="s">
        <v>10</v>
      </c>
      <c r="G1366" s="3" t="s">
        <v>3218</v>
      </c>
      <c r="H1366" s="3" t="s">
        <v>3219</v>
      </c>
      <c r="I1366" s="4">
        <v>3799.05</v>
      </c>
      <c r="J1366" s="3" t="s">
        <v>11</v>
      </c>
      <c r="K1366" t="e">
        <f>MATCH(A1366,Database!$A$2:$A$948,0)</f>
        <v>#N/A</v>
      </c>
      <c r="L1366" t="e">
        <f>VLOOKUP(A1366,Database!$A$2:$I$948,4,0)</f>
        <v>#N/A</v>
      </c>
      <c r="M1366" t="e">
        <f t="shared" si="45"/>
        <v>#N/A</v>
      </c>
      <c r="N1366" t="e">
        <f>VLOOKUP(A1366,Database!$A$2:$I$948,5,0)</f>
        <v>#N/A</v>
      </c>
    </row>
    <row r="1367" spans="1:14" hidden="1" x14ac:dyDescent="0.35">
      <c r="A1367" s="3">
        <v>103405509</v>
      </c>
      <c r="B1367" s="3" t="s">
        <v>3220</v>
      </c>
      <c r="C1367" s="3" t="str">
        <f t="shared" si="44"/>
        <v>2022-07-06</v>
      </c>
      <c r="D1367" s="3" t="s">
        <v>9</v>
      </c>
      <c r="E1367" s="3" t="s">
        <v>5</v>
      </c>
      <c r="F1367" s="3" t="s">
        <v>10</v>
      </c>
      <c r="G1367" s="3" t="s">
        <v>3221</v>
      </c>
      <c r="H1367" s="3" t="s">
        <v>3222</v>
      </c>
      <c r="I1367" s="5">
        <v>5199</v>
      </c>
      <c r="J1367" s="3" t="s">
        <v>11</v>
      </c>
      <c r="K1367" t="e">
        <f>MATCH(A1367,Database!$A$2:$A$948,0)</f>
        <v>#N/A</v>
      </c>
      <c r="L1367" t="e">
        <f>VLOOKUP(A1367,Database!$A$2:$I$948,4,0)</f>
        <v>#N/A</v>
      </c>
      <c r="M1367" t="e">
        <f t="shared" si="45"/>
        <v>#N/A</v>
      </c>
      <c r="N1367" t="e">
        <f>VLOOKUP(A1367,Database!$A$2:$I$948,5,0)</f>
        <v>#N/A</v>
      </c>
    </row>
    <row r="1368" spans="1:14" hidden="1" x14ac:dyDescent="0.35">
      <c r="A1368" s="3">
        <v>103405508</v>
      </c>
      <c r="B1368" s="3" t="s">
        <v>3223</v>
      </c>
      <c r="C1368" s="3" t="str">
        <f t="shared" si="44"/>
        <v>2022-07-06</v>
      </c>
      <c r="D1368" s="3" t="s">
        <v>9</v>
      </c>
      <c r="E1368" s="3" t="s">
        <v>5</v>
      </c>
      <c r="F1368" s="3" t="s">
        <v>10</v>
      </c>
      <c r="G1368" s="3" t="s">
        <v>3224</v>
      </c>
      <c r="H1368" s="3" t="s">
        <v>3225</v>
      </c>
      <c r="I1368" s="4">
        <v>3419.14</v>
      </c>
      <c r="J1368" s="3" t="s">
        <v>11</v>
      </c>
      <c r="K1368" t="e">
        <f>MATCH(A1368,Database!$A$2:$A$948,0)</f>
        <v>#N/A</v>
      </c>
      <c r="L1368" t="e">
        <f>VLOOKUP(A1368,Database!$A$2:$I$948,4,0)</f>
        <v>#N/A</v>
      </c>
      <c r="M1368" t="e">
        <f t="shared" si="45"/>
        <v>#N/A</v>
      </c>
      <c r="N1368" t="e">
        <f>VLOOKUP(A1368,Database!$A$2:$I$948,5,0)</f>
        <v>#N/A</v>
      </c>
    </row>
    <row r="1369" spans="1:14" hidden="1" x14ac:dyDescent="0.35">
      <c r="A1369" s="3">
        <v>103405507</v>
      </c>
      <c r="B1369" s="3" t="s">
        <v>3226</v>
      </c>
      <c r="C1369" s="3" t="str">
        <f t="shared" si="44"/>
        <v>2022-07-06</v>
      </c>
      <c r="D1369" s="3" t="s">
        <v>9</v>
      </c>
      <c r="E1369" s="3" t="s">
        <v>5</v>
      </c>
      <c r="F1369" s="3" t="s">
        <v>10</v>
      </c>
      <c r="G1369" s="3" t="s">
        <v>3227</v>
      </c>
      <c r="H1369" s="3" t="s">
        <v>3228</v>
      </c>
      <c r="I1369" s="3">
        <v>359</v>
      </c>
      <c r="J1369" s="3" t="s">
        <v>11</v>
      </c>
      <c r="K1369" t="e">
        <f>MATCH(A1369,Database!$A$2:$A$948,0)</f>
        <v>#N/A</v>
      </c>
      <c r="L1369" t="e">
        <f>VLOOKUP(A1369,Database!$A$2:$I$948,4,0)</f>
        <v>#N/A</v>
      </c>
      <c r="M1369" t="e">
        <f t="shared" si="45"/>
        <v>#N/A</v>
      </c>
      <c r="N1369" t="e">
        <f>VLOOKUP(A1369,Database!$A$2:$I$948,5,0)</f>
        <v>#N/A</v>
      </c>
    </row>
    <row r="1370" spans="1:14" hidden="1" x14ac:dyDescent="0.35">
      <c r="A1370" s="3">
        <v>103405506</v>
      </c>
      <c r="B1370" s="3" t="s">
        <v>3229</v>
      </c>
      <c r="C1370" s="3" t="str">
        <f t="shared" si="44"/>
        <v>2022-07-06</v>
      </c>
      <c r="D1370" s="3" t="s">
        <v>9</v>
      </c>
      <c r="E1370" s="3" t="s">
        <v>5</v>
      </c>
      <c r="F1370" s="3" t="s">
        <v>10</v>
      </c>
      <c r="G1370" s="3" t="s">
        <v>3230</v>
      </c>
      <c r="H1370" s="3" t="s">
        <v>3231</v>
      </c>
      <c r="I1370" s="3">
        <v>489</v>
      </c>
      <c r="J1370" s="3" t="s">
        <v>11</v>
      </c>
      <c r="K1370" t="e">
        <f>MATCH(A1370,Database!$A$2:$A$948,0)</f>
        <v>#N/A</v>
      </c>
      <c r="L1370" t="e">
        <f>VLOOKUP(A1370,Database!$A$2:$I$948,4,0)</f>
        <v>#N/A</v>
      </c>
      <c r="M1370" t="e">
        <f t="shared" si="45"/>
        <v>#N/A</v>
      </c>
      <c r="N1370" t="e">
        <f>VLOOKUP(A1370,Database!$A$2:$I$948,5,0)</f>
        <v>#N/A</v>
      </c>
    </row>
    <row r="1371" spans="1:14" hidden="1" x14ac:dyDescent="0.35">
      <c r="A1371" s="3">
        <v>103405398</v>
      </c>
      <c r="B1371" s="3" t="s">
        <v>3232</v>
      </c>
      <c r="C1371" s="3" t="str">
        <f t="shared" si="44"/>
        <v>2022-07-06</v>
      </c>
      <c r="D1371" s="3" t="s">
        <v>9</v>
      </c>
      <c r="E1371" s="3" t="s">
        <v>5</v>
      </c>
      <c r="F1371" s="3" t="s">
        <v>10</v>
      </c>
      <c r="G1371" s="3" t="s">
        <v>3233</v>
      </c>
      <c r="H1371" s="3" t="s">
        <v>3234</v>
      </c>
      <c r="I1371" s="4">
        <v>4094.1</v>
      </c>
      <c r="J1371" s="3" t="s">
        <v>11</v>
      </c>
      <c r="K1371" t="e">
        <f>MATCH(A1371,Database!$A$2:$A$948,0)</f>
        <v>#N/A</v>
      </c>
      <c r="L1371" t="e">
        <f>VLOOKUP(A1371,Database!$A$2:$I$948,4,0)</f>
        <v>#N/A</v>
      </c>
      <c r="M1371" t="e">
        <f t="shared" si="45"/>
        <v>#N/A</v>
      </c>
      <c r="N1371" t="e">
        <f>VLOOKUP(A1371,Database!$A$2:$I$948,5,0)</f>
        <v>#N/A</v>
      </c>
    </row>
    <row r="1372" spans="1:14" hidden="1" x14ac:dyDescent="0.35">
      <c r="A1372" s="3">
        <v>103405397</v>
      </c>
      <c r="B1372" s="3" t="s">
        <v>3235</v>
      </c>
      <c r="C1372" s="3" t="str">
        <f t="shared" si="44"/>
        <v>2022-07-06</v>
      </c>
      <c r="D1372" s="3" t="s">
        <v>9</v>
      </c>
      <c r="E1372" s="3" t="s">
        <v>5</v>
      </c>
      <c r="F1372" s="3" t="s">
        <v>10</v>
      </c>
      <c r="G1372" s="3" t="s">
        <v>3236</v>
      </c>
      <c r="H1372" s="3" t="s">
        <v>3237</v>
      </c>
      <c r="I1372" s="4">
        <v>3656.55</v>
      </c>
      <c r="J1372" s="3" t="s">
        <v>11</v>
      </c>
      <c r="K1372" t="e">
        <f>MATCH(A1372,Database!$A$2:$A$948,0)</f>
        <v>#N/A</v>
      </c>
      <c r="L1372" t="e">
        <f>VLOOKUP(A1372,Database!$A$2:$I$948,4,0)</f>
        <v>#N/A</v>
      </c>
      <c r="M1372" t="e">
        <f t="shared" si="45"/>
        <v>#N/A</v>
      </c>
      <c r="N1372" t="e">
        <f>VLOOKUP(A1372,Database!$A$2:$I$948,5,0)</f>
        <v>#N/A</v>
      </c>
    </row>
    <row r="1373" spans="1:14" hidden="1" x14ac:dyDescent="0.35">
      <c r="A1373" s="3">
        <v>103405396</v>
      </c>
      <c r="B1373" s="3" t="s">
        <v>3238</v>
      </c>
      <c r="C1373" s="3" t="str">
        <f t="shared" si="44"/>
        <v>2022-07-06</v>
      </c>
      <c r="D1373" s="3" t="s">
        <v>9</v>
      </c>
      <c r="E1373" s="3" t="s">
        <v>5</v>
      </c>
      <c r="F1373" s="3" t="s">
        <v>10</v>
      </c>
      <c r="G1373" s="3" t="s">
        <v>15</v>
      </c>
      <c r="H1373" s="3" t="s">
        <v>16</v>
      </c>
      <c r="I1373" s="4">
        <v>1049.25</v>
      </c>
      <c r="J1373" s="3" t="s">
        <v>11</v>
      </c>
      <c r="K1373" t="e">
        <f>MATCH(A1373,Database!$A$2:$A$948,0)</f>
        <v>#N/A</v>
      </c>
      <c r="L1373" t="e">
        <f>VLOOKUP(A1373,Database!$A$2:$I$948,4,0)</f>
        <v>#N/A</v>
      </c>
      <c r="M1373" t="e">
        <f t="shared" si="45"/>
        <v>#N/A</v>
      </c>
      <c r="N1373" t="e">
        <f>VLOOKUP(A1373,Database!$A$2:$I$948,5,0)</f>
        <v>#N/A</v>
      </c>
    </row>
    <row r="1374" spans="1:14" hidden="1" x14ac:dyDescent="0.35">
      <c r="A1374" s="3">
        <v>103405496</v>
      </c>
      <c r="B1374" s="3" t="s">
        <v>3239</v>
      </c>
      <c r="C1374" s="3" t="str">
        <f t="shared" si="44"/>
        <v>2022-07-06</v>
      </c>
      <c r="D1374" s="3" t="s">
        <v>9</v>
      </c>
      <c r="E1374" s="3" t="s">
        <v>5</v>
      </c>
      <c r="F1374" s="3" t="s">
        <v>10</v>
      </c>
      <c r="G1374" s="3" t="s">
        <v>3240</v>
      </c>
      <c r="H1374" s="3" t="s">
        <v>3241</v>
      </c>
      <c r="I1374" s="5">
        <v>4199</v>
      </c>
      <c r="J1374" s="3" t="s">
        <v>11</v>
      </c>
      <c r="K1374" t="e">
        <f>MATCH(A1374,Database!$A$2:$A$948,0)</f>
        <v>#N/A</v>
      </c>
      <c r="L1374" t="e">
        <f>VLOOKUP(A1374,Database!$A$2:$I$948,4,0)</f>
        <v>#N/A</v>
      </c>
      <c r="M1374" t="e">
        <f t="shared" si="45"/>
        <v>#N/A</v>
      </c>
      <c r="N1374" t="e">
        <f>VLOOKUP(A1374,Database!$A$2:$I$948,5,0)</f>
        <v>#N/A</v>
      </c>
    </row>
    <row r="1375" spans="1:14" hidden="1" x14ac:dyDescent="0.35">
      <c r="A1375" s="3">
        <v>103405493</v>
      </c>
      <c r="B1375" s="3" t="s">
        <v>3242</v>
      </c>
      <c r="C1375" s="3" t="str">
        <f t="shared" si="44"/>
        <v>2022-07-06</v>
      </c>
      <c r="D1375" s="3" t="s">
        <v>9</v>
      </c>
      <c r="E1375" s="3" t="s">
        <v>5</v>
      </c>
      <c r="F1375" s="3" t="s">
        <v>10</v>
      </c>
      <c r="G1375" s="3" t="s">
        <v>3243</v>
      </c>
      <c r="H1375" s="3" t="s">
        <v>3244</v>
      </c>
      <c r="I1375" s="4">
        <v>2193.5500000000002</v>
      </c>
      <c r="J1375" s="3" t="s">
        <v>11</v>
      </c>
      <c r="K1375" t="e">
        <f>MATCH(A1375,Database!$A$2:$A$948,0)</f>
        <v>#N/A</v>
      </c>
      <c r="L1375" t="e">
        <f>VLOOKUP(A1375,Database!$A$2:$I$948,4,0)</f>
        <v>#N/A</v>
      </c>
      <c r="M1375" t="e">
        <f t="shared" si="45"/>
        <v>#N/A</v>
      </c>
      <c r="N1375" t="e">
        <f>VLOOKUP(A1375,Database!$A$2:$I$948,5,0)</f>
        <v>#N/A</v>
      </c>
    </row>
    <row r="1376" spans="1:14" hidden="1" x14ac:dyDescent="0.35">
      <c r="A1376" s="3">
        <v>103405492</v>
      </c>
      <c r="B1376" s="3" t="s">
        <v>3245</v>
      </c>
      <c r="C1376" s="3" t="str">
        <f t="shared" si="44"/>
        <v>2022-07-06</v>
      </c>
      <c r="D1376" s="3" t="s">
        <v>9</v>
      </c>
      <c r="E1376" s="3" t="s">
        <v>5</v>
      </c>
      <c r="F1376" s="3" t="s">
        <v>12</v>
      </c>
      <c r="G1376" s="3" t="s">
        <v>3246</v>
      </c>
      <c r="H1376" s="3" t="s">
        <v>3247</v>
      </c>
      <c r="I1376" s="5">
        <v>3599</v>
      </c>
      <c r="J1376" s="3" t="s">
        <v>11</v>
      </c>
      <c r="K1376" t="e">
        <f>MATCH(A1376,Database!$A$2:$A$948,0)</f>
        <v>#N/A</v>
      </c>
      <c r="L1376" t="e">
        <f>VLOOKUP(A1376,Database!$A$2:$I$948,4,0)</f>
        <v>#N/A</v>
      </c>
      <c r="M1376" t="e">
        <f t="shared" si="45"/>
        <v>#N/A</v>
      </c>
      <c r="N1376" t="e">
        <f>VLOOKUP(A1376,Database!$A$2:$I$948,5,0)</f>
        <v>#N/A</v>
      </c>
    </row>
    <row r="1377" spans="1:14" hidden="1" x14ac:dyDescent="0.35">
      <c r="A1377" s="3">
        <v>103405491</v>
      </c>
      <c r="B1377" s="3" t="s">
        <v>3248</v>
      </c>
      <c r="C1377" s="3" t="str">
        <f t="shared" si="44"/>
        <v>2022-07-06</v>
      </c>
      <c r="D1377" s="3" t="s">
        <v>9</v>
      </c>
      <c r="E1377" s="3" t="s">
        <v>5</v>
      </c>
      <c r="F1377" s="3" t="s">
        <v>10</v>
      </c>
      <c r="G1377" s="3" t="s">
        <v>3249</v>
      </c>
      <c r="H1377" s="3" t="s">
        <v>3250</v>
      </c>
      <c r="I1377" s="4">
        <v>1755.6</v>
      </c>
      <c r="J1377" s="3" t="s">
        <v>11</v>
      </c>
      <c r="K1377" t="e">
        <f>MATCH(A1377,Database!$A$2:$A$948,0)</f>
        <v>#N/A</v>
      </c>
      <c r="L1377" t="e">
        <f>VLOOKUP(A1377,Database!$A$2:$I$948,4,0)</f>
        <v>#N/A</v>
      </c>
      <c r="M1377" t="e">
        <f t="shared" si="45"/>
        <v>#N/A</v>
      </c>
      <c r="N1377" t="e">
        <f>VLOOKUP(A1377,Database!$A$2:$I$948,5,0)</f>
        <v>#N/A</v>
      </c>
    </row>
    <row r="1378" spans="1:14" hidden="1" x14ac:dyDescent="0.35">
      <c r="A1378" s="3">
        <v>103405490</v>
      </c>
      <c r="B1378" s="3" t="s">
        <v>3251</v>
      </c>
      <c r="C1378" s="3" t="str">
        <f t="shared" si="44"/>
        <v>2022-07-06</v>
      </c>
      <c r="D1378" s="3" t="s">
        <v>9</v>
      </c>
      <c r="E1378" s="3" t="s">
        <v>5</v>
      </c>
      <c r="F1378" s="3" t="s">
        <v>12</v>
      </c>
      <c r="G1378" s="3" t="s">
        <v>3252</v>
      </c>
      <c r="H1378" s="3" t="s">
        <v>3253</v>
      </c>
      <c r="I1378" s="5">
        <v>1349</v>
      </c>
      <c r="J1378" s="3" t="s">
        <v>11</v>
      </c>
      <c r="K1378" t="e">
        <f>MATCH(A1378,Database!$A$2:$A$948,0)</f>
        <v>#N/A</v>
      </c>
      <c r="L1378" t="e">
        <f>VLOOKUP(A1378,Database!$A$2:$I$948,4,0)</f>
        <v>#N/A</v>
      </c>
      <c r="M1378" t="e">
        <f t="shared" si="45"/>
        <v>#N/A</v>
      </c>
      <c r="N1378" t="e">
        <f>VLOOKUP(A1378,Database!$A$2:$I$948,5,0)</f>
        <v>#N/A</v>
      </c>
    </row>
    <row r="1379" spans="1:14" hidden="1" x14ac:dyDescent="0.35">
      <c r="A1379" s="3">
        <v>103405484</v>
      </c>
      <c r="B1379" s="3" t="s">
        <v>3254</v>
      </c>
      <c r="C1379" s="3" t="str">
        <f t="shared" si="44"/>
        <v>2022-07-06</v>
      </c>
      <c r="D1379" s="3" t="s">
        <v>9</v>
      </c>
      <c r="E1379" s="3" t="s">
        <v>5</v>
      </c>
      <c r="F1379" s="3" t="s">
        <v>10</v>
      </c>
      <c r="G1379" s="3" t="s">
        <v>3255</v>
      </c>
      <c r="H1379" s="3" t="s">
        <v>3256</v>
      </c>
      <c r="I1379" s="5">
        <v>6565</v>
      </c>
      <c r="J1379" s="3" t="s">
        <v>11</v>
      </c>
      <c r="K1379" t="e">
        <f>MATCH(A1379,Database!$A$2:$A$948,0)</f>
        <v>#N/A</v>
      </c>
      <c r="L1379" t="e">
        <f>VLOOKUP(A1379,Database!$A$2:$I$948,4,0)</f>
        <v>#N/A</v>
      </c>
      <c r="M1379" t="e">
        <f t="shared" si="45"/>
        <v>#N/A</v>
      </c>
      <c r="N1379" t="e">
        <f>VLOOKUP(A1379,Database!$A$2:$I$948,5,0)</f>
        <v>#N/A</v>
      </c>
    </row>
    <row r="1380" spans="1:14" hidden="1" x14ac:dyDescent="0.35">
      <c r="A1380" s="3">
        <v>103405390</v>
      </c>
      <c r="B1380" s="3" t="s">
        <v>3257</v>
      </c>
      <c r="C1380" s="3" t="str">
        <f t="shared" si="44"/>
        <v>2022-07-06</v>
      </c>
      <c r="D1380" s="3" t="s">
        <v>9</v>
      </c>
      <c r="E1380" s="3" t="s">
        <v>5</v>
      </c>
      <c r="F1380" s="3" t="s">
        <v>10</v>
      </c>
      <c r="G1380" s="3" t="s">
        <v>3258</v>
      </c>
      <c r="H1380" s="3" t="s">
        <v>3259</v>
      </c>
      <c r="I1380" s="5">
        <v>1248</v>
      </c>
      <c r="J1380" s="3" t="s">
        <v>11</v>
      </c>
      <c r="K1380" t="e">
        <f>MATCH(A1380,Database!$A$2:$A$948,0)</f>
        <v>#N/A</v>
      </c>
      <c r="L1380" t="e">
        <f>VLOOKUP(A1380,Database!$A$2:$I$948,4,0)</f>
        <v>#N/A</v>
      </c>
      <c r="M1380" t="e">
        <f t="shared" si="45"/>
        <v>#N/A</v>
      </c>
      <c r="N1380" t="e">
        <f>VLOOKUP(A1380,Database!$A$2:$I$948,5,0)</f>
        <v>#N/A</v>
      </c>
    </row>
    <row r="1381" spans="1:14" hidden="1" x14ac:dyDescent="0.35">
      <c r="A1381" s="3">
        <v>103405388</v>
      </c>
      <c r="B1381" s="3" t="s">
        <v>3260</v>
      </c>
      <c r="C1381" s="3" t="str">
        <f t="shared" si="44"/>
        <v>2022-07-06</v>
      </c>
      <c r="D1381" s="3" t="s">
        <v>9</v>
      </c>
      <c r="E1381" s="3" t="s">
        <v>5</v>
      </c>
      <c r="F1381" s="3" t="s">
        <v>10</v>
      </c>
      <c r="G1381" s="3" t="s">
        <v>3261</v>
      </c>
      <c r="H1381" s="3" t="s">
        <v>3262</v>
      </c>
      <c r="I1381" s="3">
        <v>819</v>
      </c>
      <c r="J1381" s="3" t="s">
        <v>11</v>
      </c>
      <c r="K1381" t="e">
        <f>MATCH(A1381,Database!$A$2:$A$948,0)</f>
        <v>#N/A</v>
      </c>
      <c r="L1381" t="e">
        <f>VLOOKUP(A1381,Database!$A$2:$I$948,4,0)</f>
        <v>#N/A</v>
      </c>
      <c r="M1381" t="e">
        <f t="shared" si="45"/>
        <v>#N/A</v>
      </c>
      <c r="N1381" t="e">
        <f>VLOOKUP(A1381,Database!$A$2:$I$948,5,0)</f>
        <v>#N/A</v>
      </c>
    </row>
    <row r="1382" spans="1:14" hidden="1" x14ac:dyDescent="0.35">
      <c r="A1382" s="3">
        <v>103405385</v>
      </c>
      <c r="B1382" s="3" t="s">
        <v>3263</v>
      </c>
      <c r="C1382" s="3" t="str">
        <f t="shared" si="44"/>
        <v>2022-07-06</v>
      </c>
      <c r="D1382" s="3" t="s">
        <v>9</v>
      </c>
      <c r="E1382" s="3" t="s">
        <v>5</v>
      </c>
      <c r="F1382" s="3" t="s">
        <v>10</v>
      </c>
      <c r="G1382" s="3" t="s">
        <v>3264</v>
      </c>
      <c r="H1382" s="3" t="s">
        <v>3265</v>
      </c>
      <c r="I1382" s="4">
        <v>1165.6500000000001</v>
      </c>
      <c r="J1382" s="3" t="s">
        <v>11</v>
      </c>
      <c r="K1382" t="e">
        <f>MATCH(A1382,Database!$A$2:$A$948,0)</f>
        <v>#N/A</v>
      </c>
      <c r="L1382" t="e">
        <f>VLOOKUP(A1382,Database!$A$2:$I$948,4,0)</f>
        <v>#N/A</v>
      </c>
      <c r="M1382" t="e">
        <f t="shared" si="45"/>
        <v>#N/A</v>
      </c>
      <c r="N1382" t="e">
        <f>VLOOKUP(A1382,Database!$A$2:$I$948,5,0)</f>
        <v>#N/A</v>
      </c>
    </row>
    <row r="1383" spans="1:14" hidden="1" x14ac:dyDescent="0.35">
      <c r="A1383" s="3">
        <v>103405479</v>
      </c>
      <c r="B1383" s="3" t="s">
        <v>3266</v>
      </c>
      <c r="C1383" s="3" t="str">
        <f t="shared" si="44"/>
        <v>2022-07-06</v>
      </c>
      <c r="D1383" s="3" t="s">
        <v>9</v>
      </c>
      <c r="E1383" s="3" t="s">
        <v>5</v>
      </c>
      <c r="F1383" s="3" t="s">
        <v>10</v>
      </c>
      <c r="G1383" s="3" t="s">
        <v>3267</v>
      </c>
      <c r="H1383" s="3" t="s">
        <v>3268</v>
      </c>
      <c r="I1383" s="4">
        <v>3656.55</v>
      </c>
      <c r="J1383" s="3" t="s">
        <v>11</v>
      </c>
      <c r="K1383" t="e">
        <f>MATCH(A1383,Database!$A$2:$A$948,0)</f>
        <v>#N/A</v>
      </c>
      <c r="L1383" t="e">
        <f>VLOOKUP(A1383,Database!$A$2:$I$948,4,0)</f>
        <v>#N/A</v>
      </c>
      <c r="M1383" t="e">
        <f t="shared" si="45"/>
        <v>#N/A</v>
      </c>
      <c r="N1383" t="e">
        <f>VLOOKUP(A1383,Database!$A$2:$I$948,5,0)</f>
        <v>#N/A</v>
      </c>
    </row>
    <row r="1384" spans="1:14" hidden="1" x14ac:dyDescent="0.35">
      <c r="A1384" s="3">
        <v>103405478</v>
      </c>
      <c r="B1384" s="3" t="s">
        <v>3266</v>
      </c>
      <c r="C1384" s="3" t="str">
        <f t="shared" si="44"/>
        <v>2022-07-06</v>
      </c>
      <c r="D1384" s="3" t="s">
        <v>9</v>
      </c>
      <c r="E1384" s="3" t="s">
        <v>5</v>
      </c>
      <c r="F1384" s="3" t="s">
        <v>10</v>
      </c>
      <c r="G1384" s="3" t="s">
        <v>1788</v>
      </c>
      <c r="H1384" s="3" t="s">
        <v>1789</v>
      </c>
      <c r="I1384" s="5">
        <v>1119</v>
      </c>
      <c r="J1384" s="3" t="s">
        <v>11</v>
      </c>
      <c r="K1384" t="e">
        <f>MATCH(A1384,Database!$A$2:$A$948,0)</f>
        <v>#N/A</v>
      </c>
      <c r="L1384" t="e">
        <f>VLOOKUP(A1384,Database!$A$2:$I$948,4,0)</f>
        <v>#N/A</v>
      </c>
      <c r="M1384" t="e">
        <f t="shared" si="45"/>
        <v>#N/A</v>
      </c>
      <c r="N1384" t="e">
        <f>VLOOKUP(A1384,Database!$A$2:$I$948,5,0)</f>
        <v>#N/A</v>
      </c>
    </row>
    <row r="1385" spans="1:14" hidden="1" x14ac:dyDescent="0.35">
      <c r="A1385" s="3">
        <v>103405471</v>
      </c>
      <c r="B1385" s="3" t="s">
        <v>3269</v>
      </c>
      <c r="C1385" s="3" t="str">
        <f t="shared" si="44"/>
        <v>2022-07-06</v>
      </c>
      <c r="D1385" s="3" t="s">
        <v>9</v>
      </c>
      <c r="E1385" s="3" t="s">
        <v>5</v>
      </c>
      <c r="F1385" s="3" t="s">
        <v>10</v>
      </c>
      <c r="G1385" s="3" t="s">
        <v>3270</v>
      </c>
      <c r="H1385" s="3" t="s">
        <v>3271</v>
      </c>
      <c r="I1385" s="4">
        <v>2659.05</v>
      </c>
      <c r="J1385" s="3" t="s">
        <v>11</v>
      </c>
      <c r="K1385" t="e">
        <f>MATCH(A1385,Database!$A$2:$A$948,0)</f>
        <v>#N/A</v>
      </c>
      <c r="L1385" t="e">
        <f>VLOOKUP(A1385,Database!$A$2:$I$948,4,0)</f>
        <v>#N/A</v>
      </c>
      <c r="M1385" t="e">
        <f t="shared" si="45"/>
        <v>#N/A</v>
      </c>
      <c r="N1385" t="e">
        <f>VLOOKUP(A1385,Database!$A$2:$I$948,5,0)</f>
        <v>#N/A</v>
      </c>
    </row>
    <row r="1386" spans="1:14" hidden="1" x14ac:dyDescent="0.35">
      <c r="A1386" s="3">
        <v>103405381</v>
      </c>
      <c r="B1386" s="3" t="s">
        <v>3272</v>
      </c>
      <c r="C1386" s="3" t="str">
        <f t="shared" si="44"/>
        <v>2022-07-06</v>
      </c>
      <c r="D1386" s="3" t="s">
        <v>9</v>
      </c>
      <c r="E1386" s="3" t="s">
        <v>5</v>
      </c>
      <c r="F1386" s="3" t="s">
        <v>10</v>
      </c>
      <c r="G1386" s="3" t="s">
        <v>3273</v>
      </c>
      <c r="H1386" s="3" t="s">
        <v>3274</v>
      </c>
      <c r="I1386" s="4">
        <v>2611.5500000000002</v>
      </c>
      <c r="J1386" s="3" t="s">
        <v>11</v>
      </c>
      <c r="K1386" t="e">
        <f>MATCH(A1386,Database!$A$2:$A$948,0)</f>
        <v>#N/A</v>
      </c>
      <c r="L1386" t="e">
        <f>VLOOKUP(A1386,Database!$A$2:$I$948,4,0)</f>
        <v>#N/A</v>
      </c>
      <c r="M1386" t="e">
        <f t="shared" si="45"/>
        <v>#N/A</v>
      </c>
      <c r="N1386" t="e">
        <f>VLOOKUP(A1386,Database!$A$2:$I$948,5,0)</f>
        <v>#N/A</v>
      </c>
    </row>
    <row r="1387" spans="1:14" hidden="1" x14ac:dyDescent="0.35">
      <c r="A1387" s="3">
        <v>103405468</v>
      </c>
      <c r="B1387" s="3" t="s">
        <v>3275</v>
      </c>
      <c r="C1387" s="3" t="str">
        <f t="shared" si="44"/>
        <v>2022-07-06</v>
      </c>
      <c r="D1387" s="3" t="s">
        <v>9</v>
      </c>
      <c r="E1387" s="3" t="s">
        <v>5</v>
      </c>
      <c r="F1387" s="3" t="s">
        <v>12</v>
      </c>
      <c r="G1387" s="3" t="s">
        <v>3276</v>
      </c>
      <c r="H1387" s="3" t="s">
        <v>3277</v>
      </c>
      <c r="I1387" s="3">
        <v>649</v>
      </c>
      <c r="J1387" s="3" t="s">
        <v>11</v>
      </c>
      <c r="K1387" t="e">
        <f>MATCH(A1387,Database!$A$2:$A$948,0)</f>
        <v>#N/A</v>
      </c>
      <c r="L1387" t="e">
        <f>VLOOKUP(A1387,Database!$A$2:$I$948,4,0)</f>
        <v>#N/A</v>
      </c>
      <c r="M1387" t="e">
        <f t="shared" si="45"/>
        <v>#N/A</v>
      </c>
      <c r="N1387" t="e">
        <f>VLOOKUP(A1387,Database!$A$2:$I$948,5,0)</f>
        <v>#N/A</v>
      </c>
    </row>
    <row r="1388" spans="1:14" hidden="1" x14ac:dyDescent="0.35">
      <c r="A1388" s="3">
        <v>103405378</v>
      </c>
      <c r="B1388" s="3" t="s">
        <v>3278</v>
      </c>
      <c r="C1388" s="3" t="str">
        <f t="shared" si="44"/>
        <v>2022-07-06</v>
      </c>
      <c r="D1388" s="3" t="s">
        <v>9</v>
      </c>
      <c r="E1388" s="3" t="s">
        <v>5</v>
      </c>
      <c r="F1388" s="3" t="s">
        <v>10</v>
      </c>
      <c r="G1388" s="3" t="s">
        <v>3279</v>
      </c>
      <c r="H1388" s="3" t="s">
        <v>3280</v>
      </c>
      <c r="I1388" s="5">
        <v>4199</v>
      </c>
      <c r="J1388" s="3" t="s">
        <v>11</v>
      </c>
      <c r="K1388" t="e">
        <f>MATCH(A1388,Database!$A$2:$A$948,0)</f>
        <v>#N/A</v>
      </c>
      <c r="L1388" t="e">
        <f>VLOOKUP(A1388,Database!$A$2:$I$948,4,0)</f>
        <v>#N/A</v>
      </c>
      <c r="M1388" t="e">
        <f t="shared" si="45"/>
        <v>#N/A</v>
      </c>
      <c r="N1388" t="e">
        <f>VLOOKUP(A1388,Database!$A$2:$I$948,5,0)</f>
        <v>#N/A</v>
      </c>
    </row>
    <row r="1389" spans="1:14" hidden="1" x14ac:dyDescent="0.35">
      <c r="A1389" s="3">
        <v>103405377</v>
      </c>
      <c r="B1389" s="3" t="s">
        <v>3281</v>
      </c>
      <c r="C1389" s="3" t="str">
        <f t="shared" si="44"/>
        <v>2022-07-06</v>
      </c>
      <c r="D1389" s="3" t="s">
        <v>9</v>
      </c>
      <c r="E1389" s="3" t="s">
        <v>5</v>
      </c>
      <c r="F1389" s="3" t="s">
        <v>10</v>
      </c>
      <c r="G1389" s="3" t="s">
        <v>3282</v>
      </c>
      <c r="H1389" s="3" t="s">
        <v>3283</v>
      </c>
      <c r="I1389" s="5">
        <v>1199</v>
      </c>
      <c r="J1389" s="3" t="s">
        <v>11</v>
      </c>
      <c r="K1389" t="e">
        <f>MATCH(A1389,Database!$A$2:$A$948,0)</f>
        <v>#N/A</v>
      </c>
      <c r="L1389" t="e">
        <f>VLOOKUP(A1389,Database!$A$2:$I$948,4,0)</f>
        <v>#N/A</v>
      </c>
      <c r="M1389" t="e">
        <f t="shared" si="45"/>
        <v>#N/A</v>
      </c>
      <c r="N1389" t="e">
        <f>VLOOKUP(A1389,Database!$A$2:$I$948,5,0)</f>
        <v>#N/A</v>
      </c>
    </row>
    <row r="1390" spans="1:14" hidden="1" x14ac:dyDescent="0.35">
      <c r="A1390" s="3">
        <v>103405465</v>
      </c>
      <c r="B1390" s="3" t="s">
        <v>3284</v>
      </c>
      <c r="C1390" s="3" t="str">
        <f t="shared" si="44"/>
        <v>2022-07-06</v>
      </c>
      <c r="D1390" s="3" t="s">
        <v>9</v>
      </c>
      <c r="E1390" s="3" t="s">
        <v>5</v>
      </c>
      <c r="F1390" s="3" t="s">
        <v>10</v>
      </c>
      <c r="G1390" s="3" t="s">
        <v>3285</v>
      </c>
      <c r="H1390" s="3" t="s">
        <v>3286</v>
      </c>
      <c r="I1390" s="5">
        <v>6598</v>
      </c>
      <c r="J1390" s="3" t="s">
        <v>11</v>
      </c>
      <c r="K1390" t="e">
        <f>MATCH(A1390,Database!$A$2:$A$948,0)</f>
        <v>#N/A</v>
      </c>
      <c r="L1390" t="e">
        <f>VLOOKUP(A1390,Database!$A$2:$I$948,4,0)</f>
        <v>#N/A</v>
      </c>
      <c r="M1390" t="e">
        <f t="shared" si="45"/>
        <v>#N/A</v>
      </c>
      <c r="N1390" t="e">
        <f>VLOOKUP(A1390,Database!$A$2:$I$948,5,0)</f>
        <v>#N/A</v>
      </c>
    </row>
    <row r="1391" spans="1:14" hidden="1" x14ac:dyDescent="0.35">
      <c r="A1391" s="3">
        <v>103405373</v>
      </c>
      <c r="B1391" s="3" t="s">
        <v>3287</v>
      </c>
      <c r="C1391" s="3" t="str">
        <f t="shared" si="44"/>
        <v>2022-07-06</v>
      </c>
      <c r="D1391" s="3" t="s">
        <v>9</v>
      </c>
      <c r="E1391" s="3" t="s">
        <v>5</v>
      </c>
      <c r="F1391" s="3" t="s">
        <v>10</v>
      </c>
      <c r="G1391" s="3" t="s">
        <v>3288</v>
      </c>
      <c r="H1391" s="3" t="s">
        <v>3289</v>
      </c>
      <c r="I1391" s="5">
        <v>5599</v>
      </c>
      <c r="J1391" s="3" t="s">
        <v>11</v>
      </c>
      <c r="K1391" t="e">
        <f>MATCH(A1391,Database!$A$2:$A$948,0)</f>
        <v>#N/A</v>
      </c>
      <c r="L1391" t="e">
        <f>VLOOKUP(A1391,Database!$A$2:$I$948,4,0)</f>
        <v>#N/A</v>
      </c>
      <c r="M1391" t="e">
        <f t="shared" si="45"/>
        <v>#N/A</v>
      </c>
      <c r="N1391" t="e">
        <f>VLOOKUP(A1391,Database!$A$2:$I$948,5,0)</f>
        <v>#N/A</v>
      </c>
    </row>
    <row r="1392" spans="1:14" hidden="1" x14ac:dyDescent="0.35">
      <c r="A1392" s="3">
        <v>103405359</v>
      </c>
      <c r="B1392" s="3" t="s">
        <v>3290</v>
      </c>
      <c r="C1392" s="3" t="str">
        <f t="shared" si="44"/>
        <v>2022-07-06</v>
      </c>
      <c r="D1392" s="3" t="s">
        <v>9</v>
      </c>
      <c r="E1392" s="3" t="s">
        <v>5</v>
      </c>
      <c r="F1392" s="3" t="s">
        <v>10</v>
      </c>
      <c r="G1392" s="3" t="s">
        <v>3291</v>
      </c>
      <c r="H1392" s="3" t="s">
        <v>3292</v>
      </c>
      <c r="I1392" s="4">
        <v>4511.6000000000004</v>
      </c>
      <c r="J1392" s="3" t="s">
        <v>11</v>
      </c>
      <c r="K1392" t="e">
        <f>MATCH(A1392,Database!$A$2:$A$948,0)</f>
        <v>#N/A</v>
      </c>
      <c r="L1392" t="e">
        <f>VLOOKUP(A1392,Database!$A$2:$I$948,4,0)</f>
        <v>#N/A</v>
      </c>
      <c r="M1392" t="e">
        <f t="shared" si="45"/>
        <v>#N/A</v>
      </c>
      <c r="N1392" t="e">
        <f>VLOOKUP(A1392,Database!$A$2:$I$948,5,0)</f>
        <v>#N/A</v>
      </c>
    </row>
    <row r="1393" spans="1:14" hidden="1" x14ac:dyDescent="0.35">
      <c r="A1393" s="3">
        <v>103405369</v>
      </c>
      <c r="B1393" s="3" t="s">
        <v>3293</v>
      </c>
      <c r="C1393" s="3" t="str">
        <f t="shared" si="44"/>
        <v>2022-07-06</v>
      </c>
      <c r="D1393" s="3" t="s">
        <v>9</v>
      </c>
      <c r="E1393" s="3" t="s">
        <v>5</v>
      </c>
      <c r="F1393" s="3" t="s">
        <v>10</v>
      </c>
      <c r="G1393" s="3" t="s">
        <v>3294</v>
      </c>
      <c r="H1393" s="3" t="s">
        <v>3295</v>
      </c>
      <c r="I1393" s="3">
        <v>439</v>
      </c>
      <c r="J1393" s="3" t="s">
        <v>11</v>
      </c>
      <c r="K1393" t="e">
        <f>MATCH(A1393,Database!$A$2:$A$948,0)</f>
        <v>#N/A</v>
      </c>
      <c r="L1393" t="e">
        <f>VLOOKUP(A1393,Database!$A$2:$I$948,4,0)</f>
        <v>#N/A</v>
      </c>
      <c r="M1393" t="e">
        <f t="shared" si="45"/>
        <v>#N/A</v>
      </c>
      <c r="N1393" t="e">
        <f>VLOOKUP(A1393,Database!$A$2:$I$948,5,0)</f>
        <v>#N/A</v>
      </c>
    </row>
    <row r="1394" spans="1:14" hidden="1" x14ac:dyDescent="0.35">
      <c r="A1394" s="3">
        <v>103405357</v>
      </c>
      <c r="B1394" s="3" t="s">
        <v>3296</v>
      </c>
      <c r="C1394" s="3" t="str">
        <f t="shared" si="44"/>
        <v>2022-07-06</v>
      </c>
      <c r="D1394" s="3" t="s">
        <v>9</v>
      </c>
      <c r="E1394" s="3" t="s">
        <v>5</v>
      </c>
      <c r="F1394" s="3" t="s">
        <v>10</v>
      </c>
      <c r="G1394" s="3" t="s">
        <v>3255</v>
      </c>
      <c r="H1394" s="3" t="s">
        <v>3256</v>
      </c>
      <c r="I1394" s="5">
        <v>9618</v>
      </c>
      <c r="J1394" s="3" t="s">
        <v>11</v>
      </c>
      <c r="K1394" t="e">
        <f>MATCH(A1394,Database!$A$2:$A$948,0)</f>
        <v>#N/A</v>
      </c>
      <c r="L1394" t="e">
        <f>VLOOKUP(A1394,Database!$A$2:$I$948,4,0)</f>
        <v>#N/A</v>
      </c>
      <c r="M1394" t="e">
        <f t="shared" si="45"/>
        <v>#N/A</v>
      </c>
      <c r="N1394" t="e">
        <f>VLOOKUP(A1394,Database!$A$2:$I$948,5,0)</f>
        <v>#N/A</v>
      </c>
    </row>
    <row r="1395" spans="1:14" hidden="1" x14ac:dyDescent="0.35">
      <c r="A1395" s="3">
        <v>103405352</v>
      </c>
      <c r="B1395" s="3" t="s">
        <v>3297</v>
      </c>
      <c r="C1395" s="3" t="str">
        <f t="shared" si="44"/>
        <v>2022-07-06</v>
      </c>
      <c r="D1395" s="3" t="s">
        <v>9</v>
      </c>
      <c r="E1395" s="3" t="s">
        <v>5</v>
      </c>
      <c r="F1395" s="3" t="s">
        <v>10</v>
      </c>
      <c r="G1395" s="3" t="s">
        <v>3298</v>
      </c>
      <c r="H1395" s="3" t="s">
        <v>3299</v>
      </c>
      <c r="I1395" s="5">
        <v>1169</v>
      </c>
      <c r="J1395" s="3" t="s">
        <v>11</v>
      </c>
      <c r="K1395" t="e">
        <f>MATCH(A1395,Database!$A$2:$A$948,0)</f>
        <v>#N/A</v>
      </c>
      <c r="L1395" t="e">
        <f>VLOOKUP(A1395,Database!$A$2:$I$948,4,0)</f>
        <v>#N/A</v>
      </c>
      <c r="M1395" t="e">
        <f t="shared" si="45"/>
        <v>#N/A</v>
      </c>
      <c r="N1395" t="e">
        <f>VLOOKUP(A1395,Database!$A$2:$I$948,5,0)</f>
        <v>#N/A</v>
      </c>
    </row>
    <row r="1396" spans="1:14" hidden="1" x14ac:dyDescent="0.35">
      <c r="A1396" s="3">
        <v>103405365</v>
      </c>
      <c r="B1396" s="3" t="s">
        <v>3297</v>
      </c>
      <c r="C1396" s="3" t="str">
        <f t="shared" si="44"/>
        <v>2022-07-06</v>
      </c>
      <c r="D1396" s="3" t="s">
        <v>9</v>
      </c>
      <c r="E1396" s="3" t="s">
        <v>5</v>
      </c>
      <c r="F1396" s="3" t="s">
        <v>10</v>
      </c>
      <c r="G1396" s="3" t="s">
        <v>3300</v>
      </c>
      <c r="H1396" s="3" t="s">
        <v>3301</v>
      </c>
      <c r="I1396" s="3">
        <v>779</v>
      </c>
      <c r="J1396" s="3" t="s">
        <v>11</v>
      </c>
      <c r="K1396" t="e">
        <f>MATCH(A1396,Database!$A$2:$A$948,0)</f>
        <v>#N/A</v>
      </c>
      <c r="L1396" t="e">
        <f>VLOOKUP(A1396,Database!$A$2:$I$948,4,0)</f>
        <v>#N/A</v>
      </c>
      <c r="M1396" t="e">
        <f t="shared" si="45"/>
        <v>#N/A</v>
      </c>
      <c r="N1396" t="e">
        <f>VLOOKUP(A1396,Database!$A$2:$I$948,5,0)</f>
        <v>#N/A</v>
      </c>
    </row>
    <row r="1397" spans="1:14" hidden="1" x14ac:dyDescent="0.35">
      <c r="A1397" s="3">
        <v>103405264</v>
      </c>
      <c r="B1397" s="3" t="s">
        <v>3302</v>
      </c>
      <c r="C1397" s="3" t="str">
        <f t="shared" si="44"/>
        <v>2022-07-06</v>
      </c>
      <c r="D1397" s="3" t="s">
        <v>9</v>
      </c>
      <c r="E1397" s="3" t="s">
        <v>5</v>
      </c>
      <c r="F1397" s="3" t="s">
        <v>10</v>
      </c>
      <c r="G1397" s="3" t="s">
        <v>3303</v>
      </c>
      <c r="H1397" s="3" t="s">
        <v>3304</v>
      </c>
      <c r="I1397" s="5">
        <v>1139</v>
      </c>
      <c r="J1397" s="3" t="s">
        <v>11</v>
      </c>
      <c r="K1397" t="e">
        <f>MATCH(A1397,Database!$A$2:$A$948,0)</f>
        <v>#N/A</v>
      </c>
      <c r="L1397" t="e">
        <f>VLOOKUP(A1397,Database!$A$2:$I$948,4,0)</f>
        <v>#N/A</v>
      </c>
      <c r="M1397" t="e">
        <f t="shared" si="45"/>
        <v>#N/A</v>
      </c>
      <c r="N1397" t="e">
        <f>VLOOKUP(A1397,Database!$A$2:$I$948,5,0)</f>
        <v>#N/A</v>
      </c>
    </row>
    <row r="1398" spans="1:14" hidden="1" x14ac:dyDescent="0.35">
      <c r="A1398" s="3">
        <v>103405350</v>
      </c>
      <c r="B1398" s="3" t="s">
        <v>3305</v>
      </c>
      <c r="C1398" s="3" t="str">
        <f t="shared" si="44"/>
        <v>2022-07-06</v>
      </c>
      <c r="D1398" s="3" t="s">
        <v>9</v>
      </c>
      <c r="E1398" s="3" t="s">
        <v>5</v>
      </c>
      <c r="F1398" s="3" t="s">
        <v>10</v>
      </c>
      <c r="G1398" s="3" t="s">
        <v>3306</v>
      </c>
      <c r="H1398" s="3" t="s">
        <v>3307</v>
      </c>
      <c r="I1398" s="3">
        <v>616.54999999999995</v>
      </c>
      <c r="J1398" s="3" t="s">
        <v>11</v>
      </c>
      <c r="K1398" t="e">
        <f>MATCH(A1398,Database!$A$2:$A$948,0)</f>
        <v>#N/A</v>
      </c>
      <c r="L1398" t="e">
        <f>VLOOKUP(A1398,Database!$A$2:$I$948,4,0)</f>
        <v>#N/A</v>
      </c>
      <c r="M1398" t="e">
        <f t="shared" si="45"/>
        <v>#N/A</v>
      </c>
      <c r="N1398" t="e">
        <f>VLOOKUP(A1398,Database!$A$2:$I$948,5,0)</f>
        <v>#N/A</v>
      </c>
    </row>
    <row r="1399" spans="1:14" hidden="1" x14ac:dyDescent="0.35">
      <c r="A1399" s="3">
        <v>103405259</v>
      </c>
      <c r="B1399" s="3" t="s">
        <v>3308</v>
      </c>
      <c r="C1399" s="3" t="str">
        <f t="shared" si="44"/>
        <v>2022-07-06</v>
      </c>
      <c r="D1399" s="3" t="s">
        <v>9</v>
      </c>
      <c r="E1399" s="3" t="s">
        <v>5</v>
      </c>
      <c r="F1399" s="3" t="s">
        <v>10</v>
      </c>
      <c r="G1399" s="3" t="s">
        <v>3309</v>
      </c>
      <c r="H1399" s="3" t="s">
        <v>3310</v>
      </c>
      <c r="I1399" s="5">
        <v>3019</v>
      </c>
      <c r="J1399" s="3" t="s">
        <v>11</v>
      </c>
      <c r="K1399" t="e">
        <f>MATCH(A1399,Database!$A$2:$A$948,0)</f>
        <v>#N/A</v>
      </c>
      <c r="L1399" t="e">
        <f>VLOOKUP(A1399,Database!$A$2:$I$948,4,0)</f>
        <v>#N/A</v>
      </c>
      <c r="M1399" t="e">
        <f t="shared" si="45"/>
        <v>#N/A</v>
      </c>
      <c r="N1399" t="e">
        <f>VLOOKUP(A1399,Database!$A$2:$I$948,5,0)</f>
        <v>#N/A</v>
      </c>
    </row>
    <row r="1400" spans="1:14" hidden="1" x14ac:dyDescent="0.35">
      <c r="A1400" s="3">
        <v>103405257</v>
      </c>
      <c r="B1400" s="3" t="s">
        <v>3311</v>
      </c>
      <c r="C1400" s="3" t="str">
        <f t="shared" si="44"/>
        <v>2022-07-06</v>
      </c>
      <c r="D1400" s="3" t="s">
        <v>9</v>
      </c>
      <c r="E1400" s="3" t="s">
        <v>5</v>
      </c>
      <c r="F1400" s="3" t="s">
        <v>10</v>
      </c>
      <c r="G1400" s="3" t="s">
        <v>3312</v>
      </c>
      <c r="H1400" s="3" t="s">
        <v>3313</v>
      </c>
      <c r="I1400" s="5">
        <v>2249</v>
      </c>
      <c r="J1400" s="3" t="s">
        <v>11</v>
      </c>
      <c r="K1400" t="e">
        <f>MATCH(A1400,Database!$A$2:$A$948,0)</f>
        <v>#N/A</v>
      </c>
      <c r="L1400" t="e">
        <f>VLOOKUP(A1400,Database!$A$2:$I$948,4,0)</f>
        <v>#N/A</v>
      </c>
      <c r="M1400" t="e">
        <f t="shared" si="45"/>
        <v>#N/A</v>
      </c>
      <c r="N1400" t="e">
        <f>VLOOKUP(A1400,Database!$A$2:$I$948,5,0)</f>
        <v>#N/A</v>
      </c>
    </row>
    <row r="1401" spans="1:14" hidden="1" x14ac:dyDescent="0.35">
      <c r="A1401" s="3">
        <v>103405256</v>
      </c>
      <c r="B1401" s="3" t="s">
        <v>3314</v>
      </c>
      <c r="C1401" s="3" t="str">
        <f t="shared" si="44"/>
        <v>2022-07-06</v>
      </c>
      <c r="D1401" s="3" t="s">
        <v>9</v>
      </c>
      <c r="E1401" s="3" t="s">
        <v>5</v>
      </c>
      <c r="F1401" s="3" t="s">
        <v>10</v>
      </c>
      <c r="G1401" s="3" t="s">
        <v>3315</v>
      </c>
      <c r="H1401" s="3" t="s">
        <v>3316</v>
      </c>
      <c r="I1401" s="5">
        <v>4898</v>
      </c>
      <c r="J1401" s="3" t="s">
        <v>11</v>
      </c>
      <c r="K1401" t="e">
        <f>MATCH(A1401,Database!$A$2:$A$948,0)</f>
        <v>#N/A</v>
      </c>
      <c r="L1401" t="e">
        <f>VLOOKUP(A1401,Database!$A$2:$I$948,4,0)</f>
        <v>#N/A</v>
      </c>
      <c r="M1401" t="e">
        <f t="shared" si="45"/>
        <v>#N/A</v>
      </c>
      <c r="N1401" t="e">
        <f>VLOOKUP(A1401,Database!$A$2:$I$948,5,0)</f>
        <v>#N/A</v>
      </c>
    </row>
    <row r="1402" spans="1:14" hidden="1" x14ac:dyDescent="0.35">
      <c r="A1402" s="3">
        <v>103405343</v>
      </c>
      <c r="B1402" s="3" t="s">
        <v>3317</v>
      </c>
      <c r="C1402" s="3" t="str">
        <f t="shared" si="44"/>
        <v>2022-07-06</v>
      </c>
      <c r="D1402" s="3" t="s">
        <v>9</v>
      </c>
      <c r="E1402" s="3" t="s">
        <v>5</v>
      </c>
      <c r="F1402" s="3" t="s">
        <v>10</v>
      </c>
      <c r="G1402" s="3" t="s">
        <v>3318</v>
      </c>
      <c r="H1402" s="3" t="s">
        <v>3319</v>
      </c>
      <c r="I1402" s="4">
        <v>2991.55</v>
      </c>
      <c r="J1402" s="3" t="s">
        <v>11</v>
      </c>
      <c r="K1402" t="e">
        <f>MATCH(A1402,Database!$A$2:$A$948,0)</f>
        <v>#N/A</v>
      </c>
      <c r="L1402" t="e">
        <f>VLOOKUP(A1402,Database!$A$2:$I$948,4,0)</f>
        <v>#N/A</v>
      </c>
      <c r="M1402" t="e">
        <f t="shared" si="45"/>
        <v>#N/A</v>
      </c>
      <c r="N1402" t="e">
        <f>VLOOKUP(A1402,Database!$A$2:$I$948,5,0)</f>
        <v>#N/A</v>
      </c>
    </row>
    <row r="1403" spans="1:14" hidden="1" x14ac:dyDescent="0.35">
      <c r="A1403" s="3">
        <v>103405254</v>
      </c>
      <c r="B1403" s="3" t="s">
        <v>3320</v>
      </c>
      <c r="C1403" s="3" t="str">
        <f t="shared" si="44"/>
        <v>2022-07-06</v>
      </c>
      <c r="D1403" s="3" t="s">
        <v>9</v>
      </c>
      <c r="E1403" s="3" t="s">
        <v>5</v>
      </c>
      <c r="F1403" s="3" t="s">
        <v>10</v>
      </c>
      <c r="G1403" s="3" t="s">
        <v>3321</v>
      </c>
      <c r="H1403" s="3" t="s">
        <v>3322</v>
      </c>
      <c r="I1403" s="4">
        <v>1259.0999999999999</v>
      </c>
      <c r="J1403" s="3" t="s">
        <v>11</v>
      </c>
      <c r="K1403" t="e">
        <f>MATCH(A1403,Database!$A$2:$A$948,0)</f>
        <v>#N/A</v>
      </c>
      <c r="L1403" t="e">
        <f>VLOOKUP(A1403,Database!$A$2:$I$948,4,0)</f>
        <v>#N/A</v>
      </c>
      <c r="M1403" t="e">
        <f t="shared" si="45"/>
        <v>#N/A</v>
      </c>
      <c r="N1403" t="e">
        <f>VLOOKUP(A1403,Database!$A$2:$I$948,5,0)</f>
        <v>#N/A</v>
      </c>
    </row>
    <row r="1404" spans="1:14" hidden="1" x14ac:dyDescent="0.35">
      <c r="A1404" s="3">
        <v>103405340</v>
      </c>
      <c r="B1404" s="3" t="s">
        <v>3323</v>
      </c>
      <c r="C1404" s="3" t="str">
        <f t="shared" si="44"/>
        <v>2022-07-06</v>
      </c>
      <c r="D1404" s="3" t="s">
        <v>9</v>
      </c>
      <c r="E1404" s="3" t="s">
        <v>5</v>
      </c>
      <c r="F1404" s="3" t="s">
        <v>10</v>
      </c>
      <c r="G1404" s="3" t="s">
        <v>3324</v>
      </c>
      <c r="H1404" s="3" t="s">
        <v>3325</v>
      </c>
      <c r="I1404" s="3">
        <v>464.55</v>
      </c>
      <c r="J1404" s="3" t="s">
        <v>11</v>
      </c>
      <c r="K1404" t="e">
        <f>MATCH(A1404,Database!$A$2:$A$948,0)</f>
        <v>#N/A</v>
      </c>
      <c r="L1404" t="e">
        <f>VLOOKUP(A1404,Database!$A$2:$I$948,4,0)</f>
        <v>#N/A</v>
      </c>
      <c r="M1404" t="e">
        <f t="shared" si="45"/>
        <v>#N/A</v>
      </c>
      <c r="N1404" t="e">
        <f>VLOOKUP(A1404,Database!$A$2:$I$948,5,0)</f>
        <v>#N/A</v>
      </c>
    </row>
    <row r="1405" spans="1:14" hidden="1" x14ac:dyDescent="0.35">
      <c r="A1405" s="3">
        <v>103405337</v>
      </c>
      <c r="B1405" s="3" t="s">
        <v>3326</v>
      </c>
      <c r="C1405" s="3" t="str">
        <f t="shared" si="44"/>
        <v>2022-07-06</v>
      </c>
      <c r="D1405" s="3" t="s">
        <v>9</v>
      </c>
      <c r="E1405" s="3" t="s">
        <v>5</v>
      </c>
      <c r="F1405" s="3" t="s">
        <v>10</v>
      </c>
      <c r="G1405" s="3" t="s">
        <v>3327</v>
      </c>
      <c r="H1405" s="3" t="s">
        <v>3328</v>
      </c>
      <c r="I1405" s="3">
        <v>649</v>
      </c>
      <c r="J1405" s="3" t="s">
        <v>11</v>
      </c>
      <c r="K1405" t="e">
        <f>MATCH(A1405,Database!$A$2:$A$948,0)</f>
        <v>#N/A</v>
      </c>
      <c r="L1405" t="e">
        <f>VLOOKUP(A1405,Database!$A$2:$I$948,4,0)</f>
        <v>#N/A</v>
      </c>
      <c r="M1405" t="e">
        <f t="shared" si="45"/>
        <v>#N/A</v>
      </c>
      <c r="N1405" t="e">
        <f>VLOOKUP(A1405,Database!$A$2:$I$948,5,0)</f>
        <v>#N/A</v>
      </c>
    </row>
    <row r="1406" spans="1:14" hidden="1" x14ac:dyDescent="0.35">
      <c r="A1406" s="3">
        <v>103405249</v>
      </c>
      <c r="B1406" s="3" t="s">
        <v>3329</v>
      </c>
      <c r="C1406" s="3" t="str">
        <f t="shared" si="44"/>
        <v>2022-07-06</v>
      </c>
      <c r="D1406" s="3" t="s">
        <v>9</v>
      </c>
      <c r="E1406" s="3" t="s">
        <v>5</v>
      </c>
      <c r="F1406" s="3" t="s">
        <v>12</v>
      </c>
      <c r="G1406" s="3" t="s">
        <v>3330</v>
      </c>
      <c r="H1406" s="3" t="s">
        <v>3331</v>
      </c>
      <c r="I1406" s="4">
        <v>3134.05</v>
      </c>
      <c r="J1406" s="3" t="s">
        <v>11</v>
      </c>
      <c r="K1406" t="e">
        <f>MATCH(A1406,Database!$A$2:$A$948,0)</f>
        <v>#N/A</v>
      </c>
      <c r="L1406" t="e">
        <f>VLOOKUP(A1406,Database!$A$2:$I$948,4,0)</f>
        <v>#N/A</v>
      </c>
      <c r="M1406" t="e">
        <f t="shared" si="45"/>
        <v>#N/A</v>
      </c>
      <c r="N1406" t="e">
        <f>VLOOKUP(A1406,Database!$A$2:$I$948,5,0)</f>
        <v>#N/A</v>
      </c>
    </row>
    <row r="1407" spans="1:14" hidden="1" x14ac:dyDescent="0.35">
      <c r="A1407" s="3">
        <v>103405333</v>
      </c>
      <c r="B1407" s="3" t="s">
        <v>3332</v>
      </c>
      <c r="C1407" s="3" t="str">
        <f t="shared" si="44"/>
        <v>2022-07-06</v>
      </c>
      <c r="D1407" s="3" t="s">
        <v>9</v>
      </c>
      <c r="E1407" s="3" t="s">
        <v>5</v>
      </c>
      <c r="F1407" s="3" t="s">
        <v>10</v>
      </c>
      <c r="G1407" s="3" t="s">
        <v>3333</v>
      </c>
      <c r="H1407" s="3" t="s">
        <v>3334</v>
      </c>
      <c r="I1407" s="5">
        <v>1599</v>
      </c>
      <c r="J1407" s="3" t="s">
        <v>11</v>
      </c>
      <c r="K1407" t="e">
        <f>MATCH(A1407,Database!$A$2:$A$948,0)</f>
        <v>#N/A</v>
      </c>
      <c r="L1407" t="e">
        <f>VLOOKUP(A1407,Database!$A$2:$I$948,4,0)</f>
        <v>#N/A</v>
      </c>
      <c r="M1407" t="e">
        <f t="shared" si="45"/>
        <v>#N/A</v>
      </c>
      <c r="N1407" t="e">
        <f>VLOOKUP(A1407,Database!$A$2:$I$948,5,0)</f>
        <v>#N/A</v>
      </c>
    </row>
    <row r="1408" spans="1:14" hidden="1" x14ac:dyDescent="0.35">
      <c r="A1408" s="3">
        <v>103405330</v>
      </c>
      <c r="B1408" s="3" t="s">
        <v>3335</v>
      </c>
      <c r="C1408" s="3" t="str">
        <f t="shared" si="44"/>
        <v>2022-07-06</v>
      </c>
      <c r="D1408" s="3" t="s">
        <v>9</v>
      </c>
      <c r="E1408" s="3" t="s">
        <v>5</v>
      </c>
      <c r="F1408" s="3" t="s">
        <v>10</v>
      </c>
      <c r="G1408" s="3" t="s">
        <v>3336</v>
      </c>
      <c r="H1408" s="3" t="s">
        <v>3337</v>
      </c>
      <c r="I1408" s="5">
        <v>1399</v>
      </c>
      <c r="J1408" s="3" t="s">
        <v>11</v>
      </c>
      <c r="K1408" t="e">
        <f>MATCH(A1408,Database!$A$2:$A$948,0)</f>
        <v>#N/A</v>
      </c>
      <c r="L1408" t="e">
        <f>VLOOKUP(A1408,Database!$A$2:$I$948,4,0)</f>
        <v>#N/A</v>
      </c>
      <c r="M1408" t="e">
        <f t="shared" si="45"/>
        <v>#N/A</v>
      </c>
      <c r="N1408" t="e">
        <f>VLOOKUP(A1408,Database!$A$2:$I$948,5,0)</f>
        <v>#N/A</v>
      </c>
    </row>
    <row r="1409" spans="1:14" hidden="1" x14ac:dyDescent="0.35">
      <c r="A1409" s="3">
        <v>103405329</v>
      </c>
      <c r="B1409" s="3" t="s">
        <v>3338</v>
      </c>
      <c r="C1409" s="3" t="str">
        <f t="shared" si="44"/>
        <v>2022-07-06</v>
      </c>
      <c r="D1409" s="3" t="s">
        <v>9</v>
      </c>
      <c r="E1409" s="3" t="s">
        <v>5</v>
      </c>
      <c r="F1409" s="3" t="s">
        <v>10</v>
      </c>
      <c r="G1409" s="3" t="s">
        <v>3339</v>
      </c>
      <c r="H1409" s="3" t="s">
        <v>3340</v>
      </c>
      <c r="I1409" s="4">
        <v>1803.19</v>
      </c>
      <c r="J1409" s="3" t="s">
        <v>11</v>
      </c>
      <c r="K1409" t="e">
        <f>MATCH(A1409,Database!$A$2:$A$948,0)</f>
        <v>#N/A</v>
      </c>
      <c r="L1409" t="e">
        <f>VLOOKUP(A1409,Database!$A$2:$I$948,4,0)</f>
        <v>#N/A</v>
      </c>
      <c r="M1409" t="e">
        <f t="shared" si="45"/>
        <v>#N/A</v>
      </c>
      <c r="N1409" t="e">
        <f>VLOOKUP(A1409,Database!$A$2:$I$948,5,0)</f>
        <v>#N/A</v>
      </c>
    </row>
    <row r="1410" spans="1:14" hidden="1" x14ac:dyDescent="0.35">
      <c r="A1410" s="3">
        <v>103405228</v>
      </c>
      <c r="B1410" s="3" t="s">
        <v>3341</v>
      </c>
      <c r="C1410" s="3" t="str">
        <f t="shared" si="44"/>
        <v>2022-07-06</v>
      </c>
      <c r="D1410" s="3" t="s">
        <v>9</v>
      </c>
      <c r="E1410" s="3" t="s">
        <v>5</v>
      </c>
      <c r="F1410" s="3" t="s">
        <v>10</v>
      </c>
      <c r="G1410" s="3" t="s">
        <v>3342</v>
      </c>
      <c r="H1410" s="3" t="s">
        <v>3343</v>
      </c>
      <c r="I1410" s="3">
        <v>956.74</v>
      </c>
      <c r="J1410" s="3" t="s">
        <v>11</v>
      </c>
      <c r="K1410" t="e">
        <f>MATCH(A1410,Database!$A$2:$A$948,0)</f>
        <v>#N/A</v>
      </c>
      <c r="L1410" t="e">
        <f>VLOOKUP(A1410,Database!$A$2:$I$948,4,0)</f>
        <v>#N/A</v>
      </c>
      <c r="M1410" t="e">
        <f t="shared" si="45"/>
        <v>#N/A</v>
      </c>
      <c r="N1410" t="e">
        <f>VLOOKUP(A1410,Database!$A$2:$I$948,5,0)</f>
        <v>#N/A</v>
      </c>
    </row>
    <row r="1411" spans="1:14" hidden="1" x14ac:dyDescent="0.35">
      <c r="A1411" s="3">
        <v>103405225</v>
      </c>
      <c r="B1411" s="3" t="s">
        <v>3344</v>
      </c>
      <c r="C1411" s="3" t="str">
        <f t="shared" ref="C1411:C1474" si="46">LEFT(B1411,FIND("T",B1411)-1)</f>
        <v>2022-07-06</v>
      </c>
      <c r="D1411" s="3" t="s">
        <v>9</v>
      </c>
      <c r="E1411" s="3" t="s">
        <v>5</v>
      </c>
      <c r="F1411" s="3" t="s">
        <v>12</v>
      </c>
      <c r="G1411" s="3" t="s">
        <v>3345</v>
      </c>
      <c r="H1411" s="3" t="s">
        <v>3346</v>
      </c>
      <c r="I1411" s="3">
        <v>768.55</v>
      </c>
      <c r="J1411" s="3" t="s">
        <v>11</v>
      </c>
      <c r="K1411" t="e">
        <f>MATCH(A1411,Database!$A$2:$A$948,0)</f>
        <v>#N/A</v>
      </c>
      <c r="L1411" t="e">
        <f>VLOOKUP(A1411,Database!$A$2:$I$948,4,0)</f>
        <v>#N/A</v>
      </c>
      <c r="M1411" t="e">
        <f t="shared" si="45"/>
        <v>#N/A</v>
      </c>
      <c r="N1411" t="e">
        <f>VLOOKUP(A1411,Database!$A$2:$I$948,5,0)</f>
        <v>#N/A</v>
      </c>
    </row>
    <row r="1412" spans="1:14" hidden="1" x14ac:dyDescent="0.35">
      <c r="A1412" s="3">
        <v>103405224</v>
      </c>
      <c r="B1412" s="3" t="s">
        <v>3347</v>
      </c>
      <c r="C1412" s="3" t="str">
        <f t="shared" si="46"/>
        <v>2022-07-06</v>
      </c>
      <c r="D1412" s="3" t="s">
        <v>9</v>
      </c>
      <c r="E1412" s="3" t="s">
        <v>5</v>
      </c>
      <c r="F1412" s="3" t="s">
        <v>12</v>
      </c>
      <c r="G1412" s="3" t="s">
        <v>3348</v>
      </c>
      <c r="H1412" s="3" t="s">
        <v>3349</v>
      </c>
      <c r="I1412" s="5">
        <v>1189</v>
      </c>
      <c r="J1412" s="3" t="s">
        <v>11</v>
      </c>
      <c r="K1412" t="e">
        <f>MATCH(A1412,Database!$A$2:$A$948,0)</f>
        <v>#N/A</v>
      </c>
      <c r="L1412" t="e">
        <f>VLOOKUP(A1412,Database!$A$2:$I$948,4,0)</f>
        <v>#N/A</v>
      </c>
      <c r="M1412" t="e">
        <f t="shared" si="45"/>
        <v>#N/A</v>
      </c>
      <c r="N1412" t="e">
        <f>VLOOKUP(A1412,Database!$A$2:$I$948,5,0)</f>
        <v>#N/A</v>
      </c>
    </row>
    <row r="1413" spans="1:14" hidden="1" x14ac:dyDescent="0.35">
      <c r="A1413" s="3">
        <v>103405222</v>
      </c>
      <c r="B1413" s="3" t="s">
        <v>3350</v>
      </c>
      <c r="C1413" s="3" t="str">
        <f t="shared" si="46"/>
        <v>2022-07-06</v>
      </c>
      <c r="D1413" s="3" t="s">
        <v>9</v>
      </c>
      <c r="E1413" s="3" t="s">
        <v>5</v>
      </c>
      <c r="F1413" s="3" t="s">
        <v>10</v>
      </c>
      <c r="G1413" s="3" t="s">
        <v>3351</v>
      </c>
      <c r="H1413" s="3" t="s">
        <v>3352</v>
      </c>
      <c r="I1413" s="4">
        <v>1794.64</v>
      </c>
      <c r="J1413" s="3" t="s">
        <v>11</v>
      </c>
      <c r="K1413" t="e">
        <f>MATCH(A1413,Database!$A$2:$A$948,0)</f>
        <v>#N/A</v>
      </c>
      <c r="L1413" t="e">
        <f>VLOOKUP(A1413,Database!$A$2:$I$948,4,0)</f>
        <v>#N/A</v>
      </c>
      <c r="M1413" t="e">
        <f t="shared" si="45"/>
        <v>#N/A</v>
      </c>
      <c r="N1413" t="e">
        <f>VLOOKUP(A1413,Database!$A$2:$I$948,5,0)</f>
        <v>#N/A</v>
      </c>
    </row>
    <row r="1414" spans="1:14" hidden="1" x14ac:dyDescent="0.35">
      <c r="A1414" s="3">
        <v>103405317</v>
      </c>
      <c r="B1414" s="3" t="s">
        <v>3353</v>
      </c>
      <c r="C1414" s="3" t="str">
        <f t="shared" si="46"/>
        <v>2022-07-06</v>
      </c>
      <c r="D1414" s="3" t="s">
        <v>9</v>
      </c>
      <c r="E1414" s="3" t="s">
        <v>5</v>
      </c>
      <c r="F1414" s="3" t="s">
        <v>10</v>
      </c>
      <c r="G1414" s="3" t="s">
        <v>3354</v>
      </c>
      <c r="H1414" s="3" t="s">
        <v>3355</v>
      </c>
      <c r="I1414" s="4">
        <v>2991.55</v>
      </c>
      <c r="J1414" s="3" t="s">
        <v>11</v>
      </c>
      <c r="K1414" t="e">
        <f>MATCH(A1414,Database!$A$2:$A$948,0)</f>
        <v>#N/A</v>
      </c>
      <c r="L1414" t="e">
        <f>VLOOKUP(A1414,Database!$A$2:$I$948,4,0)</f>
        <v>#N/A</v>
      </c>
      <c r="M1414" t="e">
        <f t="shared" si="45"/>
        <v>#N/A</v>
      </c>
      <c r="N1414" t="e">
        <f>VLOOKUP(A1414,Database!$A$2:$I$948,5,0)</f>
        <v>#N/A</v>
      </c>
    </row>
    <row r="1415" spans="1:14" hidden="1" x14ac:dyDescent="0.35">
      <c r="A1415" s="3">
        <v>103405219</v>
      </c>
      <c r="B1415" s="3" t="s">
        <v>3356</v>
      </c>
      <c r="C1415" s="3" t="str">
        <f t="shared" si="46"/>
        <v>2022-07-06</v>
      </c>
      <c r="D1415" s="3" t="s">
        <v>9</v>
      </c>
      <c r="E1415" s="3" t="s">
        <v>5</v>
      </c>
      <c r="F1415" s="3" t="s">
        <v>12</v>
      </c>
      <c r="G1415" s="3" t="s">
        <v>3357</v>
      </c>
      <c r="H1415" s="3" t="s">
        <v>3358</v>
      </c>
      <c r="I1415" s="5">
        <v>2199</v>
      </c>
      <c r="J1415" s="3" t="s">
        <v>11</v>
      </c>
      <c r="K1415" t="e">
        <f>MATCH(A1415,Database!$A$2:$A$948,0)</f>
        <v>#N/A</v>
      </c>
      <c r="L1415" t="e">
        <f>VLOOKUP(A1415,Database!$A$2:$I$948,4,0)</f>
        <v>#N/A</v>
      </c>
      <c r="M1415" t="e">
        <f t="shared" si="45"/>
        <v>#N/A</v>
      </c>
      <c r="N1415" t="e">
        <f>VLOOKUP(A1415,Database!$A$2:$I$948,5,0)</f>
        <v>#N/A</v>
      </c>
    </row>
    <row r="1416" spans="1:14" hidden="1" x14ac:dyDescent="0.35">
      <c r="A1416" s="3">
        <v>103405218</v>
      </c>
      <c r="B1416" s="3" t="s">
        <v>3359</v>
      </c>
      <c r="C1416" s="3" t="str">
        <f t="shared" si="46"/>
        <v>2022-07-06</v>
      </c>
      <c r="D1416" s="3" t="s">
        <v>9</v>
      </c>
      <c r="E1416" s="3" t="s">
        <v>5</v>
      </c>
      <c r="F1416" s="3" t="s">
        <v>10</v>
      </c>
      <c r="G1416" s="3" t="s">
        <v>3360</v>
      </c>
      <c r="H1416" s="3" t="s">
        <v>3361</v>
      </c>
      <c r="I1416" s="4">
        <v>4274.1400000000003</v>
      </c>
      <c r="J1416" s="3" t="s">
        <v>11</v>
      </c>
      <c r="K1416" t="e">
        <f>MATCH(A1416,Database!$A$2:$A$948,0)</f>
        <v>#N/A</v>
      </c>
      <c r="L1416" t="e">
        <f>VLOOKUP(A1416,Database!$A$2:$I$948,4,0)</f>
        <v>#N/A</v>
      </c>
      <c r="M1416" t="e">
        <f t="shared" si="45"/>
        <v>#N/A</v>
      </c>
      <c r="N1416" t="e">
        <f>VLOOKUP(A1416,Database!$A$2:$I$948,5,0)</f>
        <v>#N/A</v>
      </c>
    </row>
    <row r="1417" spans="1:14" hidden="1" x14ac:dyDescent="0.35">
      <c r="A1417" s="3">
        <v>103405311</v>
      </c>
      <c r="B1417" s="3" t="s">
        <v>3362</v>
      </c>
      <c r="C1417" s="3" t="str">
        <f t="shared" si="46"/>
        <v>2022-07-06</v>
      </c>
      <c r="D1417" s="3" t="s">
        <v>9</v>
      </c>
      <c r="E1417" s="3" t="s">
        <v>5</v>
      </c>
      <c r="F1417" s="3" t="s">
        <v>10</v>
      </c>
      <c r="G1417" s="3" t="s">
        <v>3363</v>
      </c>
      <c r="H1417" s="3" t="s">
        <v>3364</v>
      </c>
      <c r="I1417" s="5">
        <v>2399</v>
      </c>
      <c r="J1417" s="3" t="s">
        <v>11</v>
      </c>
      <c r="K1417" t="e">
        <f>MATCH(A1417,Database!$A$2:$A$948,0)</f>
        <v>#N/A</v>
      </c>
      <c r="L1417" t="e">
        <f>VLOOKUP(A1417,Database!$A$2:$I$948,4,0)</f>
        <v>#N/A</v>
      </c>
      <c r="M1417" t="e">
        <f t="shared" si="45"/>
        <v>#N/A</v>
      </c>
      <c r="N1417" t="e">
        <f>VLOOKUP(A1417,Database!$A$2:$I$948,5,0)</f>
        <v>#N/A</v>
      </c>
    </row>
    <row r="1418" spans="1:14" hidden="1" x14ac:dyDescent="0.35">
      <c r="A1418" s="3">
        <v>103405308</v>
      </c>
      <c r="B1418" s="3" t="s">
        <v>3365</v>
      </c>
      <c r="C1418" s="3" t="str">
        <f t="shared" si="46"/>
        <v>2022-07-06</v>
      </c>
      <c r="D1418" s="3" t="s">
        <v>9</v>
      </c>
      <c r="E1418" s="3" t="s">
        <v>5</v>
      </c>
      <c r="F1418" s="3" t="s">
        <v>10</v>
      </c>
      <c r="G1418" s="3" t="s">
        <v>3366</v>
      </c>
      <c r="H1418" s="3" t="s">
        <v>3367</v>
      </c>
      <c r="I1418" s="4">
        <v>2849.05</v>
      </c>
      <c r="J1418" s="3" t="s">
        <v>11</v>
      </c>
      <c r="K1418" t="e">
        <f>MATCH(A1418,Database!$A$2:$A$948,0)</f>
        <v>#N/A</v>
      </c>
      <c r="L1418" t="e">
        <f>VLOOKUP(A1418,Database!$A$2:$I$948,4,0)</f>
        <v>#N/A</v>
      </c>
      <c r="M1418" t="e">
        <f t="shared" si="45"/>
        <v>#N/A</v>
      </c>
      <c r="N1418" t="e">
        <f>VLOOKUP(A1418,Database!$A$2:$I$948,5,0)</f>
        <v>#N/A</v>
      </c>
    </row>
    <row r="1419" spans="1:14" hidden="1" x14ac:dyDescent="0.35">
      <c r="A1419" s="3">
        <v>103405307</v>
      </c>
      <c r="B1419" s="3" t="s">
        <v>3368</v>
      </c>
      <c r="C1419" s="3" t="str">
        <f t="shared" si="46"/>
        <v>2022-07-06</v>
      </c>
      <c r="D1419" s="3" t="s">
        <v>9</v>
      </c>
      <c r="E1419" s="3" t="s">
        <v>5</v>
      </c>
      <c r="F1419" s="3" t="s">
        <v>12</v>
      </c>
      <c r="G1419" s="3" t="s">
        <v>3369</v>
      </c>
      <c r="H1419" s="3" t="s">
        <v>3370</v>
      </c>
      <c r="I1419" s="3">
        <v>599</v>
      </c>
      <c r="J1419" s="3" t="s">
        <v>11</v>
      </c>
      <c r="K1419" t="e">
        <f>MATCH(A1419,Database!$A$2:$A$948,0)</f>
        <v>#N/A</v>
      </c>
      <c r="L1419" t="e">
        <f>VLOOKUP(A1419,Database!$A$2:$I$948,4,0)</f>
        <v>#N/A</v>
      </c>
      <c r="M1419" t="e">
        <f t="shared" si="45"/>
        <v>#N/A</v>
      </c>
      <c r="N1419" t="e">
        <f>VLOOKUP(A1419,Database!$A$2:$I$948,5,0)</f>
        <v>#N/A</v>
      </c>
    </row>
    <row r="1420" spans="1:14" hidden="1" x14ac:dyDescent="0.35">
      <c r="A1420" s="3">
        <v>103405306</v>
      </c>
      <c r="B1420" s="3" t="s">
        <v>3371</v>
      </c>
      <c r="C1420" s="3" t="str">
        <f t="shared" si="46"/>
        <v>2022-07-06</v>
      </c>
      <c r="D1420" s="3" t="s">
        <v>9</v>
      </c>
      <c r="E1420" s="3" t="s">
        <v>5</v>
      </c>
      <c r="F1420" s="3" t="s">
        <v>10</v>
      </c>
      <c r="G1420" s="3" t="s">
        <v>3372</v>
      </c>
      <c r="H1420" s="3" t="s">
        <v>3373</v>
      </c>
      <c r="I1420" s="5">
        <v>1119</v>
      </c>
      <c r="J1420" s="3" t="s">
        <v>11</v>
      </c>
      <c r="K1420" t="e">
        <f>MATCH(A1420,Database!$A$2:$A$948,0)</f>
        <v>#N/A</v>
      </c>
      <c r="L1420" t="e">
        <f>VLOOKUP(A1420,Database!$A$2:$I$948,4,0)</f>
        <v>#N/A</v>
      </c>
      <c r="M1420" t="e">
        <f t="shared" ref="M1420:M1483" si="47">I1420=L1420</f>
        <v>#N/A</v>
      </c>
      <c r="N1420" t="e">
        <f>VLOOKUP(A1420,Database!$A$2:$I$948,5,0)</f>
        <v>#N/A</v>
      </c>
    </row>
    <row r="1421" spans="1:14" hidden="1" x14ac:dyDescent="0.35">
      <c r="A1421" s="3">
        <v>103405214</v>
      </c>
      <c r="B1421" s="3" t="s">
        <v>3374</v>
      </c>
      <c r="C1421" s="3" t="str">
        <f t="shared" si="46"/>
        <v>2022-07-06</v>
      </c>
      <c r="D1421" s="3" t="s">
        <v>9</v>
      </c>
      <c r="E1421" s="3" t="s">
        <v>5</v>
      </c>
      <c r="F1421" s="3" t="s">
        <v>10</v>
      </c>
      <c r="G1421" s="3" t="s">
        <v>3375</v>
      </c>
      <c r="H1421" s="3" t="s">
        <v>3376</v>
      </c>
      <c r="I1421" s="4">
        <v>4179.05</v>
      </c>
      <c r="J1421" s="3" t="s">
        <v>11</v>
      </c>
      <c r="K1421" t="e">
        <f>MATCH(A1421,Database!$A$2:$A$948,0)</f>
        <v>#N/A</v>
      </c>
      <c r="L1421" t="e">
        <f>VLOOKUP(A1421,Database!$A$2:$I$948,4,0)</f>
        <v>#N/A</v>
      </c>
      <c r="M1421" t="e">
        <f t="shared" si="47"/>
        <v>#N/A</v>
      </c>
      <c r="N1421" t="e">
        <f>VLOOKUP(A1421,Database!$A$2:$I$948,5,0)</f>
        <v>#N/A</v>
      </c>
    </row>
    <row r="1422" spans="1:14" hidden="1" x14ac:dyDescent="0.35">
      <c r="A1422" s="3">
        <v>103405213</v>
      </c>
      <c r="B1422" s="3" t="s">
        <v>3377</v>
      </c>
      <c r="C1422" s="3" t="str">
        <f t="shared" si="46"/>
        <v>2022-07-06</v>
      </c>
      <c r="D1422" s="3" t="s">
        <v>9</v>
      </c>
      <c r="E1422" s="3" t="s">
        <v>5</v>
      </c>
      <c r="F1422" s="3" t="s">
        <v>10</v>
      </c>
      <c r="G1422" s="3" t="s">
        <v>3378</v>
      </c>
      <c r="H1422" s="3" t="s">
        <v>3379</v>
      </c>
      <c r="I1422" s="3">
        <v>969</v>
      </c>
      <c r="J1422" s="3" t="s">
        <v>11</v>
      </c>
      <c r="K1422" t="e">
        <f>MATCH(A1422,Database!$A$2:$A$948,0)</f>
        <v>#N/A</v>
      </c>
      <c r="L1422" t="e">
        <f>VLOOKUP(A1422,Database!$A$2:$I$948,4,0)</f>
        <v>#N/A</v>
      </c>
      <c r="M1422" t="e">
        <f t="shared" si="47"/>
        <v>#N/A</v>
      </c>
      <c r="N1422" t="e">
        <f>VLOOKUP(A1422,Database!$A$2:$I$948,5,0)</f>
        <v>#N/A</v>
      </c>
    </row>
    <row r="1423" spans="1:14" hidden="1" x14ac:dyDescent="0.35">
      <c r="A1423" s="3">
        <v>103405212</v>
      </c>
      <c r="B1423" s="3" t="s">
        <v>3380</v>
      </c>
      <c r="C1423" s="3" t="str">
        <f t="shared" si="46"/>
        <v>2022-07-06</v>
      </c>
      <c r="D1423" s="3" t="s">
        <v>9</v>
      </c>
      <c r="E1423" s="3" t="s">
        <v>5</v>
      </c>
      <c r="F1423" s="3" t="s">
        <v>10</v>
      </c>
      <c r="G1423" s="3" t="s">
        <v>3381</v>
      </c>
      <c r="H1423" s="3" t="s">
        <v>3382</v>
      </c>
      <c r="I1423" s="4">
        <v>3474.15</v>
      </c>
      <c r="J1423" s="3" t="s">
        <v>11</v>
      </c>
      <c r="K1423" t="e">
        <f>MATCH(A1423,Database!$A$2:$A$948,0)</f>
        <v>#N/A</v>
      </c>
      <c r="L1423" t="e">
        <f>VLOOKUP(A1423,Database!$A$2:$I$948,4,0)</f>
        <v>#N/A</v>
      </c>
      <c r="M1423" t="e">
        <f t="shared" si="47"/>
        <v>#N/A</v>
      </c>
      <c r="N1423" t="e">
        <f>VLOOKUP(A1423,Database!$A$2:$I$948,5,0)</f>
        <v>#N/A</v>
      </c>
    </row>
    <row r="1424" spans="1:14" hidden="1" x14ac:dyDescent="0.35">
      <c r="A1424" s="3">
        <v>103405301</v>
      </c>
      <c r="B1424" s="3" t="s">
        <v>3383</v>
      </c>
      <c r="C1424" s="3" t="str">
        <f t="shared" si="46"/>
        <v>2022-07-06</v>
      </c>
      <c r="D1424" s="3" t="s">
        <v>9</v>
      </c>
      <c r="E1424" s="3" t="s">
        <v>5</v>
      </c>
      <c r="F1424" s="3" t="s">
        <v>10</v>
      </c>
      <c r="G1424" s="3" t="s">
        <v>3384</v>
      </c>
      <c r="H1424" s="3" t="s">
        <v>3385</v>
      </c>
      <c r="I1424" s="5">
        <v>2249</v>
      </c>
      <c r="J1424" s="3" t="s">
        <v>11</v>
      </c>
      <c r="K1424" t="e">
        <f>MATCH(A1424,Database!$A$2:$A$948,0)</f>
        <v>#N/A</v>
      </c>
      <c r="L1424" t="e">
        <f>VLOOKUP(A1424,Database!$A$2:$I$948,4,0)</f>
        <v>#N/A</v>
      </c>
      <c r="M1424" t="e">
        <f t="shared" si="47"/>
        <v>#N/A</v>
      </c>
      <c r="N1424" t="e">
        <f>VLOOKUP(A1424,Database!$A$2:$I$948,5,0)</f>
        <v>#N/A</v>
      </c>
    </row>
    <row r="1425" spans="1:14" hidden="1" x14ac:dyDescent="0.35">
      <c r="A1425" s="3">
        <v>103405299</v>
      </c>
      <c r="B1425" s="3" t="s">
        <v>3386</v>
      </c>
      <c r="C1425" s="3" t="str">
        <f t="shared" si="46"/>
        <v>2022-07-06</v>
      </c>
      <c r="D1425" s="3" t="s">
        <v>9</v>
      </c>
      <c r="E1425" s="3" t="s">
        <v>5</v>
      </c>
      <c r="F1425" s="3" t="s">
        <v>10</v>
      </c>
      <c r="G1425" s="3" t="s">
        <v>3387</v>
      </c>
      <c r="H1425" s="3" t="s">
        <v>3388</v>
      </c>
      <c r="I1425" s="3">
        <v>999</v>
      </c>
      <c r="J1425" s="3" t="s">
        <v>11</v>
      </c>
      <c r="K1425" t="e">
        <f>MATCH(A1425,Database!$A$2:$A$948,0)</f>
        <v>#N/A</v>
      </c>
      <c r="L1425" t="e">
        <f>VLOOKUP(A1425,Database!$A$2:$I$948,4,0)</f>
        <v>#N/A</v>
      </c>
      <c r="M1425" t="e">
        <f t="shared" si="47"/>
        <v>#N/A</v>
      </c>
      <c r="N1425" t="e">
        <f>VLOOKUP(A1425,Database!$A$2:$I$948,5,0)</f>
        <v>#N/A</v>
      </c>
    </row>
    <row r="1426" spans="1:14" hidden="1" x14ac:dyDescent="0.35">
      <c r="A1426" s="3">
        <v>103405294</v>
      </c>
      <c r="B1426" s="3" t="s">
        <v>3389</v>
      </c>
      <c r="C1426" s="3" t="str">
        <f t="shared" si="46"/>
        <v>2022-07-06</v>
      </c>
      <c r="D1426" s="3" t="s">
        <v>9</v>
      </c>
      <c r="E1426" s="3" t="s">
        <v>5</v>
      </c>
      <c r="F1426" s="3" t="s">
        <v>10</v>
      </c>
      <c r="G1426" s="3" t="s">
        <v>3390</v>
      </c>
      <c r="H1426" s="3" t="s">
        <v>3391</v>
      </c>
      <c r="I1426" s="3">
        <v>809</v>
      </c>
      <c r="J1426" s="3" t="s">
        <v>11</v>
      </c>
      <c r="K1426" t="e">
        <f>MATCH(A1426,Database!$A$2:$A$948,0)</f>
        <v>#N/A</v>
      </c>
      <c r="L1426" t="e">
        <f>VLOOKUP(A1426,Database!$A$2:$I$948,4,0)</f>
        <v>#N/A</v>
      </c>
      <c r="M1426" t="e">
        <f t="shared" si="47"/>
        <v>#N/A</v>
      </c>
      <c r="N1426" t="e">
        <f>VLOOKUP(A1426,Database!$A$2:$I$948,5,0)</f>
        <v>#N/A</v>
      </c>
    </row>
    <row r="1427" spans="1:14" hidden="1" x14ac:dyDescent="0.35">
      <c r="A1427" s="3">
        <v>103405198</v>
      </c>
      <c r="B1427" s="3" t="s">
        <v>3392</v>
      </c>
      <c r="C1427" s="3" t="str">
        <f t="shared" si="46"/>
        <v>2022-07-06</v>
      </c>
      <c r="D1427" s="3" t="s">
        <v>9</v>
      </c>
      <c r="E1427" s="3" t="s">
        <v>5</v>
      </c>
      <c r="F1427" s="3" t="s">
        <v>10</v>
      </c>
      <c r="G1427" s="3" t="s">
        <v>3393</v>
      </c>
      <c r="H1427" s="3" t="s">
        <v>3394</v>
      </c>
      <c r="I1427" s="4">
        <v>2279.0500000000002</v>
      </c>
      <c r="J1427" s="3" t="s">
        <v>11</v>
      </c>
      <c r="K1427" t="e">
        <f>MATCH(A1427,Database!$A$2:$A$948,0)</f>
        <v>#N/A</v>
      </c>
      <c r="L1427" t="e">
        <f>VLOOKUP(A1427,Database!$A$2:$I$948,4,0)</f>
        <v>#N/A</v>
      </c>
      <c r="M1427" t="e">
        <f t="shared" si="47"/>
        <v>#N/A</v>
      </c>
      <c r="N1427" t="e">
        <f>VLOOKUP(A1427,Database!$A$2:$I$948,5,0)</f>
        <v>#N/A</v>
      </c>
    </row>
    <row r="1428" spans="1:14" hidden="1" x14ac:dyDescent="0.35">
      <c r="A1428" s="3">
        <v>103405283</v>
      </c>
      <c r="B1428" s="3" t="s">
        <v>3395</v>
      </c>
      <c r="C1428" s="3" t="str">
        <f t="shared" si="46"/>
        <v>2022-07-06</v>
      </c>
      <c r="D1428" s="3" t="s">
        <v>9</v>
      </c>
      <c r="E1428" s="3" t="s">
        <v>5</v>
      </c>
      <c r="F1428" s="3" t="s">
        <v>10</v>
      </c>
      <c r="G1428" s="3" t="s">
        <v>3396</v>
      </c>
      <c r="H1428" s="3" t="s">
        <v>3397</v>
      </c>
      <c r="I1428" s="4">
        <v>1709.05</v>
      </c>
      <c r="J1428" s="3" t="s">
        <v>11</v>
      </c>
      <c r="K1428" t="e">
        <f>MATCH(A1428,Database!$A$2:$A$948,0)</f>
        <v>#N/A</v>
      </c>
      <c r="L1428" t="e">
        <f>VLOOKUP(A1428,Database!$A$2:$I$948,4,0)</f>
        <v>#N/A</v>
      </c>
      <c r="M1428" t="e">
        <f t="shared" si="47"/>
        <v>#N/A</v>
      </c>
      <c r="N1428" t="e">
        <f>VLOOKUP(A1428,Database!$A$2:$I$948,5,0)</f>
        <v>#N/A</v>
      </c>
    </row>
    <row r="1429" spans="1:14" hidden="1" x14ac:dyDescent="0.35">
      <c r="A1429" s="3">
        <v>103405191</v>
      </c>
      <c r="B1429" s="3" t="s">
        <v>3398</v>
      </c>
      <c r="C1429" s="3" t="str">
        <f t="shared" si="46"/>
        <v>2022-07-06</v>
      </c>
      <c r="D1429" s="3" t="s">
        <v>9</v>
      </c>
      <c r="E1429" s="3" t="s">
        <v>5</v>
      </c>
      <c r="F1429" s="3" t="s">
        <v>10</v>
      </c>
      <c r="G1429" s="3" t="s">
        <v>3399</v>
      </c>
      <c r="H1429" s="3" t="s">
        <v>3400</v>
      </c>
      <c r="I1429" s="4">
        <v>1619.1</v>
      </c>
      <c r="J1429" s="3" t="s">
        <v>11</v>
      </c>
      <c r="K1429" t="e">
        <f>MATCH(A1429,Database!$A$2:$A$948,0)</f>
        <v>#N/A</v>
      </c>
      <c r="L1429" t="e">
        <f>VLOOKUP(A1429,Database!$A$2:$I$948,4,0)</f>
        <v>#N/A</v>
      </c>
      <c r="M1429" t="e">
        <f t="shared" si="47"/>
        <v>#N/A</v>
      </c>
      <c r="N1429" t="e">
        <f>VLOOKUP(A1429,Database!$A$2:$I$948,5,0)</f>
        <v>#N/A</v>
      </c>
    </row>
    <row r="1430" spans="1:14" hidden="1" x14ac:dyDescent="0.35">
      <c r="A1430" s="3">
        <v>103405189</v>
      </c>
      <c r="B1430" s="3" t="s">
        <v>3401</v>
      </c>
      <c r="C1430" s="3" t="str">
        <f t="shared" si="46"/>
        <v>2022-07-06</v>
      </c>
      <c r="D1430" s="3" t="s">
        <v>9</v>
      </c>
      <c r="E1430" s="3" t="s">
        <v>5</v>
      </c>
      <c r="F1430" s="3" t="s">
        <v>12</v>
      </c>
      <c r="G1430" s="3" t="s">
        <v>3402</v>
      </c>
      <c r="H1430" s="3" t="s">
        <v>3403</v>
      </c>
      <c r="I1430" s="5">
        <v>1869</v>
      </c>
      <c r="J1430" s="3" t="s">
        <v>11</v>
      </c>
      <c r="K1430" t="e">
        <f>MATCH(A1430,Database!$A$2:$A$948,0)</f>
        <v>#N/A</v>
      </c>
      <c r="L1430" t="e">
        <f>VLOOKUP(A1430,Database!$A$2:$I$948,4,0)</f>
        <v>#N/A</v>
      </c>
      <c r="M1430" t="e">
        <f t="shared" si="47"/>
        <v>#N/A</v>
      </c>
      <c r="N1430" t="e">
        <f>VLOOKUP(A1430,Database!$A$2:$I$948,5,0)</f>
        <v>#N/A</v>
      </c>
    </row>
    <row r="1431" spans="1:14" hidden="1" x14ac:dyDescent="0.35">
      <c r="A1431" s="3">
        <v>103405182</v>
      </c>
      <c r="B1431" s="3" t="s">
        <v>3404</v>
      </c>
      <c r="C1431" s="3" t="str">
        <f t="shared" si="46"/>
        <v>2022-07-06</v>
      </c>
      <c r="D1431" s="3" t="s">
        <v>9</v>
      </c>
      <c r="E1431" s="3" t="s">
        <v>5</v>
      </c>
      <c r="F1431" s="3" t="s">
        <v>10</v>
      </c>
      <c r="G1431" s="3" t="s">
        <v>3405</v>
      </c>
      <c r="H1431" s="3" t="s">
        <v>3406</v>
      </c>
      <c r="I1431" s="5">
        <v>1099</v>
      </c>
      <c r="J1431" s="3" t="s">
        <v>11</v>
      </c>
      <c r="K1431" t="e">
        <f>MATCH(A1431,Database!$A$2:$A$948,0)</f>
        <v>#N/A</v>
      </c>
      <c r="L1431" t="e">
        <f>VLOOKUP(A1431,Database!$A$2:$I$948,4,0)</f>
        <v>#N/A</v>
      </c>
      <c r="M1431" t="e">
        <f t="shared" si="47"/>
        <v>#N/A</v>
      </c>
      <c r="N1431" t="e">
        <f>VLOOKUP(A1431,Database!$A$2:$I$948,5,0)</f>
        <v>#N/A</v>
      </c>
    </row>
    <row r="1432" spans="1:14" hidden="1" x14ac:dyDescent="0.35">
      <c r="A1432" s="3">
        <v>103405269</v>
      </c>
      <c r="B1432" s="3" t="s">
        <v>3407</v>
      </c>
      <c r="C1432" s="3" t="str">
        <f t="shared" si="46"/>
        <v>2022-07-06</v>
      </c>
      <c r="D1432" s="3" t="s">
        <v>9</v>
      </c>
      <c r="E1432" s="3" t="s">
        <v>5</v>
      </c>
      <c r="F1432" s="3" t="s">
        <v>10</v>
      </c>
      <c r="G1432" s="3" t="s">
        <v>3408</v>
      </c>
      <c r="H1432" s="3" t="s">
        <v>3409</v>
      </c>
      <c r="I1432" s="5">
        <v>2399</v>
      </c>
      <c r="J1432" s="3" t="s">
        <v>11</v>
      </c>
      <c r="K1432" t="e">
        <f>MATCH(A1432,Database!$A$2:$A$948,0)</f>
        <v>#N/A</v>
      </c>
      <c r="L1432" t="e">
        <f>VLOOKUP(A1432,Database!$A$2:$I$948,4,0)</f>
        <v>#N/A</v>
      </c>
      <c r="M1432" t="e">
        <f t="shared" si="47"/>
        <v>#N/A</v>
      </c>
      <c r="N1432" t="e">
        <f>VLOOKUP(A1432,Database!$A$2:$I$948,5,0)</f>
        <v>#N/A</v>
      </c>
    </row>
    <row r="1433" spans="1:14" hidden="1" x14ac:dyDescent="0.35">
      <c r="A1433" s="3">
        <v>103405181</v>
      </c>
      <c r="B1433" s="3" t="s">
        <v>3410</v>
      </c>
      <c r="C1433" s="3" t="str">
        <f t="shared" si="46"/>
        <v>2022-07-06</v>
      </c>
      <c r="D1433" s="3" t="s">
        <v>9</v>
      </c>
      <c r="E1433" s="3" t="s">
        <v>5</v>
      </c>
      <c r="F1433" s="3" t="s">
        <v>10</v>
      </c>
      <c r="G1433" s="3" t="s">
        <v>3411</v>
      </c>
      <c r="H1433" s="3" t="s">
        <v>3412</v>
      </c>
      <c r="I1433" s="4">
        <v>1079.0999999999999</v>
      </c>
      <c r="J1433" s="3" t="s">
        <v>11</v>
      </c>
      <c r="K1433" t="e">
        <f>MATCH(A1433,Database!$A$2:$A$948,0)</f>
        <v>#N/A</v>
      </c>
      <c r="L1433" t="e">
        <f>VLOOKUP(A1433,Database!$A$2:$I$948,4,0)</f>
        <v>#N/A</v>
      </c>
      <c r="M1433" t="e">
        <f t="shared" si="47"/>
        <v>#N/A</v>
      </c>
      <c r="N1433" t="e">
        <f>VLOOKUP(A1433,Database!$A$2:$I$948,5,0)</f>
        <v>#N/A</v>
      </c>
    </row>
    <row r="1434" spans="1:14" hidden="1" x14ac:dyDescent="0.35">
      <c r="A1434" s="3">
        <v>103405179</v>
      </c>
      <c r="B1434" s="3" t="s">
        <v>3413</v>
      </c>
      <c r="C1434" s="3" t="str">
        <f t="shared" si="46"/>
        <v>2022-07-06</v>
      </c>
      <c r="D1434" s="3" t="s">
        <v>9</v>
      </c>
      <c r="E1434" s="3" t="s">
        <v>5</v>
      </c>
      <c r="F1434" s="3" t="s">
        <v>10</v>
      </c>
      <c r="G1434" s="3" t="s">
        <v>3414</v>
      </c>
      <c r="H1434" s="3" t="s">
        <v>3415</v>
      </c>
      <c r="I1434" s="5">
        <v>1249</v>
      </c>
      <c r="J1434" s="3" t="s">
        <v>11</v>
      </c>
      <c r="K1434" t="e">
        <f>MATCH(A1434,Database!$A$2:$A$948,0)</f>
        <v>#N/A</v>
      </c>
      <c r="L1434" t="e">
        <f>VLOOKUP(A1434,Database!$A$2:$I$948,4,0)</f>
        <v>#N/A</v>
      </c>
      <c r="M1434" t="e">
        <f t="shared" si="47"/>
        <v>#N/A</v>
      </c>
      <c r="N1434" t="e">
        <f>VLOOKUP(A1434,Database!$A$2:$I$948,5,0)</f>
        <v>#N/A</v>
      </c>
    </row>
    <row r="1435" spans="1:14" hidden="1" x14ac:dyDescent="0.35">
      <c r="A1435" s="3">
        <v>103405265</v>
      </c>
      <c r="B1435" s="3" t="s">
        <v>3416</v>
      </c>
      <c r="C1435" s="3" t="str">
        <f t="shared" si="46"/>
        <v>2022-07-06</v>
      </c>
      <c r="D1435" s="3" t="s">
        <v>9</v>
      </c>
      <c r="E1435" s="3" t="s">
        <v>5</v>
      </c>
      <c r="F1435" s="3" t="s">
        <v>10</v>
      </c>
      <c r="G1435" s="3" t="s">
        <v>3417</v>
      </c>
      <c r="H1435" s="3" t="s">
        <v>3418</v>
      </c>
      <c r="I1435" s="5">
        <v>5998</v>
      </c>
      <c r="J1435" s="3" t="s">
        <v>11</v>
      </c>
      <c r="K1435" t="e">
        <f>MATCH(A1435,Database!$A$2:$A$948,0)</f>
        <v>#N/A</v>
      </c>
      <c r="L1435" t="e">
        <f>VLOOKUP(A1435,Database!$A$2:$I$948,4,0)</f>
        <v>#N/A</v>
      </c>
      <c r="M1435" t="e">
        <f t="shared" si="47"/>
        <v>#N/A</v>
      </c>
      <c r="N1435" t="e">
        <f>VLOOKUP(A1435,Database!$A$2:$I$948,5,0)</f>
        <v>#N/A</v>
      </c>
    </row>
    <row r="1436" spans="1:14" hidden="1" x14ac:dyDescent="0.35">
      <c r="A1436" s="3">
        <v>103405178</v>
      </c>
      <c r="B1436" s="3" t="s">
        <v>3419</v>
      </c>
      <c r="C1436" s="3" t="str">
        <f t="shared" si="46"/>
        <v>2022-07-06</v>
      </c>
      <c r="D1436" s="3" t="s">
        <v>9</v>
      </c>
      <c r="E1436" s="3" t="s">
        <v>5</v>
      </c>
      <c r="F1436" s="3" t="s">
        <v>10</v>
      </c>
      <c r="G1436" s="3" t="s">
        <v>3420</v>
      </c>
      <c r="H1436" s="3" t="s">
        <v>3421</v>
      </c>
      <c r="I1436" s="3">
        <v>580.54</v>
      </c>
      <c r="J1436" s="3" t="s">
        <v>11</v>
      </c>
      <c r="K1436" t="e">
        <f>MATCH(A1436,Database!$A$2:$A$948,0)</f>
        <v>#N/A</v>
      </c>
      <c r="L1436" t="e">
        <f>VLOOKUP(A1436,Database!$A$2:$I$948,4,0)</f>
        <v>#N/A</v>
      </c>
      <c r="M1436" t="e">
        <f t="shared" si="47"/>
        <v>#N/A</v>
      </c>
      <c r="N1436" t="e">
        <f>VLOOKUP(A1436,Database!$A$2:$I$948,5,0)</f>
        <v>#N/A</v>
      </c>
    </row>
    <row r="1437" spans="1:14" hidden="1" x14ac:dyDescent="0.35">
      <c r="A1437" s="3">
        <v>103405171</v>
      </c>
      <c r="B1437" s="3" t="s">
        <v>3422</v>
      </c>
      <c r="C1437" s="3" t="str">
        <f t="shared" si="46"/>
        <v>2022-07-06</v>
      </c>
      <c r="D1437" s="3" t="s">
        <v>9</v>
      </c>
      <c r="E1437" s="3" t="s">
        <v>5</v>
      </c>
      <c r="F1437" s="3" t="s">
        <v>10</v>
      </c>
      <c r="G1437" s="3" t="s">
        <v>3423</v>
      </c>
      <c r="H1437" s="3" t="s">
        <v>3424</v>
      </c>
      <c r="I1437" s="5">
        <v>2249</v>
      </c>
      <c r="J1437" s="3" t="s">
        <v>11</v>
      </c>
      <c r="K1437" t="e">
        <f>MATCH(A1437,Database!$A$2:$A$948,0)</f>
        <v>#N/A</v>
      </c>
      <c r="L1437" t="e">
        <f>VLOOKUP(A1437,Database!$A$2:$I$948,4,0)</f>
        <v>#N/A</v>
      </c>
      <c r="M1437" t="e">
        <f t="shared" si="47"/>
        <v>#N/A</v>
      </c>
      <c r="N1437" t="e">
        <f>VLOOKUP(A1437,Database!$A$2:$I$948,5,0)</f>
        <v>#N/A</v>
      </c>
    </row>
    <row r="1438" spans="1:14" hidden="1" x14ac:dyDescent="0.35">
      <c r="A1438" s="3">
        <v>103405169</v>
      </c>
      <c r="B1438" s="3" t="s">
        <v>3425</v>
      </c>
      <c r="C1438" s="3" t="str">
        <f t="shared" si="46"/>
        <v>2022-07-06</v>
      </c>
      <c r="D1438" s="3" t="s">
        <v>9</v>
      </c>
      <c r="E1438" s="3" t="s">
        <v>5</v>
      </c>
      <c r="F1438" s="3" t="s">
        <v>12</v>
      </c>
      <c r="G1438" s="3" t="s">
        <v>3426</v>
      </c>
      <c r="H1438" s="3" t="s">
        <v>3427</v>
      </c>
      <c r="I1438" s="5">
        <v>3149</v>
      </c>
      <c r="J1438" s="3" t="s">
        <v>11</v>
      </c>
      <c r="K1438" t="e">
        <f>MATCH(A1438,Database!$A$2:$A$948,0)</f>
        <v>#N/A</v>
      </c>
      <c r="L1438" t="e">
        <f>VLOOKUP(A1438,Database!$A$2:$I$948,4,0)</f>
        <v>#N/A</v>
      </c>
      <c r="M1438" t="e">
        <f t="shared" si="47"/>
        <v>#N/A</v>
      </c>
      <c r="N1438" t="e">
        <f>VLOOKUP(A1438,Database!$A$2:$I$948,5,0)</f>
        <v>#N/A</v>
      </c>
    </row>
    <row r="1439" spans="1:14" hidden="1" x14ac:dyDescent="0.35">
      <c r="A1439" s="3">
        <v>103405147</v>
      </c>
      <c r="B1439" s="3" t="s">
        <v>3428</v>
      </c>
      <c r="C1439" s="3" t="str">
        <f t="shared" si="46"/>
        <v>2022-07-06</v>
      </c>
      <c r="D1439" s="3" t="s">
        <v>9</v>
      </c>
      <c r="E1439" s="3" t="s">
        <v>5</v>
      </c>
      <c r="F1439" s="3" t="s">
        <v>10</v>
      </c>
      <c r="G1439" s="3" t="s">
        <v>3429</v>
      </c>
      <c r="H1439" s="3" t="s">
        <v>3430</v>
      </c>
      <c r="I1439" s="4">
        <v>1110.55</v>
      </c>
      <c r="J1439" s="3" t="s">
        <v>11</v>
      </c>
      <c r="K1439" t="e">
        <f>MATCH(A1439,Database!$A$2:$A$948,0)</f>
        <v>#N/A</v>
      </c>
      <c r="L1439" t="e">
        <f>VLOOKUP(A1439,Database!$A$2:$I$948,4,0)</f>
        <v>#N/A</v>
      </c>
      <c r="M1439" t="e">
        <f t="shared" si="47"/>
        <v>#N/A</v>
      </c>
      <c r="N1439" t="e">
        <f>VLOOKUP(A1439,Database!$A$2:$I$948,5,0)</f>
        <v>#N/A</v>
      </c>
    </row>
    <row r="1440" spans="1:14" hidden="1" x14ac:dyDescent="0.35">
      <c r="A1440" s="3">
        <v>103405146</v>
      </c>
      <c r="B1440" s="3" t="s">
        <v>3431</v>
      </c>
      <c r="C1440" s="3" t="str">
        <f t="shared" si="46"/>
        <v>2022-07-06</v>
      </c>
      <c r="D1440" s="3" t="s">
        <v>9</v>
      </c>
      <c r="E1440" s="3" t="s">
        <v>5</v>
      </c>
      <c r="F1440" s="3" t="s">
        <v>10</v>
      </c>
      <c r="G1440" s="3" t="s">
        <v>1386</v>
      </c>
      <c r="H1440" s="3" t="s">
        <v>1387</v>
      </c>
      <c r="I1440" s="4">
        <v>1649.45</v>
      </c>
      <c r="J1440" s="3" t="s">
        <v>11</v>
      </c>
      <c r="K1440" t="e">
        <f>MATCH(A1440,Database!$A$2:$A$948,0)</f>
        <v>#N/A</v>
      </c>
      <c r="L1440" t="e">
        <f>VLOOKUP(A1440,Database!$A$2:$I$948,4,0)</f>
        <v>#N/A</v>
      </c>
      <c r="M1440" t="e">
        <f t="shared" si="47"/>
        <v>#N/A</v>
      </c>
      <c r="N1440" t="e">
        <f>VLOOKUP(A1440,Database!$A$2:$I$948,5,0)</f>
        <v>#N/A</v>
      </c>
    </row>
    <row r="1441" spans="1:14" hidden="1" x14ac:dyDescent="0.35">
      <c r="A1441" s="3">
        <v>103405141</v>
      </c>
      <c r="B1441" s="3" t="s">
        <v>3432</v>
      </c>
      <c r="C1441" s="3" t="str">
        <f t="shared" si="46"/>
        <v>2022-07-06</v>
      </c>
      <c r="D1441" s="3" t="s">
        <v>9</v>
      </c>
      <c r="E1441" s="3" t="s">
        <v>5</v>
      </c>
      <c r="F1441" s="3" t="s">
        <v>10</v>
      </c>
      <c r="G1441" s="3" t="s">
        <v>3433</v>
      </c>
      <c r="H1441" s="3" t="s">
        <v>3434</v>
      </c>
      <c r="I1441" s="3">
        <v>669</v>
      </c>
      <c r="J1441" s="3" t="s">
        <v>11</v>
      </c>
      <c r="K1441" t="e">
        <f>MATCH(A1441,Database!$A$2:$A$948,0)</f>
        <v>#N/A</v>
      </c>
      <c r="L1441" t="e">
        <f>VLOOKUP(A1441,Database!$A$2:$I$948,4,0)</f>
        <v>#N/A</v>
      </c>
      <c r="M1441" t="e">
        <f t="shared" si="47"/>
        <v>#N/A</v>
      </c>
      <c r="N1441" t="e">
        <f>VLOOKUP(A1441,Database!$A$2:$I$948,5,0)</f>
        <v>#N/A</v>
      </c>
    </row>
    <row r="1442" spans="1:14" hidden="1" x14ac:dyDescent="0.35">
      <c r="A1442" s="3">
        <v>103405063</v>
      </c>
      <c r="B1442" s="3" t="s">
        <v>3435</v>
      </c>
      <c r="C1442" s="3" t="str">
        <f t="shared" si="46"/>
        <v>2022-07-06</v>
      </c>
      <c r="D1442" s="3" t="s">
        <v>9</v>
      </c>
      <c r="E1442" s="3" t="s">
        <v>5</v>
      </c>
      <c r="F1442" s="3" t="s">
        <v>10</v>
      </c>
      <c r="G1442" s="3" t="s">
        <v>3436</v>
      </c>
      <c r="H1442" s="3" t="s">
        <v>3437</v>
      </c>
      <c r="I1442" s="3">
        <v>489</v>
      </c>
      <c r="J1442" s="3" t="s">
        <v>11</v>
      </c>
      <c r="K1442" t="e">
        <f>MATCH(A1442,Database!$A$2:$A$948,0)</f>
        <v>#N/A</v>
      </c>
      <c r="L1442" t="e">
        <f>VLOOKUP(A1442,Database!$A$2:$I$948,4,0)</f>
        <v>#N/A</v>
      </c>
      <c r="M1442" t="e">
        <f t="shared" si="47"/>
        <v>#N/A</v>
      </c>
      <c r="N1442" t="e">
        <f>VLOOKUP(A1442,Database!$A$2:$I$948,5,0)</f>
        <v>#N/A</v>
      </c>
    </row>
    <row r="1443" spans="1:14" hidden="1" x14ac:dyDescent="0.35">
      <c r="A1443" s="3">
        <v>103405139</v>
      </c>
      <c r="B1443" s="3" t="s">
        <v>3438</v>
      </c>
      <c r="C1443" s="3" t="str">
        <f t="shared" si="46"/>
        <v>2022-07-06</v>
      </c>
      <c r="D1443" s="3" t="s">
        <v>9</v>
      </c>
      <c r="E1443" s="3" t="s">
        <v>5</v>
      </c>
      <c r="F1443" s="3" t="s">
        <v>10</v>
      </c>
      <c r="G1443" s="3" t="s">
        <v>3439</v>
      </c>
      <c r="H1443" s="3" t="s">
        <v>3440</v>
      </c>
      <c r="I1443" s="4">
        <v>3517.94</v>
      </c>
      <c r="J1443" s="3" t="s">
        <v>11</v>
      </c>
      <c r="K1443" t="e">
        <f>MATCH(A1443,Database!$A$2:$A$948,0)</f>
        <v>#N/A</v>
      </c>
      <c r="L1443" t="e">
        <f>VLOOKUP(A1443,Database!$A$2:$I$948,4,0)</f>
        <v>#N/A</v>
      </c>
      <c r="M1443" t="e">
        <f t="shared" si="47"/>
        <v>#N/A</v>
      </c>
      <c r="N1443" t="e">
        <f>VLOOKUP(A1443,Database!$A$2:$I$948,5,0)</f>
        <v>#N/A</v>
      </c>
    </row>
    <row r="1444" spans="1:14" hidden="1" x14ac:dyDescent="0.35">
      <c r="A1444" s="3">
        <v>103405061</v>
      </c>
      <c r="B1444" s="3" t="s">
        <v>3441</v>
      </c>
      <c r="C1444" s="3" t="str">
        <f t="shared" si="46"/>
        <v>2022-07-06</v>
      </c>
      <c r="D1444" s="3" t="s">
        <v>9</v>
      </c>
      <c r="E1444" s="3" t="s">
        <v>5</v>
      </c>
      <c r="F1444" s="3" t="s">
        <v>10</v>
      </c>
      <c r="G1444" s="3" t="s">
        <v>3442</v>
      </c>
      <c r="H1444" s="3" t="s">
        <v>3443</v>
      </c>
      <c r="I1444" s="4">
        <v>1899.05</v>
      </c>
      <c r="J1444" s="3" t="s">
        <v>11</v>
      </c>
      <c r="K1444" t="e">
        <f>MATCH(A1444,Database!$A$2:$A$948,0)</f>
        <v>#N/A</v>
      </c>
      <c r="L1444" t="e">
        <f>VLOOKUP(A1444,Database!$A$2:$I$948,4,0)</f>
        <v>#N/A</v>
      </c>
      <c r="M1444" t="e">
        <f t="shared" si="47"/>
        <v>#N/A</v>
      </c>
      <c r="N1444" t="e">
        <f>VLOOKUP(A1444,Database!$A$2:$I$948,5,0)</f>
        <v>#N/A</v>
      </c>
    </row>
    <row r="1445" spans="1:14" hidden="1" x14ac:dyDescent="0.35">
      <c r="A1445" s="3">
        <v>103405130</v>
      </c>
      <c r="B1445" s="3" t="s">
        <v>4798</v>
      </c>
      <c r="C1445" s="3" t="str">
        <f t="shared" si="46"/>
        <v>2022-07-06</v>
      </c>
      <c r="D1445" s="3" t="s">
        <v>9</v>
      </c>
      <c r="E1445" s="3" t="s">
        <v>5</v>
      </c>
      <c r="F1445" s="3" t="s">
        <v>10</v>
      </c>
      <c r="G1445" s="3" t="s">
        <v>4799</v>
      </c>
      <c r="H1445" s="3" t="s">
        <v>4800</v>
      </c>
      <c r="I1445" s="3">
        <v>995.6</v>
      </c>
      <c r="J1445" s="3" t="s">
        <v>13</v>
      </c>
      <c r="K1445">
        <f>MATCH(A1445,Database!$A$2:$A$948,0)</f>
        <v>15</v>
      </c>
      <c r="L1445">
        <f>VLOOKUP(A1445,Database!$A$2:$I$948,4,0)</f>
        <v>995.599999999999</v>
      </c>
      <c r="M1445" t="b">
        <f t="shared" si="47"/>
        <v>0</v>
      </c>
      <c r="N1445">
        <f>VLOOKUP(A1445,Database!$A$2:$I$948,5,0)</f>
        <v>2</v>
      </c>
    </row>
    <row r="1446" spans="1:14" hidden="1" x14ac:dyDescent="0.35">
      <c r="A1446" s="3">
        <v>103405127</v>
      </c>
      <c r="B1446" s="3" t="s">
        <v>3444</v>
      </c>
      <c r="C1446" s="3" t="str">
        <f t="shared" si="46"/>
        <v>2022-07-06</v>
      </c>
      <c r="D1446" s="3" t="s">
        <v>9</v>
      </c>
      <c r="E1446" s="3" t="s">
        <v>5</v>
      </c>
      <c r="F1446" s="3" t="s">
        <v>10</v>
      </c>
      <c r="G1446" s="3" t="s">
        <v>3445</v>
      </c>
      <c r="H1446" s="3" t="s">
        <v>3446</v>
      </c>
      <c r="I1446" s="4">
        <v>5984.05</v>
      </c>
      <c r="J1446" s="3" t="s">
        <v>11</v>
      </c>
      <c r="K1446" t="e">
        <f>MATCH(A1446,Database!$A$2:$A$948,0)</f>
        <v>#N/A</v>
      </c>
      <c r="L1446" t="e">
        <f>VLOOKUP(A1446,Database!$A$2:$I$948,4,0)</f>
        <v>#N/A</v>
      </c>
      <c r="M1446" t="e">
        <f t="shared" si="47"/>
        <v>#N/A</v>
      </c>
      <c r="N1446" t="e">
        <f>VLOOKUP(A1446,Database!$A$2:$I$948,5,0)</f>
        <v>#N/A</v>
      </c>
    </row>
    <row r="1447" spans="1:14" hidden="1" x14ac:dyDescent="0.35">
      <c r="A1447" s="3">
        <v>103405057</v>
      </c>
      <c r="B1447" s="3" t="s">
        <v>3447</v>
      </c>
      <c r="C1447" s="3" t="str">
        <f t="shared" si="46"/>
        <v>2022-07-06</v>
      </c>
      <c r="D1447" s="3" t="s">
        <v>9</v>
      </c>
      <c r="E1447" s="3" t="s">
        <v>5</v>
      </c>
      <c r="F1447" s="3" t="s">
        <v>10</v>
      </c>
      <c r="G1447" s="3" t="s">
        <v>3448</v>
      </c>
      <c r="H1447" s="3" t="s">
        <v>3449</v>
      </c>
      <c r="I1447" s="3">
        <v>998</v>
      </c>
      <c r="J1447" s="3" t="s">
        <v>11</v>
      </c>
      <c r="K1447" t="e">
        <f>MATCH(A1447,Database!$A$2:$A$948,0)</f>
        <v>#N/A</v>
      </c>
      <c r="L1447" t="e">
        <f>VLOOKUP(A1447,Database!$A$2:$I$948,4,0)</f>
        <v>#N/A</v>
      </c>
      <c r="M1447" t="e">
        <f t="shared" si="47"/>
        <v>#N/A</v>
      </c>
      <c r="N1447" t="e">
        <f>VLOOKUP(A1447,Database!$A$2:$I$948,5,0)</f>
        <v>#N/A</v>
      </c>
    </row>
    <row r="1448" spans="1:14" hidden="1" x14ac:dyDescent="0.35">
      <c r="A1448" s="3">
        <v>103405056</v>
      </c>
      <c r="B1448" s="3" t="s">
        <v>3450</v>
      </c>
      <c r="C1448" s="3" t="str">
        <f t="shared" si="46"/>
        <v>2022-07-06</v>
      </c>
      <c r="D1448" s="3" t="s">
        <v>9</v>
      </c>
      <c r="E1448" s="3" t="s">
        <v>5</v>
      </c>
      <c r="F1448" s="3" t="s">
        <v>10</v>
      </c>
      <c r="G1448" s="3" t="s">
        <v>3451</v>
      </c>
      <c r="H1448" s="3" t="s">
        <v>3452</v>
      </c>
      <c r="I1448" s="4">
        <v>3370.6</v>
      </c>
      <c r="J1448" s="3" t="s">
        <v>11</v>
      </c>
      <c r="K1448" t="e">
        <f>MATCH(A1448,Database!$A$2:$A$948,0)</f>
        <v>#N/A</v>
      </c>
      <c r="L1448" t="e">
        <f>VLOOKUP(A1448,Database!$A$2:$I$948,4,0)</f>
        <v>#N/A</v>
      </c>
      <c r="M1448" t="e">
        <f t="shared" si="47"/>
        <v>#N/A</v>
      </c>
      <c r="N1448" t="e">
        <f>VLOOKUP(A1448,Database!$A$2:$I$948,5,0)</f>
        <v>#N/A</v>
      </c>
    </row>
    <row r="1449" spans="1:14" hidden="1" x14ac:dyDescent="0.35">
      <c r="A1449" s="3">
        <v>103405116</v>
      </c>
      <c r="B1449" s="3" t="s">
        <v>3453</v>
      </c>
      <c r="C1449" s="3" t="str">
        <f t="shared" si="46"/>
        <v>2022-07-06</v>
      </c>
      <c r="D1449" s="3" t="s">
        <v>9</v>
      </c>
      <c r="E1449" s="3" t="s">
        <v>5</v>
      </c>
      <c r="F1449" s="3" t="s">
        <v>12</v>
      </c>
      <c r="G1449" s="3" t="s">
        <v>3454</v>
      </c>
      <c r="H1449" s="3" t="s">
        <v>3455</v>
      </c>
      <c r="I1449" s="3">
        <v>549</v>
      </c>
      <c r="J1449" s="3" t="s">
        <v>11</v>
      </c>
      <c r="K1449" t="e">
        <f>MATCH(A1449,Database!$A$2:$A$948,0)</f>
        <v>#N/A</v>
      </c>
      <c r="L1449" t="e">
        <f>VLOOKUP(A1449,Database!$A$2:$I$948,4,0)</f>
        <v>#N/A</v>
      </c>
      <c r="M1449" t="e">
        <f t="shared" si="47"/>
        <v>#N/A</v>
      </c>
      <c r="N1449" t="e">
        <f>VLOOKUP(A1449,Database!$A$2:$I$948,5,0)</f>
        <v>#N/A</v>
      </c>
    </row>
    <row r="1450" spans="1:14" hidden="1" x14ac:dyDescent="0.35">
      <c r="A1450" s="3">
        <v>103405114</v>
      </c>
      <c r="B1450" s="3" t="s">
        <v>3456</v>
      </c>
      <c r="C1450" s="3" t="str">
        <f t="shared" si="46"/>
        <v>2022-07-06</v>
      </c>
      <c r="D1450" s="3" t="s">
        <v>9</v>
      </c>
      <c r="E1450" s="3" t="s">
        <v>5</v>
      </c>
      <c r="F1450" s="3" t="s">
        <v>10</v>
      </c>
      <c r="G1450" s="3" t="s">
        <v>3457</v>
      </c>
      <c r="H1450" s="3" t="s">
        <v>3458</v>
      </c>
      <c r="I1450" s="3">
        <v>819</v>
      </c>
      <c r="J1450" s="3" t="s">
        <v>11</v>
      </c>
      <c r="K1450" t="e">
        <f>MATCH(A1450,Database!$A$2:$A$948,0)</f>
        <v>#N/A</v>
      </c>
      <c r="L1450" t="e">
        <f>VLOOKUP(A1450,Database!$A$2:$I$948,4,0)</f>
        <v>#N/A</v>
      </c>
      <c r="M1450" t="e">
        <f t="shared" si="47"/>
        <v>#N/A</v>
      </c>
      <c r="N1450" t="e">
        <f>VLOOKUP(A1450,Database!$A$2:$I$948,5,0)</f>
        <v>#N/A</v>
      </c>
    </row>
    <row r="1451" spans="1:14" hidden="1" x14ac:dyDescent="0.35">
      <c r="A1451" s="3">
        <v>103405051</v>
      </c>
      <c r="B1451" s="3" t="s">
        <v>3459</v>
      </c>
      <c r="C1451" s="3" t="str">
        <f t="shared" si="46"/>
        <v>2022-07-06</v>
      </c>
      <c r="D1451" s="3" t="s">
        <v>9</v>
      </c>
      <c r="E1451" s="3" t="s">
        <v>5</v>
      </c>
      <c r="F1451" s="3" t="s">
        <v>10</v>
      </c>
      <c r="G1451" s="3" t="s">
        <v>3460</v>
      </c>
      <c r="H1451" s="3" t="s">
        <v>3461</v>
      </c>
      <c r="I1451" s="4">
        <v>1262.5999999999999</v>
      </c>
      <c r="J1451" s="3" t="s">
        <v>11</v>
      </c>
      <c r="K1451" t="e">
        <f>MATCH(A1451,Database!$A$2:$A$948,0)</f>
        <v>#N/A</v>
      </c>
      <c r="L1451" t="e">
        <f>VLOOKUP(A1451,Database!$A$2:$I$948,4,0)</f>
        <v>#N/A</v>
      </c>
      <c r="M1451" t="e">
        <f t="shared" si="47"/>
        <v>#N/A</v>
      </c>
      <c r="N1451" t="e">
        <f>VLOOKUP(A1451,Database!$A$2:$I$948,5,0)</f>
        <v>#N/A</v>
      </c>
    </row>
    <row r="1452" spans="1:14" hidden="1" x14ac:dyDescent="0.35">
      <c r="A1452" s="3">
        <v>103405047</v>
      </c>
      <c r="B1452" s="3" t="s">
        <v>3462</v>
      </c>
      <c r="C1452" s="3" t="str">
        <f t="shared" si="46"/>
        <v>2022-07-06</v>
      </c>
      <c r="D1452" s="3" t="s">
        <v>9</v>
      </c>
      <c r="E1452" s="3" t="s">
        <v>5</v>
      </c>
      <c r="F1452" s="3" t="s">
        <v>10</v>
      </c>
      <c r="G1452" s="3" t="s">
        <v>3463</v>
      </c>
      <c r="H1452" s="3" t="s">
        <v>3464</v>
      </c>
      <c r="I1452" s="4">
        <v>4414.6499999999996</v>
      </c>
      <c r="J1452" s="3" t="s">
        <v>11</v>
      </c>
      <c r="K1452" t="e">
        <f>MATCH(A1452,Database!$A$2:$A$948,0)</f>
        <v>#N/A</v>
      </c>
      <c r="L1452" t="e">
        <f>VLOOKUP(A1452,Database!$A$2:$I$948,4,0)</f>
        <v>#N/A</v>
      </c>
      <c r="M1452" t="e">
        <f t="shared" si="47"/>
        <v>#N/A</v>
      </c>
      <c r="N1452" t="e">
        <f>VLOOKUP(A1452,Database!$A$2:$I$948,5,0)</f>
        <v>#N/A</v>
      </c>
    </row>
    <row r="1453" spans="1:14" hidden="1" x14ac:dyDescent="0.35">
      <c r="A1453" s="3">
        <v>103405046</v>
      </c>
      <c r="B1453" s="3" t="s">
        <v>3465</v>
      </c>
      <c r="C1453" s="3" t="str">
        <f t="shared" si="46"/>
        <v>2022-07-06</v>
      </c>
      <c r="D1453" s="3" t="s">
        <v>9</v>
      </c>
      <c r="E1453" s="3" t="s">
        <v>5</v>
      </c>
      <c r="F1453" s="3" t="s">
        <v>10</v>
      </c>
      <c r="G1453" s="3" t="s">
        <v>3466</v>
      </c>
      <c r="H1453" s="3" t="s">
        <v>3467</v>
      </c>
      <c r="I1453" s="4">
        <v>4179.05</v>
      </c>
      <c r="J1453" s="3" t="s">
        <v>11</v>
      </c>
      <c r="K1453" t="e">
        <f>MATCH(A1453,Database!$A$2:$A$948,0)</f>
        <v>#N/A</v>
      </c>
      <c r="L1453" t="e">
        <f>VLOOKUP(A1453,Database!$A$2:$I$948,4,0)</f>
        <v>#N/A</v>
      </c>
      <c r="M1453" t="e">
        <f t="shared" si="47"/>
        <v>#N/A</v>
      </c>
      <c r="N1453" t="e">
        <f>VLOOKUP(A1453,Database!$A$2:$I$948,5,0)</f>
        <v>#N/A</v>
      </c>
    </row>
    <row r="1454" spans="1:14" hidden="1" x14ac:dyDescent="0.35">
      <c r="A1454" s="3">
        <v>103405109</v>
      </c>
      <c r="B1454" s="3" t="s">
        <v>3468</v>
      </c>
      <c r="C1454" s="3" t="str">
        <f t="shared" si="46"/>
        <v>2022-07-06</v>
      </c>
      <c r="D1454" s="3" t="s">
        <v>9</v>
      </c>
      <c r="E1454" s="3" t="s">
        <v>5</v>
      </c>
      <c r="F1454" s="3" t="s">
        <v>10</v>
      </c>
      <c r="G1454" s="3" t="s">
        <v>3469</v>
      </c>
      <c r="H1454" s="3" t="s">
        <v>3470</v>
      </c>
      <c r="I1454" s="4">
        <v>1310.05</v>
      </c>
      <c r="J1454" s="3" t="s">
        <v>11</v>
      </c>
      <c r="K1454" t="e">
        <f>MATCH(A1454,Database!$A$2:$A$948,0)</f>
        <v>#N/A</v>
      </c>
      <c r="L1454" t="e">
        <f>VLOOKUP(A1454,Database!$A$2:$I$948,4,0)</f>
        <v>#N/A</v>
      </c>
      <c r="M1454" t="e">
        <f t="shared" si="47"/>
        <v>#N/A</v>
      </c>
      <c r="N1454" t="e">
        <f>VLOOKUP(A1454,Database!$A$2:$I$948,5,0)</f>
        <v>#N/A</v>
      </c>
    </row>
    <row r="1455" spans="1:14" hidden="1" x14ac:dyDescent="0.35">
      <c r="A1455" s="3">
        <v>103405104</v>
      </c>
      <c r="B1455" s="3" t="s">
        <v>4801</v>
      </c>
      <c r="C1455" s="3" t="str">
        <f t="shared" si="46"/>
        <v>2022-07-06</v>
      </c>
      <c r="D1455" s="3" t="s">
        <v>9</v>
      </c>
      <c r="E1455" s="3" t="s">
        <v>5</v>
      </c>
      <c r="F1455" s="3" t="s">
        <v>10</v>
      </c>
      <c r="G1455" s="3" t="s">
        <v>3442</v>
      </c>
      <c r="H1455" s="3" t="s">
        <v>3443</v>
      </c>
      <c r="I1455" s="4">
        <v>1804.1</v>
      </c>
      <c r="J1455" s="3" t="s">
        <v>13</v>
      </c>
      <c r="K1455">
        <f>MATCH(A1455,Database!$A$2:$A$948,0)</f>
        <v>14</v>
      </c>
      <c r="L1455">
        <f>VLOOKUP(A1455,Database!$A$2:$I$948,4,0)</f>
        <v>1804.1</v>
      </c>
      <c r="M1455" t="b">
        <f t="shared" si="47"/>
        <v>1</v>
      </c>
      <c r="N1455">
        <f>VLOOKUP(A1455,Database!$A$2:$I$948,5,0)</f>
        <v>1</v>
      </c>
    </row>
    <row r="1456" spans="1:14" hidden="1" x14ac:dyDescent="0.35">
      <c r="A1456" s="3">
        <v>103405039</v>
      </c>
      <c r="B1456" s="3" t="s">
        <v>3471</v>
      </c>
      <c r="C1456" s="3" t="str">
        <f t="shared" si="46"/>
        <v>2022-07-06</v>
      </c>
      <c r="D1456" s="3" t="s">
        <v>9</v>
      </c>
      <c r="E1456" s="3" t="s">
        <v>5</v>
      </c>
      <c r="F1456" s="3" t="s">
        <v>10</v>
      </c>
      <c r="G1456" s="3" t="s">
        <v>3472</v>
      </c>
      <c r="H1456" s="3" t="s">
        <v>3473</v>
      </c>
      <c r="I1456" s="3">
        <v>986.1</v>
      </c>
      <c r="J1456" s="3" t="s">
        <v>11</v>
      </c>
      <c r="K1456" t="e">
        <f>MATCH(A1456,Database!$A$2:$A$948,0)</f>
        <v>#N/A</v>
      </c>
      <c r="L1456" t="e">
        <f>VLOOKUP(A1456,Database!$A$2:$I$948,4,0)</f>
        <v>#N/A</v>
      </c>
      <c r="M1456" t="e">
        <f t="shared" si="47"/>
        <v>#N/A</v>
      </c>
      <c r="N1456" t="e">
        <f>VLOOKUP(A1456,Database!$A$2:$I$948,5,0)</f>
        <v>#N/A</v>
      </c>
    </row>
    <row r="1457" spans="1:14" hidden="1" x14ac:dyDescent="0.35">
      <c r="A1457" s="3">
        <v>103405102</v>
      </c>
      <c r="B1457" s="3" t="s">
        <v>3474</v>
      </c>
      <c r="C1457" s="3" t="str">
        <f t="shared" si="46"/>
        <v>2022-07-06</v>
      </c>
      <c r="D1457" s="3" t="s">
        <v>9</v>
      </c>
      <c r="E1457" s="3" t="s">
        <v>5</v>
      </c>
      <c r="F1457" s="3" t="s">
        <v>10</v>
      </c>
      <c r="G1457" s="3" t="s">
        <v>3475</v>
      </c>
      <c r="H1457" s="3" t="s">
        <v>3476</v>
      </c>
      <c r="I1457" s="5">
        <v>1809</v>
      </c>
      <c r="J1457" s="3" t="s">
        <v>11</v>
      </c>
      <c r="K1457" t="e">
        <f>MATCH(A1457,Database!$A$2:$A$948,0)</f>
        <v>#N/A</v>
      </c>
      <c r="L1457" t="e">
        <f>VLOOKUP(A1457,Database!$A$2:$I$948,4,0)</f>
        <v>#N/A</v>
      </c>
      <c r="M1457" t="e">
        <f t="shared" si="47"/>
        <v>#N/A</v>
      </c>
      <c r="N1457" t="e">
        <f>VLOOKUP(A1457,Database!$A$2:$I$948,5,0)</f>
        <v>#N/A</v>
      </c>
    </row>
    <row r="1458" spans="1:14" hidden="1" x14ac:dyDescent="0.35">
      <c r="A1458" s="3">
        <v>103405099</v>
      </c>
      <c r="B1458" s="3" t="s">
        <v>3477</v>
      </c>
      <c r="C1458" s="3" t="str">
        <f t="shared" si="46"/>
        <v>2022-07-06</v>
      </c>
      <c r="D1458" s="3" t="s">
        <v>9</v>
      </c>
      <c r="E1458" s="3" t="s">
        <v>5</v>
      </c>
      <c r="F1458" s="3" t="s">
        <v>10</v>
      </c>
      <c r="G1458" s="3" t="s">
        <v>3478</v>
      </c>
      <c r="H1458" s="3" t="s">
        <v>3479</v>
      </c>
      <c r="I1458" s="3">
        <v>359</v>
      </c>
      <c r="J1458" s="3" t="s">
        <v>11</v>
      </c>
      <c r="K1458" t="e">
        <f>MATCH(A1458,Database!$A$2:$A$948,0)</f>
        <v>#N/A</v>
      </c>
      <c r="L1458" t="e">
        <f>VLOOKUP(A1458,Database!$A$2:$I$948,4,0)</f>
        <v>#N/A</v>
      </c>
      <c r="M1458" t="e">
        <f t="shared" si="47"/>
        <v>#N/A</v>
      </c>
      <c r="N1458" t="e">
        <f>VLOOKUP(A1458,Database!$A$2:$I$948,5,0)</f>
        <v>#N/A</v>
      </c>
    </row>
    <row r="1459" spans="1:14" hidden="1" x14ac:dyDescent="0.35">
      <c r="A1459" s="3">
        <v>103405098</v>
      </c>
      <c r="B1459" s="3" t="s">
        <v>3480</v>
      </c>
      <c r="C1459" s="3" t="str">
        <f t="shared" si="46"/>
        <v>2022-07-06</v>
      </c>
      <c r="D1459" s="3" t="s">
        <v>9</v>
      </c>
      <c r="E1459" s="3" t="s">
        <v>5</v>
      </c>
      <c r="F1459" s="3" t="s">
        <v>10</v>
      </c>
      <c r="G1459" s="3" t="s">
        <v>439</v>
      </c>
      <c r="H1459" s="3" t="s">
        <v>440</v>
      </c>
      <c r="I1459" s="5">
        <v>2309</v>
      </c>
      <c r="J1459" s="3" t="s">
        <v>11</v>
      </c>
      <c r="K1459" t="e">
        <f>MATCH(A1459,Database!$A$2:$A$948,0)</f>
        <v>#N/A</v>
      </c>
      <c r="L1459" t="e">
        <f>VLOOKUP(A1459,Database!$A$2:$I$948,4,0)</f>
        <v>#N/A</v>
      </c>
      <c r="M1459" t="e">
        <f t="shared" si="47"/>
        <v>#N/A</v>
      </c>
      <c r="N1459" t="e">
        <f>VLOOKUP(A1459,Database!$A$2:$I$948,5,0)</f>
        <v>#N/A</v>
      </c>
    </row>
    <row r="1460" spans="1:14" hidden="1" x14ac:dyDescent="0.35">
      <c r="A1460" s="3">
        <v>103405037</v>
      </c>
      <c r="B1460" s="3" t="s">
        <v>3481</v>
      </c>
      <c r="C1460" s="3" t="str">
        <f t="shared" si="46"/>
        <v>2022-07-06</v>
      </c>
      <c r="D1460" s="3" t="s">
        <v>9</v>
      </c>
      <c r="E1460" s="3" t="s">
        <v>5</v>
      </c>
      <c r="F1460" s="3" t="s">
        <v>10</v>
      </c>
      <c r="G1460" s="3" t="s">
        <v>3482</v>
      </c>
      <c r="H1460" s="3" t="s">
        <v>3483</v>
      </c>
      <c r="I1460" s="4">
        <v>1964.6</v>
      </c>
      <c r="J1460" s="3" t="s">
        <v>11</v>
      </c>
      <c r="K1460" t="e">
        <f>MATCH(A1460,Database!$A$2:$A$948,0)</f>
        <v>#N/A</v>
      </c>
      <c r="L1460" t="e">
        <f>VLOOKUP(A1460,Database!$A$2:$I$948,4,0)</f>
        <v>#N/A</v>
      </c>
      <c r="M1460" t="e">
        <f t="shared" si="47"/>
        <v>#N/A</v>
      </c>
      <c r="N1460" t="e">
        <f>VLOOKUP(A1460,Database!$A$2:$I$948,5,0)</f>
        <v>#N/A</v>
      </c>
    </row>
    <row r="1461" spans="1:14" hidden="1" x14ac:dyDescent="0.35">
      <c r="A1461" s="3">
        <v>103405034</v>
      </c>
      <c r="B1461" s="3" t="s">
        <v>3484</v>
      </c>
      <c r="C1461" s="3" t="str">
        <f t="shared" si="46"/>
        <v>2022-07-06</v>
      </c>
      <c r="D1461" s="3" t="s">
        <v>9</v>
      </c>
      <c r="E1461" s="3" t="s">
        <v>5</v>
      </c>
      <c r="F1461" s="3" t="s">
        <v>10</v>
      </c>
      <c r="G1461" s="3" t="s">
        <v>3485</v>
      </c>
      <c r="H1461" s="3" t="s">
        <v>3486</v>
      </c>
      <c r="I1461" s="5">
        <v>1649</v>
      </c>
      <c r="J1461" s="3" t="s">
        <v>11</v>
      </c>
      <c r="K1461" t="e">
        <f>MATCH(A1461,Database!$A$2:$A$948,0)</f>
        <v>#N/A</v>
      </c>
      <c r="L1461" t="e">
        <f>VLOOKUP(A1461,Database!$A$2:$I$948,4,0)</f>
        <v>#N/A</v>
      </c>
      <c r="M1461" t="e">
        <f t="shared" si="47"/>
        <v>#N/A</v>
      </c>
      <c r="N1461" t="e">
        <f>VLOOKUP(A1461,Database!$A$2:$I$948,5,0)</f>
        <v>#N/A</v>
      </c>
    </row>
    <row r="1462" spans="1:14" hidden="1" x14ac:dyDescent="0.35">
      <c r="A1462" s="3">
        <v>103405089</v>
      </c>
      <c r="B1462" s="3" t="s">
        <v>3487</v>
      </c>
      <c r="C1462" s="3" t="str">
        <f t="shared" si="46"/>
        <v>2022-07-06</v>
      </c>
      <c r="D1462" s="3" t="s">
        <v>9</v>
      </c>
      <c r="E1462" s="3" t="s">
        <v>5</v>
      </c>
      <c r="F1462" s="3" t="s">
        <v>10</v>
      </c>
      <c r="G1462" s="3" t="s">
        <v>3488</v>
      </c>
      <c r="H1462" s="3" t="s">
        <v>3489</v>
      </c>
      <c r="I1462" s="4">
        <v>1405.05</v>
      </c>
      <c r="J1462" s="3" t="s">
        <v>11</v>
      </c>
      <c r="K1462" t="e">
        <f>MATCH(A1462,Database!$A$2:$A$948,0)</f>
        <v>#N/A</v>
      </c>
      <c r="L1462" t="e">
        <f>VLOOKUP(A1462,Database!$A$2:$I$948,4,0)</f>
        <v>#N/A</v>
      </c>
      <c r="M1462" t="e">
        <f t="shared" si="47"/>
        <v>#N/A</v>
      </c>
      <c r="N1462" t="e">
        <f>VLOOKUP(A1462,Database!$A$2:$I$948,5,0)</f>
        <v>#N/A</v>
      </c>
    </row>
    <row r="1463" spans="1:14" hidden="1" x14ac:dyDescent="0.35">
      <c r="A1463" s="3">
        <v>103405085</v>
      </c>
      <c r="B1463" s="3" t="s">
        <v>3490</v>
      </c>
      <c r="C1463" s="3" t="str">
        <f t="shared" si="46"/>
        <v>2022-07-06</v>
      </c>
      <c r="D1463" s="3" t="s">
        <v>9</v>
      </c>
      <c r="E1463" s="3" t="s">
        <v>5</v>
      </c>
      <c r="F1463" s="3" t="s">
        <v>10</v>
      </c>
      <c r="G1463" s="3" t="s">
        <v>3491</v>
      </c>
      <c r="H1463" s="3" t="s">
        <v>3492</v>
      </c>
      <c r="I1463" s="4">
        <v>1897.15</v>
      </c>
      <c r="J1463" s="3" t="s">
        <v>11</v>
      </c>
      <c r="K1463" t="e">
        <f>MATCH(A1463,Database!$A$2:$A$948,0)</f>
        <v>#N/A</v>
      </c>
      <c r="L1463" t="e">
        <f>VLOOKUP(A1463,Database!$A$2:$I$948,4,0)</f>
        <v>#N/A</v>
      </c>
      <c r="M1463" t="e">
        <f t="shared" si="47"/>
        <v>#N/A</v>
      </c>
      <c r="N1463" t="e">
        <f>VLOOKUP(A1463,Database!$A$2:$I$948,5,0)</f>
        <v>#N/A</v>
      </c>
    </row>
    <row r="1464" spans="1:14" hidden="1" x14ac:dyDescent="0.35">
      <c r="A1464" s="3">
        <v>103405030</v>
      </c>
      <c r="B1464" s="3" t="s">
        <v>3493</v>
      </c>
      <c r="C1464" s="3" t="str">
        <f t="shared" si="46"/>
        <v>2022-07-06</v>
      </c>
      <c r="D1464" s="3" t="s">
        <v>9</v>
      </c>
      <c r="E1464" s="3" t="s">
        <v>5</v>
      </c>
      <c r="F1464" s="3" t="s">
        <v>10</v>
      </c>
      <c r="G1464" s="3" t="s">
        <v>3494</v>
      </c>
      <c r="H1464" s="3" t="s">
        <v>3495</v>
      </c>
      <c r="I1464" s="4">
        <v>4701.55</v>
      </c>
      <c r="J1464" s="3" t="s">
        <v>11</v>
      </c>
      <c r="K1464" t="e">
        <f>MATCH(A1464,Database!$A$2:$A$948,0)</f>
        <v>#N/A</v>
      </c>
      <c r="L1464" t="e">
        <f>VLOOKUP(A1464,Database!$A$2:$I$948,4,0)</f>
        <v>#N/A</v>
      </c>
      <c r="M1464" t="e">
        <f t="shared" si="47"/>
        <v>#N/A</v>
      </c>
      <c r="N1464" t="e">
        <f>VLOOKUP(A1464,Database!$A$2:$I$948,5,0)</f>
        <v>#N/A</v>
      </c>
    </row>
    <row r="1465" spans="1:14" hidden="1" x14ac:dyDescent="0.35">
      <c r="A1465" s="3">
        <v>103405080</v>
      </c>
      <c r="B1465" s="3" t="s">
        <v>3496</v>
      </c>
      <c r="C1465" s="3" t="str">
        <f t="shared" si="46"/>
        <v>2022-07-06</v>
      </c>
      <c r="D1465" s="3" t="s">
        <v>9</v>
      </c>
      <c r="E1465" s="3" t="s">
        <v>5</v>
      </c>
      <c r="F1465" s="3" t="s">
        <v>10</v>
      </c>
      <c r="G1465" s="3" t="s">
        <v>3390</v>
      </c>
      <c r="H1465" s="3" t="s">
        <v>3391</v>
      </c>
      <c r="I1465" s="5">
        <v>1139</v>
      </c>
      <c r="J1465" s="3" t="s">
        <v>11</v>
      </c>
      <c r="K1465" t="e">
        <f>MATCH(A1465,Database!$A$2:$A$948,0)</f>
        <v>#N/A</v>
      </c>
      <c r="L1465" t="e">
        <f>VLOOKUP(A1465,Database!$A$2:$I$948,4,0)</f>
        <v>#N/A</v>
      </c>
      <c r="M1465" t="e">
        <f t="shared" si="47"/>
        <v>#N/A</v>
      </c>
      <c r="N1465" t="e">
        <f>VLOOKUP(A1465,Database!$A$2:$I$948,5,0)</f>
        <v>#N/A</v>
      </c>
    </row>
    <row r="1466" spans="1:14" hidden="1" x14ac:dyDescent="0.35">
      <c r="A1466" s="3">
        <v>103405025</v>
      </c>
      <c r="B1466" s="3" t="s">
        <v>3497</v>
      </c>
      <c r="C1466" s="3" t="str">
        <f t="shared" si="46"/>
        <v>2022-07-06</v>
      </c>
      <c r="D1466" s="3" t="s">
        <v>9</v>
      </c>
      <c r="E1466" s="3" t="s">
        <v>5</v>
      </c>
      <c r="F1466" s="3" t="s">
        <v>12</v>
      </c>
      <c r="G1466" s="3" t="s">
        <v>3498</v>
      </c>
      <c r="H1466" s="3" t="s">
        <v>3499</v>
      </c>
      <c r="I1466" s="3">
        <v>569.04999999999995</v>
      </c>
      <c r="J1466" s="3" t="s">
        <v>11</v>
      </c>
      <c r="K1466" t="e">
        <f>MATCH(A1466,Database!$A$2:$A$948,0)</f>
        <v>#N/A</v>
      </c>
      <c r="L1466" t="e">
        <f>VLOOKUP(A1466,Database!$A$2:$I$948,4,0)</f>
        <v>#N/A</v>
      </c>
      <c r="M1466" t="e">
        <f t="shared" si="47"/>
        <v>#N/A</v>
      </c>
      <c r="N1466" t="e">
        <f>VLOOKUP(A1466,Database!$A$2:$I$948,5,0)</f>
        <v>#N/A</v>
      </c>
    </row>
    <row r="1467" spans="1:14" hidden="1" x14ac:dyDescent="0.35">
      <c r="A1467" s="3">
        <v>103405023</v>
      </c>
      <c r="B1467" s="3" t="s">
        <v>3500</v>
      </c>
      <c r="C1467" s="3" t="str">
        <f t="shared" si="46"/>
        <v>2022-07-06</v>
      </c>
      <c r="D1467" s="3" t="s">
        <v>9</v>
      </c>
      <c r="E1467" s="3" t="s">
        <v>5</v>
      </c>
      <c r="F1467" s="3" t="s">
        <v>10</v>
      </c>
      <c r="G1467" s="3" t="s">
        <v>3501</v>
      </c>
      <c r="H1467" s="3" t="s">
        <v>3502</v>
      </c>
      <c r="I1467" s="4">
        <v>2279.0500000000002</v>
      </c>
      <c r="J1467" s="3" t="s">
        <v>11</v>
      </c>
      <c r="K1467" t="e">
        <f>MATCH(A1467,Database!$A$2:$A$948,0)</f>
        <v>#N/A</v>
      </c>
      <c r="L1467" t="e">
        <f>VLOOKUP(A1467,Database!$A$2:$I$948,4,0)</f>
        <v>#N/A</v>
      </c>
      <c r="M1467" t="e">
        <f t="shared" si="47"/>
        <v>#N/A</v>
      </c>
      <c r="N1467" t="e">
        <f>VLOOKUP(A1467,Database!$A$2:$I$948,5,0)</f>
        <v>#N/A</v>
      </c>
    </row>
    <row r="1468" spans="1:14" hidden="1" x14ac:dyDescent="0.35">
      <c r="A1468" s="3">
        <v>103405076</v>
      </c>
      <c r="B1468" s="3" t="s">
        <v>3503</v>
      </c>
      <c r="C1468" s="3" t="str">
        <f t="shared" si="46"/>
        <v>2022-07-06</v>
      </c>
      <c r="D1468" s="3" t="s">
        <v>9</v>
      </c>
      <c r="E1468" s="3" t="s">
        <v>5</v>
      </c>
      <c r="F1468" s="3" t="s">
        <v>12</v>
      </c>
      <c r="G1468" s="3" t="s">
        <v>3504</v>
      </c>
      <c r="H1468" s="3" t="s">
        <v>3505</v>
      </c>
      <c r="I1468" s="4">
        <v>1551.4</v>
      </c>
      <c r="J1468" s="3" t="s">
        <v>11</v>
      </c>
      <c r="K1468" t="e">
        <f>MATCH(A1468,Database!$A$2:$A$948,0)</f>
        <v>#N/A</v>
      </c>
      <c r="L1468" t="e">
        <f>VLOOKUP(A1468,Database!$A$2:$I$948,4,0)</f>
        <v>#N/A</v>
      </c>
      <c r="M1468" t="e">
        <f t="shared" si="47"/>
        <v>#N/A</v>
      </c>
      <c r="N1468" t="e">
        <f>VLOOKUP(A1468,Database!$A$2:$I$948,5,0)</f>
        <v>#N/A</v>
      </c>
    </row>
    <row r="1469" spans="1:14" hidden="1" x14ac:dyDescent="0.35">
      <c r="A1469" s="3">
        <v>103405021</v>
      </c>
      <c r="B1469" s="3" t="s">
        <v>3506</v>
      </c>
      <c r="C1469" s="3" t="str">
        <f t="shared" si="46"/>
        <v>2022-07-06</v>
      </c>
      <c r="D1469" s="3" t="s">
        <v>9</v>
      </c>
      <c r="E1469" s="3" t="s">
        <v>5</v>
      </c>
      <c r="F1469" s="3" t="s">
        <v>10</v>
      </c>
      <c r="G1469" s="3" t="s">
        <v>3507</v>
      </c>
      <c r="H1469" s="3" t="s">
        <v>3508</v>
      </c>
      <c r="I1469" s="3">
        <v>719.1</v>
      </c>
      <c r="J1469" s="3" t="s">
        <v>11</v>
      </c>
      <c r="K1469" t="e">
        <f>MATCH(A1469,Database!$A$2:$A$948,0)</f>
        <v>#N/A</v>
      </c>
      <c r="L1469" t="e">
        <f>VLOOKUP(A1469,Database!$A$2:$I$948,4,0)</f>
        <v>#N/A</v>
      </c>
      <c r="M1469" t="e">
        <f t="shared" si="47"/>
        <v>#N/A</v>
      </c>
      <c r="N1469" t="e">
        <f>VLOOKUP(A1469,Database!$A$2:$I$948,5,0)</f>
        <v>#N/A</v>
      </c>
    </row>
    <row r="1470" spans="1:14" hidden="1" x14ac:dyDescent="0.35">
      <c r="A1470" s="3">
        <v>103405020</v>
      </c>
      <c r="B1470" s="3" t="s">
        <v>3509</v>
      </c>
      <c r="C1470" s="3" t="str">
        <f t="shared" si="46"/>
        <v>2022-07-06</v>
      </c>
      <c r="D1470" s="3" t="s">
        <v>9</v>
      </c>
      <c r="E1470" s="3" t="s">
        <v>5</v>
      </c>
      <c r="F1470" s="3" t="s">
        <v>10</v>
      </c>
      <c r="G1470" s="3" t="s">
        <v>3510</v>
      </c>
      <c r="H1470" s="3" t="s">
        <v>3511</v>
      </c>
      <c r="I1470" s="4">
        <v>4724.25</v>
      </c>
      <c r="J1470" s="3" t="s">
        <v>11</v>
      </c>
      <c r="K1470" t="e">
        <f>MATCH(A1470,Database!$A$2:$A$948,0)</f>
        <v>#N/A</v>
      </c>
      <c r="L1470" t="e">
        <f>VLOOKUP(A1470,Database!$A$2:$I$948,4,0)</f>
        <v>#N/A</v>
      </c>
      <c r="M1470" t="e">
        <f t="shared" si="47"/>
        <v>#N/A</v>
      </c>
      <c r="N1470" t="e">
        <f>VLOOKUP(A1470,Database!$A$2:$I$948,5,0)</f>
        <v>#N/A</v>
      </c>
    </row>
    <row r="1471" spans="1:14" hidden="1" x14ac:dyDescent="0.35">
      <c r="A1471" s="3">
        <v>103405013</v>
      </c>
      <c r="B1471" s="3" t="s">
        <v>3512</v>
      </c>
      <c r="C1471" s="3" t="str">
        <f t="shared" si="46"/>
        <v>2022-07-06</v>
      </c>
      <c r="D1471" s="3" t="s">
        <v>9</v>
      </c>
      <c r="E1471" s="3" t="s">
        <v>5</v>
      </c>
      <c r="F1471" s="3" t="s">
        <v>10</v>
      </c>
      <c r="G1471" s="3" t="s">
        <v>3510</v>
      </c>
      <c r="H1471" s="3" t="s">
        <v>3511</v>
      </c>
      <c r="I1471" s="4">
        <v>1049.25</v>
      </c>
      <c r="J1471" s="3" t="s">
        <v>11</v>
      </c>
      <c r="K1471" t="e">
        <f>MATCH(A1471,Database!$A$2:$A$948,0)</f>
        <v>#N/A</v>
      </c>
      <c r="L1471" t="e">
        <f>VLOOKUP(A1471,Database!$A$2:$I$948,4,0)</f>
        <v>#N/A</v>
      </c>
      <c r="M1471" t="e">
        <f t="shared" si="47"/>
        <v>#N/A</v>
      </c>
      <c r="N1471" t="e">
        <f>VLOOKUP(A1471,Database!$A$2:$I$948,5,0)</f>
        <v>#N/A</v>
      </c>
    </row>
    <row r="1472" spans="1:14" hidden="1" x14ac:dyDescent="0.35">
      <c r="A1472" s="3">
        <v>103404963</v>
      </c>
      <c r="B1472" s="3" t="s">
        <v>3513</v>
      </c>
      <c r="C1472" s="3" t="str">
        <f t="shared" si="46"/>
        <v>2022-07-06</v>
      </c>
      <c r="D1472" s="3" t="s">
        <v>9</v>
      </c>
      <c r="E1472" s="3" t="s">
        <v>5</v>
      </c>
      <c r="F1472" s="3" t="s">
        <v>10</v>
      </c>
      <c r="G1472" s="3" t="s">
        <v>3514</v>
      </c>
      <c r="H1472" s="3" t="s">
        <v>3515</v>
      </c>
      <c r="I1472" s="5">
        <v>2099</v>
      </c>
      <c r="J1472" s="3" t="s">
        <v>11</v>
      </c>
      <c r="K1472" t="e">
        <f>MATCH(A1472,Database!$A$2:$A$948,0)</f>
        <v>#N/A</v>
      </c>
      <c r="L1472" t="e">
        <f>VLOOKUP(A1472,Database!$A$2:$I$948,4,0)</f>
        <v>#N/A</v>
      </c>
      <c r="M1472" t="e">
        <f t="shared" si="47"/>
        <v>#N/A</v>
      </c>
      <c r="N1472" t="e">
        <f>VLOOKUP(A1472,Database!$A$2:$I$948,5,0)</f>
        <v>#N/A</v>
      </c>
    </row>
    <row r="1473" spans="1:14" hidden="1" x14ac:dyDescent="0.35">
      <c r="A1473" s="3">
        <v>103405004</v>
      </c>
      <c r="B1473" s="3" t="s">
        <v>3516</v>
      </c>
      <c r="C1473" s="3" t="str">
        <f t="shared" si="46"/>
        <v>2022-07-06</v>
      </c>
      <c r="D1473" s="3" t="s">
        <v>9</v>
      </c>
      <c r="E1473" s="3" t="s">
        <v>5</v>
      </c>
      <c r="F1473" s="3" t="s">
        <v>10</v>
      </c>
      <c r="G1473" s="3" t="s">
        <v>3517</v>
      </c>
      <c r="H1473" s="3" t="s">
        <v>3518</v>
      </c>
      <c r="I1473" s="5">
        <v>2599</v>
      </c>
      <c r="J1473" s="3" t="s">
        <v>11</v>
      </c>
      <c r="K1473" t="e">
        <f>MATCH(A1473,Database!$A$2:$A$948,0)</f>
        <v>#N/A</v>
      </c>
      <c r="L1473" t="e">
        <f>VLOOKUP(A1473,Database!$A$2:$I$948,4,0)</f>
        <v>#N/A</v>
      </c>
      <c r="M1473" t="e">
        <f t="shared" si="47"/>
        <v>#N/A</v>
      </c>
      <c r="N1473" t="e">
        <f>VLOOKUP(A1473,Database!$A$2:$I$948,5,0)</f>
        <v>#N/A</v>
      </c>
    </row>
    <row r="1474" spans="1:14" hidden="1" x14ac:dyDescent="0.35">
      <c r="A1474" s="3">
        <v>103404951</v>
      </c>
      <c r="B1474" s="3" t="s">
        <v>3519</v>
      </c>
      <c r="C1474" s="3" t="str">
        <f t="shared" si="46"/>
        <v>2022-07-06</v>
      </c>
      <c r="D1474" s="3" t="s">
        <v>9</v>
      </c>
      <c r="E1474" s="3" t="s">
        <v>5</v>
      </c>
      <c r="F1474" s="3" t="s">
        <v>12</v>
      </c>
      <c r="G1474" s="3" t="s">
        <v>3520</v>
      </c>
      <c r="H1474" s="3" t="s">
        <v>3521</v>
      </c>
      <c r="I1474" s="5">
        <v>3899</v>
      </c>
      <c r="J1474" s="3" t="s">
        <v>11</v>
      </c>
      <c r="K1474" t="e">
        <f>MATCH(A1474,Database!$A$2:$A$948,0)</f>
        <v>#N/A</v>
      </c>
      <c r="L1474" t="e">
        <f>VLOOKUP(A1474,Database!$A$2:$I$948,4,0)</f>
        <v>#N/A</v>
      </c>
      <c r="M1474" t="e">
        <f t="shared" si="47"/>
        <v>#N/A</v>
      </c>
      <c r="N1474" t="e">
        <f>VLOOKUP(A1474,Database!$A$2:$I$948,5,0)</f>
        <v>#N/A</v>
      </c>
    </row>
    <row r="1475" spans="1:14" hidden="1" x14ac:dyDescent="0.35">
      <c r="A1475" s="3">
        <v>103404994</v>
      </c>
      <c r="B1475" s="3" t="s">
        <v>3522</v>
      </c>
      <c r="C1475" s="3" t="str">
        <f t="shared" ref="C1475:C1538" si="48">LEFT(B1475,FIND("T",B1475)-1)</f>
        <v>2022-07-06</v>
      </c>
      <c r="D1475" s="3" t="s">
        <v>9</v>
      </c>
      <c r="E1475" s="3" t="s">
        <v>5</v>
      </c>
      <c r="F1475" s="3" t="s">
        <v>10</v>
      </c>
      <c r="G1475" s="3" t="s">
        <v>3523</v>
      </c>
      <c r="H1475" s="3" t="s">
        <v>3524</v>
      </c>
      <c r="I1475" s="4">
        <v>3607.15</v>
      </c>
      <c r="J1475" s="3" t="s">
        <v>13</v>
      </c>
      <c r="K1475" t="e">
        <f>MATCH(A1475,Database!$A$2:$A$948,0)</f>
        <v>#N/A</v>
      </c>
      <c r="L1475" t="e">
        <f>VLOOKUP(A1475,Database!$A$2:$I$948,4,0)</f>
        <v>#N/A</v>
      </c>
      <c r="M1475" t="e">
        <f t="shared" si="47"/>
        <v>#N/A</v>
      </c>
      <c r="N1475" t="e">
        <f>VLOOKUP(A1475,Database!$A$2:$I$948,5,0)</f>
        <v>#N/A</v>
      </c>
    </row>
    <row r="1476" spans="1:14" hidden="1" x14ac:dyDescent="0.35">
      <c r="A1476" s="3">
        <v>103404993</v>
      </c>
      <c r="B1476" s="3" t="s">
        <v>4802</v>
      </c>
      <c r="C1476" s="3" t="str">
        <f t="shared" si="48"/>
        <v>2022-07-06</v>
      </c>
      <c r="D1476" s="3" t="s">
        <v>9</v>
      </c>
      <c r="E1476" s="3" t="s">
        <v>5</v>
      </c>
      <c r="F1476" s="3" t="s">
        <v>12</v>
      </c>
      <c r="G1476" s="3" t="s">
        <v>4803</v>
      </c>
      <c r="H1476" s="3" t="s">
        <v>4804</v>
      </c>
      <c r="I1476" s="4">
        <v>2279.0500000000002</v>
      </c>
      <c r="J1476" s="3" t="s">
        <v>13</v>
      </c>
      <c r="K1476">
        <f>MATCH(A1476,Database!$A$2:$A$948,0)</f>
        <v>13</v>
      </c>
      <c r="L1476">
        <f>VLOOKUP(A1476,Database!$A$2:$I$948,4,0)</f>
        <v>2279.0500000000002</v>
      </c>
      <c r="M1476" t="b">
        <f t="shared" si="47"/>
        <v>1</v>
      </c>
      <c r="N1476">
        <f>VLOOKUP(A1476,Database!$A$2:$I$948,5,0)</f>
        <v>1</v>
      </c>
    </row>
    <row r="1477" spans="1:14" hidden="1" x14ac:dyDescent="0.35">
      <c r="A1477" s="3">
        <v>103404992</v>
      </c>
      <c r="B1477" s="3" t="s">
        <v>3525</v>
      </c>
      <c r="C1477" s="3" t="str">
        <f t="shared" si="48"/>
        <v>2022-07-06</v>
      </c>
      <c r="D1477" s="3" t="s">
        <v>9</v>
      </c>
      <c r="E1477" s="3" t="s">
        <v>5</v>
      </c>
      <c r="F1477" s="3" t="s">
        <v>10</v>
      </c>
      <c r="G1477" s="3" t="s">
        <v>3526</v>
      </c>
      <c r="H1477" s="3" t="s">
        <v>3527</v>
      </c>
      <c r="I1477" s="5">
        <v>6038</v>
      </c>
      <c r="J1477" s="3" t="s">
        <v>11</v>
      </c>
      <c r="K1477" t="e">
        <f>MATCH(A1477,Database!$A$2:$A$948,0)</f>
        <v>#N/A</v>
      </c>
      <c r="L1477" t="e">
        <f>VLOOKUP(A1477,Database!$A$2:$I$948,4,0)</f>
        <v>#N/A</v>
      </c>
      <c r="M1477" t="e">
        <f t="shared" si="47"/>
        <v>#N/A</v>
      </c>
      <c r="N1477" t="e">
        <f>VLOOKUP(A1477,Database!$A$2:$I$948,5,0)</f>
        <v>#N/A</v>
      </c>
    </row>
    <row r="1478" spans="1:14" hidden="1" x14ac:dyDescent="0.35">
      <c r="A1478" s="3">
        <v>103404991</v>
      </c>
      <c r="B1478" s="3" t="s">
        <v>3528</v>
      </c>
      <c r="C1478" s="3" t="str">
        <f t="shared" si="48"/>
        <v>2022-07-06</v>
      </c>
      <c r="D1478" s="3" t="s">
        <v>9</v>
      </c>
      <c r="E1478" s="3" t="s">
        <v>5</v>
      </c>
      <c r="F1478" s="3" t="s">
        <v>10</v>
      </c>
      <c r="G1478" s="3" t="s">
        <v>3529</v>
      </c>
      <c r="H1478" s="3" t="s">
        <v>3530</v>
      </c>
      <c r="I1478" s="4">
        <v>3324.05</v>
      </c>
      <c r="J1478" s="3" t="s">
        <v>11</v>
      </c>
      <c r="K1478" t="e">
        <f>MATCH(A1478,Database!$A$2:$A$948,0)</f>
        <v>#N/A</v>
      </c>
      <c r="L1478" t="e">
        <f>VLOOKUP(A1478,Database!$A$2:$I$948,4,0)</f>
        <v>#N/A</v>
      </c>
      <c r="M1478" t="e">
        <f t="shared" si="47"/>
        <v>#N/A</v>
      </c>
      <c r="N1478" t="e">
        <f>VLOOKUP(A1478,Database!$A$2:$I$948,5,0)</f>
        <v>#N/A</v>
      </c>
    </row>
    <row r="1479" spans="1:14" hidden="1" x14ac:dyDescent="0.35">
      <c r="A1479" s="3">
        <v>103404948</v>
      </c>
      <c r="B1479" s="3" t="s">
        <v>3531</v>
      </c>
      <c r="C1479" s="3" t="str">
        <f t="shared" si="48"/>
        <v>2022-07-06</v>
      </c>
      <c r="D1479" s="3" t="s">
        <v>9</v>
      </c>
      <c r="E1479" s="3" t="s">
        <v>5</v>
      </c>
      <c r="F1479" s="3" t="s">
        <v>10</v>
      </c>
      <c r="G1479" s="3" t="s">
        <v>3532</v>
      </c>
      <c r="H1479" s="3" t="s">
        <v>3533</v>
      </c>
      <c r="I1479" s="5">
        <v>2309</v>
      </c>
      <c r="J1479" s="3" t="s">
        <v>11</v>
      </c>
      <c r="K1479" t="e">
        <f>MATCH(A1479,Database!$A$2:$A$948,0)</f>
        <v>#N/A</v>
      </c>
      <c r="L1479" t="e">
        <f>VLOOKUP(A1479,Database!$A$2:$I$948,4,0)</f>
        <v>#N/A</v>
      </c>
      <c r="M1479" t="e">
        <f t="shared" si="47"/>
        <v>#N/A</v>
      </c>
      <c r="N1479" t="e">
        <f>VLOOKUP(A1479,Database!$A$2:$I$948,5,0)</f>
        <v>#N/A</v>
      </c>
    </row>
    <row r="1480" spans="1:14" hidden="1" x14ac:dyDescent="0.35">
      <c r="A1480" s="3">
        <v>103404986</v>
      </c>
      <c r="B1480" s="3" t="s">
        <v>3534</v>
      </c>
      <c r="C1480" s="3" t="str">
        <f t="shared" si="48"/>
        <v>2022-07-06</v>
      </c>
      <c r="D1480" s="3" t="s">
        <v>9</v>
      </c>
      <c r="E1480" s="3" t="s">
        <v>5</v>
      </c>
      <c r="F1480" s="3" t="s">
        <v>12</v>
      </c>
      <c r="G1480" s="3" t="s">
        <v>3535</v>
      </c>
      <c r="H1480" s="3" t="s">
        <v>3536</v>
      </c>
      <c r="I1480" s="3">
        <v>489</v>
      </c>
      <c r="J1480" s="3" t="s">
        <v>11</v>
      </c>
      <c r="K1480" t="e">
        <f>MATCH(A1480,Database!$A$2:$A$948,0)</f>
        <v>#N/A</v>
      </c>
      <c r="L1480" t="e">
        <f>VLOOKUP(A1480,Database!$A$2:$I$948,4,0)</f>
        <v>#N/A</v>
      </c>
      <c r="M1480" t="e">
        <f t="shared" si="47"/>
        <v>#N/A</v>
      </c>
      <c r="N1480" t="e">
        <f>VLOOKUP(A1480,Database!$A$2:$I$948,5,0)</f>
        <v>#N/A</v>
      </c>
    </row>
    <row r="1481" spans="1:14" hidden="1" x14ac:dyDescent="0.35">
      <c r="A1481" s="3">
        <v>103404944</v>
      </c>
      <c r="B1481" s="3" t="s">
        <v>3537</v>
      </c>
      <c r="C1481" s="3" t="str">
        <f t="shared" si="48"/>
        <v>2022-07-06</v>
      </c>
      <c r="D1481" s="3" t="s">
        <v>9</v>
      </c>
      <c r="E1481" s="3" t="s">
        <v>5</v>
      </c>
      <c r="F1481" s="3" t="s">
        <v>10</v>
      </c>
      <c r="G1481" s="3" t="s">
        <v>3538</v>
      </c>
      <c r="H1481" s="3" t="s">
        <v>3539</v>
      </c>
      <c r="I1481" s="4">
        <v>1899.05</v>
      </c>
      <c r="J1481" s="3" t="s">
        <v>11</v>
      </c>
      <c r="K1481" t="e">
        <f>MATCH(A1481,Database!$A$2:$A$948,0)</f>
        <v>#N/A</v>
      </c>
      <c r="L1481" t="e">
        <f>VLOOKUP(A1481,Database!$A$2:$I$948,4,0)</f>
        <v>#N/A</v>
      </c>
      <c r="M1481" t="e">
        <f t="shared" si="47"/>
        <v>#N/A</v>
      </c>
      <c r="N1481" t="e">
        <f>VLOOKUP(A1481,Database!$A$2:$I$948,5,0)</f>
        <v>#N/A</v>
      </c>
    </row>
    <row r="1482" spans="1:14" hidden="1" x14ac:dyDescent="0.35">
      <c r="A1482" s="3">
        <v>103404938</v>
      </c>
      <c r="B1482" s="3" t="s">
        <v>3540</v>
      </c>
      <c r="C1482" s="3" t="str">
        <f t="shared" si="48"/>
        <v>2022-07-06</v>
      </c>
      <c r="D1482" s="3" t="s">
        <v>9</v>
      </c>
      <c r="E1482" s="3" t="s">
        <v>5</v>
      </c>
      <c r="F1482" s="3" t="s">
        <v>10</v>
      </c>
      <c r="G1482" s="3" t="s">
        <v>3541</v>
      </c>
      <c r="H1482" s="3" t="s">
        <v>3542</v>
      </c>
      <c r="I1482" s="3">
        <v>379.05</v>
      </c>
      <c r="J1482" s="3" t="s">
        <v>11</v>
      </c>
      <c r="K1482" t="e">
        <f>MATCH(A1482,Database!$A$2:$A$948,0)</f>
        <v>#N/A</v>
      </c>
      <c r="L1482" t="e">
        <f>VLOOKUP(A1482,Database!$A$2:$I$948,4,0)</f>
        <v>#N/A</v>
      </c>
      <c r="M1482" t="e">
        <f t="shared" si="47"/>
        <v>#N/A</v>
      </c>
      <c r="N1482" t="e">
        <f>VLOOKUP(A1482,Database!$A$2:$I$948,5,0)</f>
        <v>#N/A</v>
      </c>
    </row>
    <row r="1483" spans="1:14" hidden="1" x14ac:dyDescent="0.35">
      <c r="A1483" s="3">
        <v>103404936</v>
      </c>
      <c r="B1483" s="3" t="s">
        <v>3543</v>
      </c>
      <c r="C1483" s="3" t="str">
        <f t="shared" si="48"/>
        <v>2022-07-06</v>
      </c>
      <c r="D1483" s="3" t="s">
        <v>9</v>
      </c>
      <c r="E1483" s="3" t="s">
        <v>5</v>
      </c>
      <c r="F1483" s="3" t="s">
        <v>12</v>
      </c>
      <c r="G1483" s="3" t="s">
        <v>3544</v>
      </c>
      <c r="H1483" s="3" t="s">
        <v>3545</v>
      </c>
      <c r="I1483" s="3">
        <v>399</v>
      </c>
      <c r="J1483" s="3" t="s">
        <v>11</v>
      </c>
      <c r="K1483" t="e">
        <f>MATCH(A1483,Database!$A$2:$A$948,0)</f>
        <v>#N/A</v>
      </c>
      <c r="L1483" t="e">
        <f>VLOOKUP(A1483,Database!$A$2:$I$948,4,0)</f>
        <v>#N/A</v>
      </c>
      <c r="M1483" t="e">
        <f t="shared" si="47"/>
        <v>#N/A</v>
      </c>
      <c r="N1483" t="e">
        <f>VLOOKUP(A1483,Database!$A$2:$I$948,5,0)</f>
        <v>#N/A</v>
      </c>
    </row>
    <row r="1484" spans="1:14" hidden="1" x14ac:dyDescent="0.35">
      <c r="A1484" s="3">
        <v>103404982</v>
      </c>
      <c r="B1484" s="3" t="s">
        <v>3546</v>
      </c>
      <c r="C1484" s="3" t="str">
        <f t="shared" si="48"/>
        <v>2022-07-06</v>
      </c>
      <c r="D1484" s="3" t="s">
        <v>9</v>
      </c>
      <c r="E1484" s="3" t="s">
        <v>5</v>
      </c>
      <c r="F1484" s="3" t="s">
        <v>10</v>
      </c>
      <c r="G1484" s="3" t="s">
        <v>3547</v>
      </c>
      <c r="H1484" s="3" t="s">
        <v>3548</v>
      </c>
      <c r="I1484" s="4">
        <v>6881.04</v>
      </c>
      <c r="J1484" s="3" t="s">
        <v>11</v>
      </c>
      <c r="K1484" t="e">
        <f>MATCH(A1484,Database!$A$2:$A$948,0)</f>
        <v>#N/A</v>
      </c>
      <c r="L1484" t="e">
        <f>VLOOKUP(A1484,Database!$A$2:$I$948,4,0)</f>
        <v>#N/A</v>
      </c>
      <c r="M1484" t="e">
        <f t="shared" ref="M1484:M1547" si="49">I1484=L1484</f>
        <v>#N/A</v>
      </c>
      <c r="N1484" t="e">
        <f>VLOOKUP(A1484,Database!$A$2:$I$948,5,0)</f>
        <v>#N/A</v>
      </c>
    </row>
    <row r="1485" spans="1:14" hidden="1" x14ac:dyDescent="0.35">
      <c r="A1485" s="3">
        <v>103404933</v>
      </c>
      <c r="B1485" s="3" t="s">
        <v>3549</v>
      </c>
      <c r="C1485" s="3" t="str">
        <f t="shared" si="48"/>
        <v>2022-07-06</v>
      </c>
      <c r="D1485" s="3" t="s">
        <v>9</v>
      </c>
      <c r="E1485" s="3" t="s">
        <v>5</v>
      </c>
      <c r="F1485" s="3" t="s">
        <v>12</v>
      </c>
      <c r="G1485" s="3" t="s">
        <v>3550</v>
      </c>
      <c r="H1485" s="3" t="s">
        <v>3551</v>
      </c>
      <c r="I1485" s="5">
        <v>2878</v>
      </c>
      <c r="J1485" s="3" t="s">
        <v>11</v>
      </c>
      <c r="K1485" t="e">
        <f>MATCH(A1485,Database!$A$2:$A$948,0)</f>
        <v>#N/A</v>
      </c>
      <c r="L1485" t="e">
        <f>VLOOKUP(A1485,Database!$A$2:$I$948,4,0)</f>
        <v>#N/A</v>
      </c>
      <c r="M1485" t="e">
        <f t="shared" si="49"/>
        <v>#N/A</v>
      </c>
      <c r="N1485" t="e">
        <f>VLOOKUP(A1485,Database!$A$2:$I$948,5,0)</f>
        <v>#N/A</v>
      </c>
    </row>
    <row r="1486" spans="1:14" hidden="1" x14ac:dyDescent="0.35">
      <c r="A1486" s="3">
        <v>103404980</v>
      </c>
      <c r="B1486" s="3" t="s">
        <v>3552</v>
      </c>
      <c r="C1486" s="3" t="str">
        <f t="shared" si="48"/>
        <v>2022-07-06</v>
      </c>
      <c r="D1486" s="3" t="s">
        <v>9</v>
      </c>
      <c r="E1486" s="3" t="s">
        <v>5</v>
      </c>
      <c r="F1486" s="3" t="s">
        <v>10</v>
      </c>
      <c r="G1486" s="3" t="s">
        <v>3553</v>
      </c>
      <c r="H1486" s="3" t="s">
        <v>3554</v>
      </c>
      <c r="I1486" s="4">
        <v>4559.05</v>
      </c>
      <c r="J1486" s="3" t="s">
        <v>11</v>
      </c>
      <c r="K1486" t="e">
        <f>MATCH(A1486,Database!$A$2:$A$948,0)</f>
        <v>#N/A</v>
      </c>
      <c r="L1486" t="e">
        <f>VLOOKUP(A1486,Database!$A$2:$I$948,4,0)</f>
        <v>#N/A</v>
      </c>
      <c r="M1486" t="e">
        <f t="shared" si="49"/>
        <v>#N/A</v>
      </c>
      <c r="N1486" t="e">
        <f>VLOOKUP(A1486,Database!$A$2:$I$948,5,0)</f>
        <v>#N/A</v>
      </c>
    </row>
    <row r="1487" spans="1:14" hidden="1" x14ac:dyDescent="0.35">
      <c r="A1487" s="3">
        <v>103404928</v>
      </c>
      <c r="B1487" s="3" t="s">
        <v>3555</v>
      </c>
      <c r="C1487" s="3" t="str">
        <f t="shared" si="48"/>
        <v>2022-07-06</v>
      </c>
      <c r="D1487" s="3" t="s">
        <v>9</v>
      </c>
      <c r="E1487" s="3" t="s">
        <v>5</v>
      </c>
      <c r="F1487" s="3" t="s">
        <v>12</v>
      </c>
      <c r="G1487" s="3" t="s">
        <v>3556</v>
      </c>
      <c r="H1487" s="3" t="s">
        <v>3557</v>
      </c>
      <c r="I1487" s="4">
        <v>4274.05</v>
      </c>
      <c r="J1487" s="3" t="s">
        <v>11</v>
      </c>
      <c r="K1487" t="e">
        <f>MATCH(A1487,Database!$A$2:$A$948,0)</f>
        <v>#N/A</v>
      </c>
      <c r="L1487" t="e">
        <f>VLOOKUP(A1487,Database!$A$2:$I$948,4,0)</f>
        <v>#N/A</v>
      </c>
      <c r="M1487" t="e">
        <f t="shared" si="49"/>
        <v>#N/A</v>
      </c>
      <c r="N1487" t="e">
        <f>VLOOKUP(A1487,Database!$A$2:$I$948,5,0)</f>
        <v>#N/A</v>
      </c>
    </row>
    <row r="1488" spans="1:14" hidden="1" x14ac:dyDescent="0.35">
      <c r="A1488" s="3">
        <v>103404979</v>
      </c>
      <c r="B1488" s="3" t="s">
        <v>3558</v>
      </c>
      <c r="C1488" s="3" t="str">
        <f t="shared" si="48"/>
        <v>2022-07-06</v>
      </c>
      <c r="D1488" s="3" t="s">
        <v>9</v>
      </c>
      <c r="E1488" s="3" t="s">
        <v>5</v>
      </c>
      <c r="F1488" s="3" t="s">
        <v>10</v>
      </c>
      <c r="G1488" s="3" t="s">
        <v>3559</v>
      </c>
      <c r="H1488" s="3" t="s">
        <v>3560</v>
      </c>
      <c r="I1488" s="4">
        <v>3656.55</v>
      </c>
      <c r="J1488" s="3" t="s">
        <v>11</v>
      </c>
      <c r="K1488" t="e">
        <f>MATCH(A1488,Database!$A$2:$A$948,0)</f>
        <v>#N/A</v>
      </c>
      <c r="L1488" t="e">
        <f>VLOOKUP(A1488,Database!$A$2:$I$948,4,0)</f>
        <v>#N/A</v>
      </c>
      <c r="M1488" t="e">
        <f t="shared" si="49"/>
        <v>#N/A</v>
      </c>
      <c r="N1488" t="e">
        <f>VLOOKUP(A1488,Database!$A$2:$I$948,5,0)</f>
        <v>#N/A</v>
      </c>
    </row>
    <row r="1489" spans="1:14" hidden="1" x14ac:dyDescent="0.35">
      <c r="A1489" s="3">
        <v>103404978</v>
      </c>
      <c r="B1489" s="3" t="s">
        <v>3561</v>
      </c>
      <c r="C1489" s="3" t="str">
        <f t="shared" si="48"/>
        <v>2022-07-06</v>
      </c>
      <c r="D1489" s="3" t="s">
        <v>9</v>
      </c>
      <c r="E1489" s="3" t="s">
        <v>5</v>
      </c>
      <c r="F1489" s="3" t="s">
        <v>10</v>
      </c>
      <c r="G1489" s="3" t="s">
        <v>3562</v>
      </c>
      <c r="H1489" s="3" t="s">
        <v>3563</v>
      </c>
      <c r="I1489" s="4">
        <v>4986.55</v>
      </c>
      <c r="J1489" s="3" t="s">
        <v>11</v>
      </c>
      <c r="K1489" t="e">
        <f>MATCH(A1489,Database!$A$2:$A$948,0)</f>
        <v>#N/A</v>
      </c>
      <c r="L1489" t="e">
        <f>VLOOKUP(A1489,Database!$A$2:$I$948,4,0)</f>
        <v>#N/A</v>
      </c>
      <c r="M1489" t="e">
        <f t="shared" si="49"/>
        <v>#N/A</v>
      </c>
      <c r="N1489" t="e">
        <f>VLOOKUP(A1489,Database!$A$2:$I$948,5,0)</f>
        <v>#N/A</v>
      </c>
    </row>
    <row r="1490" spans="1:14" hidden="1" x14ac:dyDescent="0.35">
      <c r="A1490" s="3">
        <v>103404974</v>
      </c>
      <c r="B1490" s="3" t="s">
        <v>3564</v>
      </c>
      <c r="C1490" s="3" t="str">
        <f t="shared" si="48"/>
        <v>2022-07-06</v>
      </c>
      <c r="D1490" s="3" t="s">
        <v>9</v>
      </c>
      <c r="E1490" s="3" t="s">
        <v>5</v>
      </c>
      <c r="F1490" s="3" t="s">
        <v>10</v>
      </c>
      <c r="G1490" s="3" t="s">
        <v>3565</v>
      </c>
      <c r="H1490" s="3" t="s">
        <v>3566</v>
      </c>
      <c r="I1490" s="5">
        <v>1539</v>
      </c>
      <c r="J1490" s="3" t="s">
        <v>11</v>
      </c>
      <c r="K1490" t="e">
        <f>MATCH(A1490,Database!$A$2:$A$948,0)</f>
        <v>#N/A</v>
      </c>
      <c r="L1490" t="e">
        <f>VLOOKUP(A1490,Database!$A$2:$I$948,4,0)</f>
        <v>#N/A</v>
      </c>
      <c r="M1490" t="e">
        <f t="shared" si="49"/>
        <v>#N/A</v>
      </c>
      <c r="N1490" t="e">
        <f>VLOOKUP(A1490,Database!$A$2:$I$948,5,0)</f>
        <v>#N/A</v>
      </c>
    </row>
    <row r="1491" spans="1:14" hidden="1" x14ac:dyDescent="0.35">
      <c r="A1491" s="3">
        <v>103404918</v>
      </c>
      <c r="B1491" s="3" t="s">
        <v>3567</v>
      </c>
      <c r="C1491" s="3" t="str">
        <f t="shared" si="48"/>
        <v>2022-07-06</v>
      </c>
      <c r="D1491" s="3" t="s">
        <v>9</v>
      </c>
      <c r="E1491" s="3" t="s">
        <v>5</v>
      </c>
      <c r="F1491" s="3" t="s">
        <v>10</v>
      </c>
      <c r="G1491" s="3" t="s">
        <v>3568</v>
      </c>
      <c r="H1491" s="3" t="s">
        <v>3569</v>
      </c>
      <c r="I1491" s="5">
        <v>4399</v>
      </c>
      <c r="J1491" s="3" t="s">
        <v>11</v>
      </c>
      <c r="K1491" t="e">
        <f>MATCH(A1491,Database!$A$2:$A$948,0)</f>
        <v>#N/A</v>
      </c>
      <c r="L1491" t="e">
        <f>VLOOKUP(A1491,Database!$A$2:$I$948,4,0)</f>
        <v>#N/A</v>
      </c>
      <c r="M1491" t="e">
        <f t="shared" si="49"/>
        <v>#N/A</v>
      </c>
      <c r="N1491" t="e">
        <f>VLOOKUP(A1491,Database!$A$2:$I$948,5,0)</f>
        <v>#N/A</v>
      </c>
    </row>
    <row r="1492" spans="1:14" hidden="1" x14ac:dyDescent="0.35">
      <c r="A1492" s="3">
        <v>103404970</v>
      </c>
      <c r="B1492" s="3" t="s">
        <v>3570</v>
      </c>
      <c r="C1492" s="3" t="str">
        <f t="shared" si="48"/>
        <v>2022-07-06</v>
      </c>
      <c r="D1492" s="3" t="s">
        <v>9</v>
      </c>
      <c r="E1492" s="3" t="s">
        <v>5</v>
      </c>
      <c r="F1492" s="3" t="s">
        <v>10</v>
      </c>
      <c r="G1492" s="3" t="s">
        <v>3571</v>
      </c>
      <c r="H1492" s="3" t="s">
        <v>3572</v>
      </c>
      <c r="I1492" s="3">
        <v>989</v>
      </c>
      <c r="J1492" s="3" t="s">
        <v>11</v>
      </c>
      <c r="K1492" t="e">
        <f>MATCH(A1492,Database!$A$2:$A$948,0)</f>
        <v>#N/A</v>
      </c>
      <c r="L1492" t="e">
        <f>VLOOKUP(A1492,Database!$A$2:$I$948,4,0)</f>
        <v>#N/A</v>
      </c>
      <c r="M1492" t="e">
        <f t="shared" si="49"/>
        <v>#N/A</v>
      </c>
      <c r="N1492" t="e">
        <f>VLOOKUP(A1492,Database!$A$2:$I$948,5,0)</f>
        <v>#N/A</v>
      </c>
    </row>
    <row r="1493" spans="1:14" hidden="1" x14ac:dyDescent="0.35">
      <c r="A1493" s="3">
        <v>103404910</v>
      </c>
      <c r="B1493" s="3" t="s">
        <v>3573</v>
      </c>
      <c r="C1493" s="3" t="str">
        <f t="shared" si="48"/>
        <v>2022-07-06</v>
      </c>
      <c r="D1493" s="3" t="s">
        <v>9</v>
      </c>
      <c r="E1493" s="3" t="s">
        <v>5</v>
      </c>
      <c r="F1493" s="3" t="s">
        <v>10</v>
      </c>
      <c r="G1493" s="3" t="s">
        <v>3574</v>
      </c>
      <c r="H1493" s="3" t="s">
        <v>3575</v>
      </c>
      <c r="I1493" s="4">
        <v>2699.1</v>
      </c>
      <c r="J1493" s="3" t="s">
        <v>11</v>
      </c>
      <c r="K1493" t="e">
        <f>MATCH(A1493,Database!$A$2:$A$948,0)</f>
        <v>#N/A</v>
      </c>
      <c r="L1493" t="e">
        <f>VLOOKUP(A1493,Database!$A$2:$I$948,4,0)</f>
        <v>#N/A</v>
      </c>
      <c r="M1493" t="e">
        <f t="shared" si="49"/>
        <v>#N/A</v>
      </c>
      <c r="N1493" t="e">
        <f>VLOOKUP(A1493,Database!$A$2:$I$948,5,0)</f>
        <v>#N/A</v>
      </c>
    </row>
    <row r="1494" spans="1:14" hidden="1" x14ac:dyDescent="0.35">
      <c r="A1494" s="3">
        <v>103404898</v>
      </c>
      <c r="B1494" s="3" t="s">
        <v>3576</v>
      </c>
      <c r="C1494" s="3" t="str">
        <f t="shared" si="48"/>
        <v>2022-07-06</v>
      </c>
      <c r="D1494" s="3" t="s">
        <v>9</v>
      </c>
      <c r="E1494" s="3" t="s">
        <v>5</v>
      </c>
      <c r="F1494" s="3" t="s">
        <v>10</v>
      </c>
      <c r="G1494" s="3" t="s">
        <v>3577</v>
      </c>
      <c r="H1494" s="3" t="s">
        <v>3578</v>
      </c>
      <c r="I1494" s="3">
        <v>759.05</v>
      </c>
      <c r="J1494" s="3" t="s">
        <v>11</v>
      </c>
      <c r="K1494" t="e">
        <f>MATCH(A1494,Database!$A$2:$A$948,0)</f>
        <v>#N/A</v>
      </c>
      <c r="L1494" t="e">
        <f>VLOOKUP(A1494,Database!$A$2:$I$948,4,0)</f>
        <v>#N/A</v>
      </c>
      <c r="M1494" t="e">
        <f t="shared" si="49"/>
        <v>#N/A</v>
      </c>
      <c r="N1494" t="e">
        <f>VLOOKUP(A1494,Database!$A$2:$I$948,5,0)</f>
        <v>#N/A</v>
      </c>
    </row>
    <row r="1495" spans="1:14" hidden="1" x14ac:dyDescent="0.35">
      <c r="A1495" s="3">
        <v>103404858</v>
      </c>
      <c r="B1495" s="3" t="s">
        <v>3579</v>
      </c>
      <c r="C1495" s="3" t="str">
        <f t="shared" si="48"/>
        <v>2022-07-06</v>
      </c>
      <c r="D1495" s="3" t="s">
        <v>9</v>
      </c>
      <c r="E1495" s="3" t="s">
        <v>5</v>
      </c>
      <c r="F1495" s="3" t="s">
        <v>10</v>
      </c>
      <c r="G1495" s="3" t="s">
        <v>1267</v>
      </c>
      <c r="H1495" s="3" t="s">
        <v>1268</v>
      </c>
      <c r="I1495" s="5">
        <v>3999</v>
      </c>
      <c r="J1495" s="3" t="s">
        <v>11</v>
      </c>
      <c r="K1495" t="e">
        <f>MATCH(A1495,Database!$A$2:$A$948,0)</f>
        <v>#N/A</v>
      </c>
      <c r="L1495" t="e">
        <f>VLOOKUP(A1495,Database!$A$2:$I$948,4,0)</f>
        <v>#N/A</v>
      </c>
      <c r="M1495" t="e">
        <f t="shared" si="49"/>
        <v>#N/A</v>
      </c>
      <c r="N1495" t="e">
        <f>VLOOKUP(A1495,Database!$A$2:$I$948,5,0)</f>
        <v>#N/A</v>
      </c>
    </row>
    <row r="1496" spans="1:14" hidden="1" x14ac:dyDescent="0.35">
      <c r="A1496" s="3">
        <v>103404891</v>
      </c>
      <c r="B1496" s="3" t="s">
        <v>3580</v>
      </c>
      <c r="C1496" s="3" t="str">
        <f t="shared" si="48"/>
        <v>2022-07-06</v>
      </c>
      <c r="D1496" s="3" t="s">
        <v>9</v>
      </c>
      <c r="E1496" s="3" t="s">
        <v>5</v>
      </c>
      <c r="F1496" s="3" t="s">
        <v>10</v>
      </c>
      <c r="G1496" s="3" t="s">
        <v>3581</v>
      </c>
      <c r="H1496" s="3" t="s">
        <v>3582</v>
      </c>
      <c r="I1496" s="4">
        <v>2457.65</v>
      </c>
      <c r="J1496" s="3" t="s">
        <v>11</v>
      </c>
      <c r="K1496" t="e">
        <f>MATCH(A1496,Database!$A$2:$A$948,0)</f>
        <v>#N/A</v>
      </c>
      <c r="L1496" t="e">
        <f>VLOOKUP(A1496,Database!$A$2:$I$948,4,0)</f>
        <v>#N/A</v>
      </c>
      <c r="M1496" t="e">
        <f t="shared" si="49"/>
        <v>#N/A</v>
      </c>
      <c r="N1496" t="e">
        <f>VLOOKUP(A1496,Database!$A$2:$I$948,5,0)</f>
        <v>#N/A</v>
      </c>
    </row>
    <row r="1497" spans="1:14" hidden="1" x14ac:dyDescent="0.35">
      <c r="A1497" s="3">
        <v>103404889</v>
      </c>
      <c r="B1497" s="3" t="s">
        <v>3583</v>
      </c>
      <c r="C1497" s="3" t="str">
        <f t="shared" si="48"/>
        <v>2022-07-06</v>
      </c>
      <c r="D1497" s="3" t="s">
        <v>9</v>
      </c>
      <c r="E1497" s="3" t="s">
        <v>5</v>
      </c>
      <c r="F1497" s="3" t="s">
        <v>10</v>
      </c>
      <c r="G1497" s="3" t="s">
        <v>3584</v>
      </c>
      <c r="H1497" s="3" t="s">
        <v>3585</v>
      </c>
      <c r="I1497" s="4">
        <v>2777.89</v>
      </c>
      <c r="J1497" s="3" t="s">
        <v>11</v>
      </c>
      <c r="K1497" t="e">
        <f>MATCH(A1497,Database!$A$2:$A$948,0)</f>
        <v>#N/A</v>
      </c>
      <c r="L1497" t="e">
        <f>VLOOKUP(A1497,Database!$A$2:$I$948,4,0)</f>
        <v>#N/A</v>
      </c>
      <c r="M1497" t="e">
        <f t="shared" si="49"/>
        <v>#N/A</v>
      </c>
      <c r="N1497" t="e">
        <f>VLOOKUP(A1497,Database!$A$2:$I$948,5,0)</f>
        <v>#N/A</v>
      </c>
    </row>
    <row r="1498" spans="1:14" hidden="1" x14ac:dyDescent="0.35">
      <c r="A1498" s="3">
        <v>103404855</v>
      </c>
      <c r="B1498" s="3" t="s">
        <v>3586</v>
      </c>
      <c r="C1498" s="3" t="str">
        <f t="shared" si="48"/>
        <v>2022-07-06</v>
      </c>
      <c r="D1498" s="3" t="s">
        <v>9</v>
      </c>
      <c r="E1498" s="3" t="s">
        <v>5</v>
      </c>
      <c r="F1498" s="3" t="s">
        <v>10</v>
      </c>
      <c r="G1498" s="3" t="s">
        <v>3587</v>
      </c>
      <c r="H1498" s="3" t="s">
        <v>3588</v>
      </c>
      <c r="I1498" s="5">
        <v>1499</v>
      </c>
      <c r="J1498" s="3" t="s">
        <v>11</v>
      </c>
      <c r="K1498" t="e">
        <f>MATCH(A1498,Database!$A$2:$A$948,0)</f>
        <v>#N/A</v>
      </c>
      <c r="L1498" t="e">
        <f>VLOOKUP(A1498,Database!$A$2:$I$948,4,0)</f>
        <v>#N/A</v>
      </c>
      <c r="M1498" t="e">
        <f t="shared" si="49"/>
        <v>#N/A</v>
      </c>
      <c r="N1498" t="e">
        <f>VLOOKUP(A1498,Database!$A$2:$I$948,5,0)</f>
        <v>#N/A</v>
      </c>
    </row>
    <row r="1499" spans="1:14" hidden="1" x14ac:dyDescent="0.35">
      <c r="A1499" s="3">
        <v>103404854</v>
      </c>
      <c r="B1499" s="3" t="s">
        <v>3589</v>
      </c>
      <c r="C1499" s="3" t="str">
        <f t="shared" si="48"/>
        <v>2022-07-06</v>
      </c>
      <c r="D1499" s="3" t="s">
        <v>9</v>
      </c>
      <c r="E1499" s="3" t="s">
        <v>5</v>
      </c>
      <c r="F1499" s="3" t="s">
        <v>10</v>
      </c>
      <c r="G1499" s="3" t="s">
        <v>3590</v>
      </c>
      <c r="H1499" s="3" t="s">
        <v>3591</v>
      </c>
      <c r="I1499" s="4">
        <v>2158.5</v>
      </c>
      <c r="J1499" s="3" t="s">
        <v>11</v>
      </c>
      <c r="K1499" t="e">
        <f>MATCH(A1499,Database!$A$2:$A$948,0)</f>
        <v>#N/A</v>
      </c>
      <c r="L1499" t="e">
        <f>VLOOKUP(A1499,Database!$A$2:$I$948,4,0)</f>
        <v>#N/A</v>
      </c>
      <c r="M1499" t="e">
        <f t="shared" si="49"/>
        <v>#N/A</v>
      </c>
      <c r="N1499" t="e">
        <f>VLOOKUP(A1499,Database!$A$2:$I$948,5,0)</f>
        <v>#N/A</v>
      </c>
    </row>
    <row r="1500" spans="1:14" hidden="1" x14ac:dyDescent="0.35">
      <c r="A1500" s="3">
        <v>103404847</v>
      </c>
      <c r="B1500" s="3" t="s">
        <v>3592</v>
      </c>
      <c r="C1500" s="3" t="str">
        <f t="shared" si="48"/>
        <v>2022-07-06</v>
      </c>
      <c r="D1500" s="3" t="s">
        <v>9</v>
      </c>
      <c r="E1500" s="3" t="s">
        <v>5</v>
      </c>
      <c r="F1500" s="3" t="s">
        <v>10</v>
      </c>
      <c r="G1500" s="3" t="s">
        <v>3593</v>
      </c>
      <c r="H1500" s="3" t="s">
        <v>3594</v>
      </c>
      <c r="I1500" s="5">
        <v>1169</v>
      </c>
      <c r="J1500" s="3" t="s">
        <v>11</v>
      </c>
      <c r="K1500" t="e">
        <f>MATCH(A1500,Database!$A$2:$A$948,0)</f>
        <v>#N/A</v>
      </c>
      <c r="L1500" t="e">
        <f>VLOOKUP(A1500,Database!$A$2:$I$948,4,0)</f>
        <v>#N/A</v>
      </c>
      <c r="M1500" t="e">
        <f t="shared" si="49"/>
        <v>#N/A</v>
      </c>
      <c r="N1500" t="e">
        <f>VLOOKUP(A1500,Database!$A$2:$I$948,5,0)</f>
        <v>#N/A</v>
      </c>
    </row>
    <row r="1501" spans="1:14" hidden="1" x14ac:dyDescent="0.35">
      <c r="A1501" s="3">
        <v>103404879</v>
      </c>
      <c r="B1501" s="3" t="s">
        <v>3595</v>
      </c>
      <c r="C1501" s="3" t="str">
        <f t="shared" si="48"/>
        <v>2022-07-06</v>
      </c>
      <c r="D1501" s="3" t="s">
        <v>9</v>
      </c>
      <c r="E1501" s="3" t="s">
        <v>5</v>
      </c>
      <c r="F1501" s="3" t="s">
        <v>10</v>
      </c>
      <c r="G1501" s="3" t="s">
        <v>3596</v>
      </c>
      <c r="H1501" s="3" t="s">
        <v>3597</v>
      </c>
      <c r="I1501" s="4">
        <v>2611.5500000000002</v>
      </c>
      <c r="J1501" s="3" t="s">
        <v>11</v>
      </c>
      <c r="K1501" t="e">
        <f>MATCH(A1501,Database!$A$2:$A$948,0)</f>
        <v>#N/A</v>
      </c>
      <c r="L1501" t="e">
        <f>VLOOKUP(A1501,Database!$A$2:$I$948,4,0)</f>
        <v>#N/A</v>
      </c>
      <c r="M1501" t="e">
        <f t="shared" si="49"/>
        <v>#N/A</v>
      </c>
      <c r="N1501" t="e">
        <f>VLOOKUP(A1501,Database!$A$2:$I$948,5,0)</f>
        <v>#N/A</v>
      </c>
    </row>
    <row r="1502" spans="1:14" hidden="1" x14ac:dyDescent="0.35">
      <c r="A1502" s="3">
        <v>103404839</v>
      </c>
      <c r="B1502" s="3" t="s">
        <v>3598</v>
      </c>
      <c r="C1502" s="3" t="str">
        <f t="shared" si="48"/>
        <v>2022-07-06</v>
      </c>
      <c r="D1502" s="3" t="s">
        <v>9</v>
      </c>
      <c r="E1502" s="3" t="s">
        <v>5</v>
      </c>
      <c r="F1502" s="3" t="s">
        <v>12</v>
      </c>
      <c r="G1502" s="3" t="s">
        <v>3599</v>
      </c>
      <c r="H1502" s="3" t="s">
        <v>3600</v>
      </c>
      <c r="I1502" s="5">
        <v>2249</v>
      </c>
      <c r="J1502" s="3" t="s">
        <v>11</v>
      </c>
      <c r="K1502" t="e">
        <f>MATCH(A1502,Database!$A$2:$A$948,0)</f>
        <v>#N/A</v>
      </c>
      <c r="L1502" t="e">
        <f>VLOOKUP(A1502,Database!$A$2:$I$948,4,0)</f>
        <v>#N/A</v>
      </c>
      <c r="M1502" t="e">
        <f t="shared" si="49"/>
        <v>#N/A</v>
      </c>
      <c r="N1502" t="e">
        <f>VLOOKUP(A1502,Database!$A$2:$I$948,5,0)</f>
        <v>#N/A</v>
      </c>
    </row>
    <row r="1503" spans="1:14" hidden="1" x14ac:dyDescent="0.35">
      <c r="A1503" s="3">
        <v>103404829</v>
      </c>
      <c r="B1503" s="3" t="s">
        <v>3601</v>
      </c>
      <c r="C1503" s="3" t="str">
        <f t="shared" si="48"/>
        <v>2022-07-06</v>
      </c>
      <c r="D1503" s="3" t="s">
        <v>9</v>
      </c>
      <c r="E1503" s="3" t="s">
        <v>5</v>
      </c>
      <c r="F1503" s="3" t="s">
        <v>10</v>
      </c>
      <c r="G1503" s="3" t="s">
        <v>3602</v>
      </c>
      <c r="H1503" s="3" t="s">
        <v>3603</v>
      </c>
      <c r="I1503" s="3">
        <v>969</v>
      </c>
      <c r="J1503" s="3" t="s">
        <v>11</v>
      </c>
      <c r="K1503" t="e">
        <f>MATCH(A1503,Database!$A$2:$A$948,0)</f>
        <v>#N/A</v>
      </c>
      <c r="L1503" t="e">
        <f>VLOOKUP(A1503,Database!$A$2:$I$948,4,0)</f>
        <v>#N/A</v>
      </c>
      <c r="M1503" t="e">
        <f t="shared" si="49"/>
        <v>#N/A</v>
      </c>
      <c r="N1503" t="e">
        <f>VLOOKUP(A1503,Database!$A$2:$I$948,5,0)</f>
        <v>#N/A</v>
      </c>
    </row>
    <row r="1504" spans="1:14" hidden="1" x14ac:dyDescent="0.35">
      <c r="A1504" s="3">
        <v>103404823</v>
      </c>
      <c r="B1504" s="3" t="s">
        <v>3604</v>
      </c>
      <c r="C1504" s="3" t="str">
        <f t="shared" si="48"/>
        <v>2022-07-06</v>
      </c>
      <c r="D1504" s="3" t="s">
        <v>9</v>
      </c>
      <c r="E1504" s="3" t="s">
        <v>5</v>
      </c>
      <c r="F1504" s="3" t="s">
        <v>10</v>
      </c>
      <c r="G1504" s="3" t="s">
        <v>3605</v>
      </c>
      <c r="H1504" s="3" t="s">
        <v>3606</v>
      </c>
      <c r="I1504" s="4">
        <v>2724.65</v>
      </c>
      <c r="J1504" s="3" t="s">
        <v>11</v>
      </c>
      <c r="K1504" t="e">
        <f>MATCH(A1504,Database!$A$2:$A$948,0)</f>
        <v>#N/A</v>
      </c>
      <c r="L1504" t="e">
        <f>VLOOKUP(A1504,Database!$A$2:$I$948,4,0)</f>
        <v>#N/A</v>
      </c>
      <c r="M1504" t="e">
        <f t="shared" si="49"/>
        <v>#N/A</v>
      </c>
      <c r="N1504" t="e">
        <f>VLOOKUP(A1504,Database!$A$2:$I$948,5,0)</f>
        <v>#N/A</v>
      </c>
    </row>
    <row r="1505" spans="1:14" hidden="1" x14ac:dyDescent="0.35">
      <c r="A1505" s="3">
        <v>103404754</v>
      </c>
      <c r="B1505" s="3" t="s">
        <v>3607</v>
      </c>
      <c r="C1505" s="3" t="str">
        <f t="shared" si="48"/>
        <v>2022-07-06</v>
      </c>
      <c r="D1505" s="3" t="s">
        <v>9</v>
      </c>
      <c r="E1505" s="3" t="s">
        <v>5</v>
      </c>
      <c r="F1505" s="3" t="s">
        <v>10</v>
      </c>
      <c r="G1505" s="3" t="s">
        <v>3608</v>
      </c>
      <c r="H1505" s="3" t="s">
        <v>3609</v>
      </c>
      <c r="I1505" s="3">
        <v>899</v>
      </c>
      <c r="J1505" s="3" t="s">
        <v>11</v>
      </c>
      <c r="K1505" t="e">
        <f>MATCH(A1505,Database!$A$2:$A$948,0)</f>
        <v>#N/A</v>
      </c>
      <c r="L1505" t="e">
        <f>VLOOKUP(A1505,Database!$A$2:$I$948,4,0)</f>
        <v>#N/A</v>
      </c>
      <c r="M1505" t="e">
        <f t="shared" si="49"/>
        <v>#N/A</v>
      </c>
      <c r="N1505" t="e">
        <f>VLOOKUP(A1505,Database!$A$2:$I$948,5,0)</f>
        <v>#N/A</v>
      </c>
    </row>
    <row r="1506" spans="1:14" hidden="1" x14ac:dyDescent="0.35">
      <c r="A1506" s="3">
        <v>103404817</v>
      </c>
      <c r="B1506" s="3" t="s">
        <v>3610</v>
      </c>
      <c r="C1506" s="3" t="str">
        <f t="shared" si="48"/>
        <v>2022-07-06</v>
      </c>
      <c r="D1506" s="3" t="s">
        <v>9</v>
      </c>
      <c r="E1506" s="3" t="s">
        <v>5</v>
      </c>
      <c r="F1506" s="3" t="s">
        <v>10</v>
      </c>
      <c r="G1506" s="3" t="s">
        <v>3611</v>
      </c>
      <c r="H1506" s="3" t="s">
        <v>3612</v>
      </c>
      <c r="I1506" s="4">
        <v>2374.0500000000002</v>
      </c>
      <c r="J1506" s="3" t="s">
        <v>11</v>
      </c>
      <c r="K1506" t="e">
        <f>MATCH(A1506,Database!$A$2:$A$948,0)</f>
        <v>#N/A</v>
      </c>
      <c r="L1506" t="e">
        <f>VLOOKUP(A1506,Database!$A$2:$I$948,4,0)</f>
        <v>#N/A</v>
      </c>
      <c r="M1506" t="e">
        <f t="shared" si="49"/>
        <v>#N/A</v>
      </c>
      <c r="N1506" t="e">
        <f>VLOOKUP(A1506,Database!$A$2:$I$948,5,0)</f>
        <v>#N/A</v>
      </c>
    </row>
    <row r="1507" spans="1:14" hidden="1" x14ac:dyDescent="0.35">
      <c r="A1507" s="3">
        <v>103404750</v>
      </c>
      <c r="B1507" s="3" t="s">
        <v>3613</v>
      </c>
      <c r="C1507" s="3" t="str">
        <f t="shared" si="48"/>
        <v>2022-07-06</v>
      </c>
      <c r="D1507" s="3" t="s">
        <v>9</v>
      </c>
      <c r="E1507" s="3" t="s">
        <v>5</v>
      </c>
      <c r="F1507" s="3" t="s">
        <v>12</v>
      </c>
      <c r="G1507" s="3" t="s">
        <v>3614</v>
      </c>
      <c r="H1507" s="3" t="s">
        <v>3615</v>
      </c>
      <c r="I1507" s="5">
        <v>1699</v>
      </c>
      <c r="J1507" s="3" t="s">
        <v>11</v>
      </c>
      <c r="K1507" t="e">
        <f>MATCH(A1507,Database!$A$2:$A$948,0)</f>
        <v>#N/A</v>
      </c>
      <c r="L1507" t="e">
        <f>VLOOKUP(A1507,Database!$A$2:$I$948,4,0)</f>
        <v>#N/A</v>
      </c>
      <c r="M1507" t="e">
        <f t="shared" si="49"/>
        <v>#N/A</v>
      </c>
      <c r="N1507" t="e">
        <f>VLOOKUP(A1507,Database!$A$2:$I$948,5,0)</f>
        <v>#N/A</v>
      </c>
    </row>
    <row r="1508" spans="1:14" hidden="1" x14ac:dyDescent="0.35">
      <c r="A1508" s="3">
        <v>103404749</v>
      </c>
      <c r="B1508" s="3" t="s">
        <v>3616</v>
      </c>
      <c r="C1508" s="3" t="str">
        <f t="shared" si="48"/>
        <v>2022-07-06</v>
      </c>
      <c r="D1508" s="3" t="s">
        <v>9</v>
      </c>
      <c r="E1508" s="3" t="s">
        <v>5</v>
      </c>
      <c r="F1508" s="3" t="s">
        <v>10</v>
      </c>
      <c r="G1508" s="3" t="s">
        <v>3617</v>
      </c>
      <c r="H1508" s="3" t="s">
        <v>3618</v>
      </c>
      <c r="I1508" s="4">
        <v>2165.1</v>
      </c>
      <c r="J1508" s="3" t="s">
        <v>11</v>
      </c>
      <c r="K1508" t="e">
        <f>MATCH(A1508,Database!$A$2:$A$948,0)</f>
        <v>#N/A</v>
      </c>
      <c r="L1508" t="e">
        <f>VLOOKUP(A1508,Database!$A$2:$I$948,4,0)</f>
        <v>#N/A</v>
      </c>
      <c r="M1508" t="e">
        <f t="shared" si="49"/>
        <v>#N/A</v>
      </c>
      <c r="N1508" t="e">
        <f>VLOOKUP(A1508,Database!$A$2:$I$948,5,0)</f>
        <v>#N/A</v>
      </c>
    </row>
    <row r="1509" spans="1:14" hidden="1" x14ac:dyDescent="0.35">
      <c r="A1509" s="3">
        <v>103404746</v>
      </c>
      <c r="B1509" s="3" t="s">
        <v>3619</v>
      </c>
      <c r="C1509" s="3" t="str">
        <f t="shared" si="48"/>
        <v>2022-07-06</v>
      </c>
      <c r="D1509" s="3" t="s">
        <v>9</v>
      </c>
      <c r="E1509" s="3" t="s">
        <v>5</v>
      </c>
      <c r="F1509" s="3" t="s">
        <v>10</v>
      </c>
      <c r="G1509" s="3" t="s">
        <v>3620</v>
      </c>
      <c r="H1509" s="3" t="s">
        <v>3621</v>
      </c>
      <c r="I1509" s="5">
        <v>1298</v>
      </c>
      <c r="J1509" s="3" t="s">
        <v>11</v>
      </c>
      <c r="K1509" t="e">
        <f>MATCH(A1509,Database!$A$2:$A$948,0)</f>
        <v>#N/A</v>
      </c>
      <c r="L1509" t="e">
        <f>VLOOKUP(A1509,Database!$A$2:$I$948,4,0)</f>
        <v>#N/A</v>
      </c>
      <c r="M1509" t="e">
        <f t="shared" si="49"/>
        <v>#N/A</v>
      </c>
      <c r="N1509" t="e">
        <f>VLOOKUP(A1509,Database!$A$2:$I$948,5,0)</f>
        <v>#N/A</v>
      </c>
    </row>
    <row r="1510" spans="1:14" hidden="1" x14ac:dyDescent="0.35">
      <c r="A1510" s="3">
        <v>103404741</v>
      </c>
      <c r="B1510" s="3" t="s">
        <v>3622</v>
      </c>
      <c r="C1510" s="3" t="str">
        <f t="shared" si="48"/>
        <v>2022-07-06</v>
      </c>
      <c r="D1510" s="3" t="s">
        <v>9</v>
      </c>
      <c r="E1510" s="3" t="s">
        <v>5</v>
      </c>
      <c r="F1510" s="3" t="s">
        <v>12</v>
      </c>
      <c r="G1510" s="3" t="s">
        <v>1454</v>
      </c>
      <c r="H1510" s="3" t="s">
        <v>3623</v>
      </c>
      <c r="I1510" s="3">
        <v>949.05</v>
      </c>
      <c r="J1510" s="3" t="s">
        <v>11</v>
      </c>
      <c r="K1510" t="e">
        <f>MATCH(A1510,Database!$A$2:$A$948,0)</f>
        <v>#N/A</v>
      </c>
      <c r="L1510" t="e">
        <f>VLOOKUP(A1510,Database!$A$2:$I$948,4,0)</f>
        <v>#N/A</v>
      </c>
      <c r="M1510" t="e">
        <f t="shared" si="49"/>
        <v>#N/A</v>
      </c>
      <c r="N1510" t="e">
        <f>VLOOKUP(A1510,Database!$A$2:$I$948,5,0)</f>
        <v>#N/A</v>
      </c>
    </row>
    <row r="1511" spans="1:14" hidden="1" x14ac:dyDescent="0.35">
      <c r="A1511" s="3">
        <v>103404810</v>
      </c>
      <c r="B1511" s="3" t="s">
        <v>3624</v>
      </c>
      <c r="C1511" s="3" t="str">
        <f t="shared" si="48"/>
        <v>2022-07-06</v>
      </c>
      <c r="D1511" s="3" t="s">
        <v>9</v>
      </c>
      <c r="E1511" s="3" t="s">
        <v>5</v>
      </c>
      <c r="F1511" s="3" t="s">
        <v>10</v>
      </c>
      <c r="G1511" s="3" t="s">
        <v>3625</v>
      </c>
      <c r="H1511" s="3" t="s">
        <v>3626</v>
      </c>
      <c r="I1511" s="4">
        <v>4188.6400000000003</v>
      </c>
      <c r="J1511" s="3" t="s">
        <v>11</v>
      </c>
      <c r="K1511" t="e">
        <f>MATCH(A1511,Database!$A$2:$A$948,0)</f>
        <v>#N/A</v>
      </c>
      <c r="L1511" t="e">
        <f>VLOOKUP(A1511,Database!$A$2:$I$948,4,0)</f>
        <v>#N/A</v>
      </c>
      <c r="M1511" t="e">
        <f t="shared" si="49"/>
        <v>#N/A</v>
      </c>
      <c r="N1511" t="e">
        <f>VLOOKUP(A1511,Database!$A$2:$I$948,5,0)</f>
        <v>#N/A</v>
      </c>
    </row>
    <row r="1512" spans="1:14" hidden="1" x14ac:dyDescent="0.35">
      <c r="A1512" s="3">
        <v>103404808</v>
      </c>
      <c r="B1512" s="3" t="s">
        <v>3627</v>
      </c>
      <c r="C1512" s="3" t="str">
        <f t="shared" si="48"/>
        <v>2022-07-06</v>
      </c>
      <c r="D1512" s="3" t="s">
        <v>9</v>
      </c>
      <c r="E1512" s="3" t="s">
        <v>5</v>
      </c>
      <c r="F1512" s="3" t="s">
        <v>10</v>
      </c>
      <c r="G1512" s="3" t="s">
        <v>1604</v>
      </c>
      <c r="H1512" s="3" t="s">
        <v>1605</v>
      </c>
      <c r="I1512" s="3">
        <v>554.89</v>
      </c>
      <c r="J1512" s="3" t="s">
        <v>11</v>
      </c>
      <c r="K1512" t="e">
        <f>MATCH(A1512,Database!$A$2:$A$948,0)</f>
        <v>#N/A</v>
      </c>
      <c r="L1512" t="e">
        <f>VLOOKUP(A1512,Database!$A$2:$I$948,4,0)</f>
        <v>#N/A</v>
      </c>
      <c r="M1512" t="e">
        <f t="shared" si="49"/>
        <v>#N/A</v>
      </c>
      <c r="N1512" t="e">
        <f>VLOOKUP(A1512,Database!$A$2:$I$948,5,0)</f>
        <v>#N/A</v>
      </c>
    </row>
    <row r="1513" spans="1:14" hidden="1" x14ac:dyDescent="0.35">
      <c r="A1513" s="3">
        <v>103404734</v>
      </c>
      <c r="B1513" s="3" t="s">
        <v>3628</v>
      </c>
      <c r="C1513" s="3" t="str">
        <f t="shared" si="48"/>
        <v>2022-07-06</v>
      </c>
      <c r="D1513" s="3" t="s">
        <v>9</v>
      </c>
      <c r="E1513" s="3" t="s">
        <v>5</v>
      </c>
      <c r="F1513" s="3" t="s">
        <v>12</v>
      </c>
      <c r="G1513" s="3" t="s">
        <v>3629</v>
      </c>
      <c r="H1513" s="3" t="s">
        <v>3630</v>
      </c>
      <c r="I1513" s="3">
        <v>996.55</v>
      </c>
      <c r="J1513" s="3" t="s">
        <v>11</v>
      </c>
      <c r="K1513" t="e">
        <f>MATCH(A1513,Database!$A$2:$A$948,0)</f>
        <v>#N/A</v>
      </c>
      <c r="L1513" t="e">
        <f>VLOOKUP(A1513,Database!$A$2:$I$948,4,0)</f>
        <v>#N/A</v>
      </c>
      <c r="M1513" t="e">
        <f t="shared" si="49"/>
        <v>#N/A</v>
      </c>
      <c r="N1513" t="e">
        <f>VLOOKUP(A1513,Database!$A$2:$I$948,5,0)</f>
        <v>#N/A</v>
      </c>
    </row>
    <row r="1514" spans="1:14" hidden="1" x14ac:dyDescent="0.35">
      <c r="A1514" s="3">
        <v>103404733</v>
      </c>
      <c r="B1514" s="3" t="s">
        <v>3631</v>
      </c>
      <c r="C1514" s="3" t="str">
        <f t="shared" si="48"/>
        <v>2022-07-06</v>
      </c>
      <c r="D1514" s="3" t="s">
        <v>9</v>
      </c>
      <c r="E1514" s="3" t="s">
        <v>5</v>
      </c>
      <c r="F1514" s="3" t="s">
        <v>10</v>
      </c>
      <c r="G1514" s="3" t="s">
        <v>3632</v>
      </c>
      <c r="H1514" s="3" t="s">
        <v>3633</v>
      </c>
      <c r="I1514" s="3">
        <v>989</v>
      </c>
      <c r="J1514" s="3" t="s">
        <v>11</v>
      </c>
      <c r="K1514" t="e">
        <f>MATCH(A1514,Database!$A$2:$A$948,0)</f>
        <v>#N/A</v>
      </c>
      <c r="L1514" t="e">
        <f>VLOOKUP(A1514,Database!$A$2:$I$948,4,0)</f>
        <v>#N/A</v>
      </c>
      <c r="M1514" t="e">
        <f t="shared" si="49"/>
        <v>#N/A</v>
      </c>
      <c r="N1514" t="e">
        <f>VLOOKUP(A1514,Database!$A$2:$I$948,5,0)</f>
        <v>#N/A</v>
      </c>
    </row>
    <row r="1515" spans="1:14" hidden="1" x14ac:dyDescent="0.35">
      <c r="A1515" s="3">
        <v>103404732</v>
      </c>
      <c r="B1515" s="3" t="s">
        <v>3634</v>
      </c>
      <c r="C1515" s="3" t="str">
        <f t="shared" si="48"/>
        <v>2022-07-06</v>
      </c>
      <c r="D1515" s="3" t="s">
        <v>9</v>
      </c>
      <c r="E1515" s="3" t="s">
        <v>5</v>
      </c>
      <c r="F1515" s="3" t="s">
        <v>12</v>
      </c>
      <c r="G1515" s="3" t="s">
        <v>3635</v>
      </c>
      <c r="H1515" s="3" t="s">
        <v>3636</v>
      </c>
      <c r="I1515" s="4">
        <v>2136.5500000000002</v>
      </c>
      <c r="J1515" s="3" t="s">
        <v>11</v>
      </c>
      <c r="K1515" t="e">
        <f>MATCH(A1515,Database!$A$2:$A$948,0)</f>
        <v>#N/A</v>
      </c>
      <c r="L1515" t="e">
        <f>VLOOKUP(A1515,Database!$A$2:$I$948,4,0)</f>
        <v>#N/A</v>
      </c>
      <c r="M1515" t="e">
        <f t="shared" si="49"/>
        <v>#N/A</v>
      </c>
      <c r="N1515" t="e">
        <f>VLOOKUP(A1515,Database!$A$2:$I$948,5,0)</f>
        <v>#N/A</v>
      </c>
    </row>
    <row r="1516" spans="1:14" hidden="1" x14ac:dyDescent="0.35">
      <c r="A1516" s="3">
        <v>103404730</v>
      </c>
      <c r="B1516" s="3" t="s">
        <v>3637</v>
      </c>
      <c r="C1516" s="3" t="str">
        <f t="shared" si="48"/>
        <v>2022-07-06</v>
      </c>
      <c r="D1516" s="3" t="s">
        <v>9</v>
      </c>
      <c r="E1516" s="3" t="s">
        <v>5</v>
      </c>
      <c r="F1516" s="3" t="s">
        <v>10</v>
      </c>
      <c r="G1516" s="3" t="s">
        <v>3638</v>
      </c>
      <c r="H1516" s="3" t="s">
        <v>3639</v>
      </c>
      <c r="I1516" s="4">
        <v>4559.05</v>
      </c>
      <c r="J1516" s="3" t="s">
        <v>11</v>
      </c>
      <c r="K1516" t="e">
        <f>MATCH(A1516,Database!$A$2:$A$948,0)</f>
        <v>#N/A</v>
      </c>
      <c r="L1516" t="e">
        <f>VLOOKUP(A1516,Database!$A$2:$I$948,4,0)</f>
        <v>#N/A</v>
      </c>
      <c r="M1516" t="e">
        <f t="shared" si="49"/>
        <v>#N/A</v>
      </c>
      <c r="N1516" t="e">
        <f>VLOOKUP(A1516,Database!$A$2:$I$948,5,0)</f>
        <v>#N/A</v>
      </c>
    </row>
    <row r="1517" spans="1:14" hidden="1" x14ac:dyDescent="0.35">
      <c r="A1517" s="3">
        <v>103404726</v>
      </c>
      <c r="B1517" s="3" t="s">
        <v>3640</v>
      </c>
      <c r="C1517" s="3" t="str">
        <f t="shared" si="48"/>
        <v>2022-07-06</v>
      </c>
      <c r="D1517" s="3" t="s">
        <v>9</v>
      </c>
      <c r="E1517" s="3" t="s">
        <v>5</v>
      </c>
      <c r="F1517" s="3" t="s">
        <v>10</v>
      </c>
      <c r="G1517" s="3" t="s">
        <v>3641</v>
      </c>
      <c r="H1517" s="3" t="s">
        <v>3642</v>
      </c>
      <c r="I1517" s="4">
        <v>3075.15</v>
      </c>
      <c r="J1517" s="3" t="s">
        <v>11</v>
      </c>
      <c r="K1517" t="e">
        <f>MATCH(A1517,Database!$A$2:$A$948,0)</f>
        <v>#N/A</v>
      </c>
      <c r="L1517" t="e">
        <f>VLOOKUP(A1517,Database!$A$2:$I$948,4,0)</f>
        <v>#N/A</v>
      </c>
      <c r="M1517" t="e">
        <f t="shared" si="49"/>
        <v>#N/A</v>
      </c>
      <c r="N1517" t="e">
        <f>VLOOKUP(A1517,Database!$A$2:$I$948,5,0)</f>
        <v>#N/A</v>
      </c>
    </row>
    <row r="1518" spans="1:14" hidden="1" x14ac:dyDescent="0.35">
      <c r="A1518" s="3">
        <v>103404802</v>
      </c>
      <c r="B1518" s="3" t="s">
        <v>3643</v>
      </c>
      <c r="C1518" s="3" t="str">
        <f t="shared" si="48"/>
        <v>2022-07-06</v>
      </c>
      <c r="D1518" s="3" t="s">
        <v>9</v>
      </c>
      <c r="E1518" s="3" t="s">
        <v>5</v>
      </c>
      <c r="F1518" s="3" t="s">
        <v>12</v>
      </c>
      <c r="G1518" s="3" t="s">
        <v>3644</v>
      </c>
      <c r="H1518" s="3" t="s">
        <v>3645</v>
      </c>
      <c r="I1518" s="5">
        <v>2999</v>
      </c>
      <c r="J1518" s="3" t="s">
        <v>11</v>
      </c>
      <c r="K1518" t="e">
        <f>MATCH(A1518,Database!$A$2:$A$948,0)</f>
        <v>#N/A</v>
      </c>
      <c r="L1518" t="e">
        <f>VLOOKUP(A1518,Database!$A$2:$I$948,4,0)</f>
        <v>#N/A</v>
      </c>
      <c r="M1518" t="e">
        <f t="shared" si="49"/>
        <v>#N/A</v>
      </c>
      <c r="N1518" t="e">
        <f>VLOOKUP(A1518,Database!$A$2:$I$948,5,0)</f>
        <v>#N/A</v>
      </c>
    </row>
    <row r="1519" spans="1:14" hidden="1" x14ac:dyDescent="0.35">
      <c r="A1519" s="3">
        <v>103404801</v>
      </c>
      <c r="B1519" s="3" t="s">
        <v>3646</v>
      </c>
      <c r="C1519" s="3" t="str">
        <f t="shared" si="48"/>
        <v>2022-07-06</v>
      </c>
      <c r="D1519" s="3" t="s">
        <v>9</v>
      </c>
      <c r="E1519" s="3" t="s">
        <v>5</v>
      </c>
      <c r="F1519" s="3" t="s">
        <v>12</v>
      </c>
      <c r="G1519" s="3" t="s">
        <v>3647</v>
      </c>
      <c r="H1519" s="3" t="s">
        <v>3648</v>
      </c>
      <c r="I1519" s="5">
        <v>1259</v>
      </c>
      <c r="J1519" s="3" t="s">
        <v>11</v>
      </c>
      <c r="K1519" t="e">
        <f>MATCH(A1519,Database!$A$2:$A$948,0)</f>
        <v>#N/A</v>
      </c>
      <c r="L1519" t="e">
        <f>VLOOKUP(A1519,Database!$A$2:$I$948,4,0)</f>
        <v>#N/A</v>
      </c>
      <c r="M1519" t="e">
        <f t="shared" si="49"/>
        <v>#N/A</v>
      </c>
      <c r="N1519" t="e">
        <f>VLOOKUP(A1519,Database!$A$2:$I$948,5,0)</f>
        <v>#N/A</v>
      </c>
    </row>
    <row r="1520" spans="1:14" hidden="1" x14ac:dyDescent="0.35">
      <c r="A1520" s="3">
        <v>103404718</v>
      </c>
      <c r="B1520" s="3" t="s">
        <v>3649</v>
      </c>
      <c r="C1520" s="3" t="str">
        <f t="shared" si="48"/>
        <v>2022-07-06</v>
      </c>
      <c r="D1520" s="3" t="s">
        <v>9</v>
      </c>
      <c r="E1520" s="3" t="s">
        <v>5</v>
      </c>
      <c r="F1520" s="3" t="s">
        <v>10</v>
      </c>
      <c r="G1520" s="3" t="s">
        <v>3650</v>
      </c>
      <c r="H1520" s="3" t="s">
        <v>3651</v>
      </c>
      <c r="I1520" s="4">
        <v>1851.55</v>
      </c>
      <c r="J1520" s="3" t="s">
        <v>11</v>
      </c>
      <c r="K1520" t="e">
        <f>MATCH(A1520,Database!$A$2:$A$948,0)</f>
        <v>#N/A</v>
      </c>
      <c r="L1520" t="e">
        <f>VLOOKUP(A1520,Database!$A$2:$I$948,4,0)</f>
        <v>#N/A</v>
      </c>
      <c r="M1520" t="e">
        <f t="shared" si="49"/>
        <v>#N/A</v>
      </c>
      <c r="N1520" t="e">
        <f>VLOOKUP(A1520,Database!$A$2:$I$948,5,0)</f>
        <v>#N/A</v>
      </c>
    </row>
    <row r="1521" spans="1:14" hidden="1" x14ac:dyDescent="0.35">
      <c r="A1521" s="3">
        <v>103404715</v>
      </c>
      <c r="B1521" s="3" t="s">
        <v>3652</v>
      </c>
      <c r="C1521" s="3" t="str">
        <f t="shared" si="48"/>
        <v>2022-07-05</v>
      </c>
      <c r="D1521" s="3" t="s">
        <v>9</v>
      </c>
      <c r="E1521" s="3" t="s">
        <v>5</v>
      </c>
      <c r="F1521" s="3" t="s">
        <v>10</v>
      </c>
      <c r="G1521" s="3" t="s">
        <v>3653</v>
      </c>
      <c r="H1521" s="3" t="s">
        <v>3654</v>
      </c>
      <c r="I1521" s="5">
        <v>2568</v>
      </c>
      <c r="J1521" s="3" t="s">
        <v>11</v>
      </c>
      <c r="K1521" t="e">
        <f>MATCH(A1521,Database!$A$2:$A$948,0)</f>
        <v>#N/A</v>
      </c>
      <c r="L1521" t="e">
        <f>VLOOKUP(A1521,Database!$A$2:$I$948,4,0)</f>
        <v>#N/A</v>
      </c>
      <c r="M1521" t="e">
        <f t="shared" si="49"/>
        <v>#N/A</v>
      </c>
      <c r="N1521" t="e">
        <f>VLOOKUP(A1521,Database!$A$2:$I$948,5,0)</f>
        <v>#N/A</v>
      </c>
    </row>
    <row r="1522" spans="1:14" hidden="1" x14ac:dyDescent="0.35">
      <c r="A1522" s="3">
        <v>103404784</v>
      </c>
      <c r="B1522" s="3" t="s">
        <v>3655</v>
      </c>
      <c r="C1522" s="3" t="str">
        <f t="shared" si="48"/>
        <v>2022-07-05</v>
      </c>
      <c r="D1522" s="3" t="s">
        <v>9</v>
      </c>
      <c r="E1522" s="3" t="s">
        <v>5</v>
      </c>
      <c r="F1522" s="3" t="s">
        <v>10</v>
      </c>
      <c r="G1522" s="3" t="s">
        <v>2618</v>
      </c>
      <c r="H1522" s="3" t="s">
        <v>2619</v>
      </c>
      <c r="I1522" s="4">
        <v>7599.05</v>
      </c>
      <c r="J1522" s="3" t="s">
        <v>11</v>
      </c>
      <c r="K1522" t="e">
        <f>MATCH(A1522,Database!$A$2:$A$948,0)</f>
        <v>#N/A</v>
      </c>
      <c r="L1522" t="e">
        <f>VLOOKUP(A1522,Database!$A$2:$I$948,4,0)</f>
        <v>#N/A</v>
      </c>
      <c r="M1522" t="e">
        <f t="shared" si="49"/>
        <v>#N/A</v>
      </c>
      <c r="N1522" t="e">
        <f>VLOOKUP(A1522,Database!$A$2:$I$948,5,0)</f>
        <v>#N/A</v>
      </c>
    </row>
    <row r="1523" spans="1:14" hidden="1" x14ac:dyDescent="0.35">
      <c r="A1523" s="3">
        <v>103404712</v>
      </c>
      <c r="B1523" s="3" t="s">
        <v>3656</v>
      </c>
      <c r="C1523" s="3" t="str">
        <f t="shared" si="48"/>
        <v>2022-07-05</v>
      </c>
      <c r="D1523" s="3" t="s">
        <v>9</v>
      </c>
      <c r="E1523" s="3" t="s">
        <v>5</v>
      </c>
      <c r="F1523" s="3" t="s">
        <v>10</v>
      </c>
      <c r="G1523" s="3" t="s">
        <v>3657</v>
      </c>
      <c r="H1523" s="3" t="s">
        <v>3658</v>
      </c>
      <c r="I1523" s="5">
        <v>1169</v>
      </c>
      <c r="J1523" s="3" t="s">
        <v>11</v>
      </c>
      <c r="K1523" t="e">
        <f>MATCH(A1523,Database!$A$2:$A$948,0)</f>
        <v>#N/A</v>
      </c>
      <c r="L1523" t="e">
        <f>VLOOKUP(A1523,Database!$A$2:$I$948,4,0)</f>
        <v>#N/A</v>
      </c>
      <c r="M1523" t="e">
        <f t="shared" si="49"/>
        <v>#N/A</v>
      </c>
      <c r="N1523" t="e">
        <f>VLOOKUP(A1523,Database!$A$2:$I$948,5,0)</f>
        <v>#N/A</v>
      </c>
    </row>
    <row r="1524" spans="1:14" hidden="1" x14ac:dyDescent="0.35">
      <c r="A1524" s="3">
        <v>103404711</v>
      </c>
      <c r="B1524" s="3" t="s">
        <v>3659</v>
      </c>
      <c r="C1524" s="3" t="str">
        <f t="shared" si="48"/>
        <v>2022-07-05</v>
      </c>
      <c r="D1524" s="3" t="s">
        <v>9</v>
      </c>
      <c r="E1524" s="3" t="s">
        <v>5</v>
      </c>
      <c r="F1524" s="3" t="s">
        <v>10</v>
      </c>
      <c r="G1524" s="3" t="s">
        <v>3660</v>
      </c>
      <c r="H1524" s="3" t="s">
        <v>3661</v>
      </c>
      <c r="I1524" s="4">
        <v>2469.0500000000002</v>
      </c>
      <c r="J1524" s="3" t="s">
        <v>11</v>
      </c>
      <c r="K1524" t="e">
        <f>MATCH(A1524,Database!$A$2:$A$948,0)</f>
        <v>#N/A</v>
      </c>
      <c r="L1524" t="e">
        <f>VLOOKUP(A1524,Database!$A$2:$I$948,4,0)</f>
        <v>#N/A</v>
      </c>
      <c r="M1524" t="e">
        <f t="shared" si="49"/>
        <v>#N/A</v>
      </c>
      <c r="N1524" t="e">
        <f>VLOOKUP(A1524,Database!$A$2:$I$948,5,0)</f>
        <v>#N/A</v>
      </c>
    </row>
    <row r="1525" spans="1:14" hidden="1" x14ac:dyDescent="0.35">
      <c r="A1525" s="3">
        <v>103404779</v>
      </c>
      <c r="B1525" s="3" t="s">
        <v>3662</v>
      </c>
      <c r="C1525" s="3" t="str">
        <f t="shared" si="48"/>
        <v>2022-07-05</v>
      </c>
      <c r="D1525" s="3" t="s">
        <v>9</v>
      </c>
      <c r="E1525" s="3" t="s">
        <v>5</v>
      </c>
      <c r="F1525" s="3" t="s">
        <v>10</v>
      </c>
      <c r="G1525" s="3" t="s">
        <v>3472</v>
      </c>
      <c r="H1525" s="3" t="s">
        <v>3663</v>
      </c>
      <c r="I1525" s="5">
        <v>1749</v>
      </c>
      <c r="J1525" s="3" t="s">
        <v>11</v>
      </c>
      <c r="K1525" t="e">
        <f>MATCH(A1525,Database!$A$2:$A$948,0)</f>
        <v>#N/A</v>
      </c>
      <c r="L1525" t="e">
        <f>VLOOKUP(A1525,Database!$A$2:$I$948,4,0)</f>
        <v>#N/A</v>
      </c>
      <c r="M1525" t="e">
        <f t="shared" si="49"/>
        <v>#N/A</v>
      </c>
      <c r="N1525" t="e">
        <f>VLOOKUP(A1525,Database!$A$2:$I$948,5,0)</f>
        <v>#N/A</v>
      </c>
    </row>
    <row r="1526" spans="1:14" hidden="1" x14ac:dyDescent="0.35">
      <c r="A1526" s="3">
        <v>103404708</v>
      </c>
      <c r="B1526" s="3" t="s">
        <v>3664</v>
      </c>
      <c r="C1526" s="3" t="str">
        <f t="shared" si="48"/>
        <v>2022-07-05</v>
      </c>
      <c r="D1526" s="3" t="s">
        <v>9</v>
      </c>
      <c r="E1526" s="3" t="s">
        <v>5</v>
      </c>
      <c r="F1526" s="3" t="s">
        <v>10</v>
      </c>
      <c r="G1526" s="3" t="s">
        <v>2894</v>
      </c>
      <c r="H1526" s="3" t="s">
        <v>2895</v>
      </c>
      <c r="I1526" s="5">
        <v>3518</v>
      </c>
      <c r="J1526" s="3" t="s">
        <v>11</v>
      </c>
      <c r="K1526" t="e">
        <f>MATCH(A1526,Database!$A$2:$A$948,0)</f>
        <v>#N/A</v>
      </c>
      <c r="L1526" t="e">
        <f>VLOOKUP(A1526,Database!$A$2:$I$948,4,0)</f>
        <v>#N/A</v>
      </c>
      <c r="M1526" t="e">
        <f t="shared" si="49"/>
        <v>#N/A</v>
      </c>
      <c r="N1526" t="e">
        <f>VLOOKUP(A1526,Database!$A$2:$I$948,5,0)</f>
        <v>#N/A</v>
      </c>
    </row>
    <row r="1527" spans="1:14" hidden="1" x14ac:dyDescent="0.35">
      <c r="A1527" s="3">
        <v>103404775</v>
      </c>
      <c r="B1527" s="3" t="s">
        <v>3665</v>
      </c>
      <c r="C1527" s="3" t="str">
        <f t="shared" si="48"/>
        <v>2022-07-05</v>
      </c>
      <c r="D1527" s="3" t="s">
        <v>9</v>
      </c>
      <c r="E1527" s="3" t="s">
        <v>5</v>
      </c>
      <c r="F1527" s="3" t="s">
        <v>10</v>
      </c>
      <c r="G1527" s="3" t="s">
        <v>3666</v>
      </c>
      <c r="H1527" s="3" t="s">
        <v>3667</v>
      </c>
      <c r="I1527" s="5">
        <v>3019</v>
      </c>
      <c r="J1527" s="3" t="s">
        <v>11</v>
      </c>
      <c r="K1527" t="e">
        <f>MATCH(A1527,Database!$A$2:$A$948,0)</f>
        <v>#N/A</v>
      </c>
      <c r="L1527" t="e">
        <f>VLOOKUP(A1527,Database!$A$2:$I$948,4,0)</f>
        <v>#N/A</v>
      </c>
      <c r="M1527" t="e">
        <f t="shared" si="49"/>
        <v>#N/A</v>
      </c>
      <c r="N1527" t="e">
        <f>VLOOKUP(A1527,Database!$A$2:$I$948,5,0)</f>
        <v>#N/A</v>
      </c>
    </row>
    <row r="1528" spans="1:14" hidden="1" x14ac:dyDescent="0.35">
      <c r="A1528" s="3">
        <v>103404706</v>
      </c>
      <c r="B1528" s="3" t="s">
        <v>3668</v>
      </c>
      <c r="C1528" s="3" t="str">
        <f t="shared" si="48"/>
        <v>2022-07-05</v>
      </c>
      <c r="D1528" s="3" t="s">
        <v>9</v>
      </c>
      <c r="E1528" s="3" t="s">
        <v>5</v>
      </c>
      <c r="F1528" s="3" t="s">
        <v>10</v>
      </c>
      <c r="G1528" s="3" t="s">
        <v>3669</v>
      </c>
      <c r="H1528" s="3" t="s">
        <v>3670</v>
      </c>
      <c r="I1528" s="5">
        <v>3498</v>
      </c>
      <c r="J1528" s="3" t="s">
        <v>11</v>
      </c>
      <c r="K1528" t="e">
        <f>MATCH(A1528,Database!$A$2:$A$948,0)</f>
        <v>#N/A</v>
      </c>
      <c r="L1528" t="e">
        <f>VLOOKUP(A1528,Database!$A$2:$I$948,4,0)</f>
        <v>#N/A</v>
      </c>
      <c r="M1528" t="e">
        <f t="shared" si="49"/>
        <v>#N/A</v>
      </c>
      <c r="N1528" t="e">
        <f>VLOOKUP(A1528,Database!$A$2:$I$948,5,0)</f>
        <v>#N/A</v>
      </c>
    </row>
    <row r="1529" spans="1:14" hidden="1" x14ac:dyDescent="0.35">
      <c r="A1529" s="3">
        <v>103404772</v>
      </c>
      <c r="B1529" s="3" t="s">
        <v>3671</v>
      </c>
      <c r="C1529" s="3" t="str">
        <f t="shared" si="48"/>
        <v>2022-07-05</v>
      </c>
      <c r="D1529" s="3" t="s">
        <v>9</v>
      </c>
      <c r="E1529" s="3" t="s">
        <v>5</v>
      </c>
      <c r="F1529" s="3" t="s">
        <v>10</v>
      </c>
      <c r="G1529" s="3" t="s">
        <v>3672</v>
      </c>
      <c r="H1529" s="3" t="s">
        <v>3673</v>
      </c>
      <c r="I1529" s="4">
        <v>1661.55</v>
      </c>
      <c r="J1529" s="3" t="s">
        <v>11</v>
      </c>
      <c r="K1529" t="e">
        <f>MATCH(A1529,Database!$A$2:$A$948,0)</f>
        <v>#N/A</v>
      </c>
      <c r="L1529" t="e">
        <f>VLOOKUP(A1529,Database!$A$2:$I$948,4,0)</f>
        <v>#N/A</v>
      </c>
      <c r="M1529" t="e">
        <f t="shared" si="49"/>
        <v>#N/A</v>
      </c>
      <c r="N1529" t="e">
        <f>VLOOKUP(A1529,Database!$A$2:$I$948,5,0)</f>
        <v>#N/A</v>
      </c>
    </row>
    <row r="1530" spans="1:14" hidden="1" x14ac:dyDescent="0.35">
      <c r="A1530" s="3">
        <v>103404704</v>
      </c>
      <c r="B1530" s="3" t="s">
        <v>3674</v>
      </c>
      <c r="C1530" s="3" t="str">
        <f t="shared" si="48"/>
        <v>2022-07-05</v>
      </c>
      <c r="D1530" s="3" t="s">
        <v>9</v>
      </c>
      <c r="E1530" s="3" t="s">
        <v>5</v>
      </c>
      <c r="F1530" s="3" t="s">
        <v>10</v>
      </c>
      <c r="G1530" s="3" t="s">
        <v>3675</v>
      </c>
      <c r="H1530" s="3" t="s">
        <v>3676</v>
      </c>
      <c r="I1530" s="5">
        <v>3599</v>
      </c>
      <c r="J1530" s="3" t="s">
        <v>11</v>
      </c>
      <c r="K1530" t="e">
        <f>MATCH(A1530,Database!$A$2:$A$948,0)</f>
        <v>#N/A</v>
      </c>
      <c r="L1530" t="e">
        <f>VLOOKUP(A1530,Database!$A$2:$I$948,4,0)</f>
        <v>#N/A</v>
      </c>
      <c r="M1530" t="e">
        <f t="shared" si="49"/>
        <v>#N/A</v>
      </c>
      <c r="N1530" t="e">
        <f>VLOOKUP(A1530,Database!$A$2:$I$948,5,0)</f>
        <v>#N/A</v>
      </c>
    </row>
    <row r="1531" spans="1:14" hidden="1" x14ac:dyDescent="0.35">
      <c r="A1531" s="3">
        <v>103404662</v>
      </c>
      <c r="B1531" s="3" t="s">
        <v>3677</v>
      </c>
      <c r="C1531" s="3" t="str">
        <f t="shared" si="48"/>
        <v>2022-07-05</v>
      </c>
      <c r="D1531" s="3" t="s">
        <v>9</v>
      </c>
      <c r="E1531" s="3" t="s">
        <v>5</v>
      </c>
      <c r="F1531" s="3" t="s">
        <v>12</v>
      </c>
      <c r="G1531" s="3" t="s">
        <v>3678</v>
      </c>
      <c r="H1531" s="3" t="s">
        <v>3679</v>
      </c>
      <c r="I1531" s="4">
        <v>1462.05</v>
      </c>
      <c r="J1531" s="3" t="s">
        <v>11</v>
      </c>
      <c r="K1531" t="e">
        <f>MATCH(A1531,Database!$A$2:$A$948,0)</f>
        <v>#N/A</v>
      </c>
      <c r="L1531" t="e">
        <f>VLOOKUP(A1531,Database!$A$2:$I$948,4,0)</f>
        <v>#N/A</v>
      </c>
      <c r="M1531" t="e">
        <f t="shared" si="49"/>
        <v>#N/A</v>
      </c>
      <c r="N1531" t="e">
        <f>VLOOKUP(A1531,Database!$A$2:$I$948,5,0)</f>
        <v>#N/A</v>
      </c>
    </row>
    <row r="1532" spans="1:14" hidden="1" x14ac:dyDescent="0.35">
      <c r="A1532" s="3">
        <v>103404701</v>
      </c>
      <c r="B1532" s="3" t="s">
        <v>3680</v>
      </c>
      <c r="C1532" s="3" t="str">
        <f t="shared" si="48"/>
        <v>2022-07-05</v>
      </c>
      <c r="D1532" s="3" t="s">
        <v>9</v>
      </c>
      <c r="E1532" s="3" t="s">
        <v>5</v>
      </c>
      <c r="F1532" s="3" t="s">
        <v>10</v>
      </c>
      <c r="G1532" s="3" t="s">
        <v>3681</v>
      </c>
      <c r="H1532" s="3" t="s">
        <v>3682</v>
      </c>
      <c r="I1532" s="4">
        <v>1758.97</v>
      </c>
      <c r="J1532" s="3" t="s">
        <v>11</v>
      </c>
      <c r="K1532" t="e">
        <f>MATCH(A1532,Database!$A$2:$A$948,0)</f>
        <v>#N/A</v>
      </c>
      <c r="L1532" t="e">
        <f>VLOOKUP(A1532,Database!$A$2:$I$948,4,0)</f>
        <v>#N/A</v>
      </c>
      <c r="M1532" t="e">
        <f t="shared" si="49"/>
        <v>#N/A</v>
      </c>
      <c r="N1532" t="e">
        <f>VLOOKUP(A1532,Database!$A$2:$I$948,5,0)</f>
        <v>#N/A</v>
      </c>
    </row>
    <row r="1533" spans="1:14" hidden="1" x14ac:dyDescent="0.35">
      <c r="A1533" s="3">
        <v>103404700</v>
      </c>
      <c r="B1533" s="3" t="s">
        <v>3683</v>
      </c>
      <c r="C1533" s="3" t="str">
        <f t="shared" si="48"/>
        <v>2022-07-05</v>
      </c>
      <c r="D1533" s="3" t="s">
        <v>9</v>
      </c>
      <c r="E1533" s="3" t="s">
        <v>5</v>
      </c>
      <c r="F1533" s="3" t="s">
        <v>10</v>
      </c>
      <c r="G1533" s="3" t="s">
        <v>3684</v>
      </c>
      <c r="H1533" s="3" t="s">
        <v>3685</v>
      </c>
      <c r="I1533" s="3">
        <v>569.04999999999995</v>
      </c>
      <c r="J1533" s="3" t="s">
        <v>11</v>
      </c>
      <c r="K1533" t="e">
        <f>MATCH(A1533,Database!$A$2:$A$948,0)</f>
        <v>#N/A</v>
      </c>
      <c r="L1533" t="e">
        <f>VLOOKUP(A1533,Database!$A$2:$I$948,4,0)</f>
        <v>#N/A</v>
      </c>
      <c r="M1533" t="e">
        <f t="shared" si="49"/>
        <v>#N/A</v>
      </c>
      <c r="N1533" t="e">
        <f>VLOOKUP(A1533,Database!$A$2:$I$948,5,0)</f>
        <v>#N/A</v>
      </c>
    </row>
    <row r="1534" spans="1:14" hidden="1" x14ac:dyDescent="0.35">
      <c r="A1534" s="3">
        <v>103404659</v>
      </c>
      <c r="B1534" s="3" t="s">
        <v>3686</v>
      </c>
      <c r="C1534" s="3" t="str">
        <f t="shared" si="48"/>
        <v>2022-07-05</v>
      </c>
      <c r="D1534" s="3" t="s">
        <v>9</v>
      </c>
      <c r="E1534" s="3" t="s">
        <v>5</v>
      </c>
      <c r="F1534" s="3" t="s">
        <v>10</v>
      </c>
      <c r="G1534" s="3" t="s">
        <v>3687</v>
      </c>
      <c r="H1534" s="3" t="s">
        <v>3688</v>
      </c>
      <c r="I1534" s="4">
        <v>1889.1</v>
      </c>
      <c r="J1534" s="3" t="s">
        <v>11</v>
      </c>
      <c r="K1534" t="e">
        <f>MATCH(A1534,Database!$A$2:$A$948,0)</f>
        <v>#N/A</v>
      </c>
      <c r="L1534" t="e">
        <f>VLOOKUP(A1534,Database!$A$2:$I$948,4,0)</f>
        <v>#N/A</v>
      </c>
      <c r="M1534" t="e">
        <f t="shared" si="49"/>
        <v>#N/A</v>
      </c>
      <c r="N1534" t="e">
        <f>VLOOKUP(A1534,Database!$A$2:$I$948,5,0)</f>
        <v>#N/A</v>
      </c>
    </row>
    <row r="1535" spans="1:14" hidden="1" x14ac:dyDescent="0.35">
      <c r="A1535" s="3">
        <v>103404696</v>
      </c>
      <c r="B1535" s="3" t="s">
        <v>3689</v>
      </c>
      <c r="C1535" s="3" t="str">
        <f t="shared" si="48"/>
        <v>2022-07-05</v>
      </c>
      <c r="D1535" s="3" t="s">
        <v>9</v>
      </c>
      <c r="E1535" s="3" t="s">
        <v>5</v>
      </c>
      <c r="F1535" s="3" t="s">
        <v>12</v>
      </c>
      <c r="G1535" s="3" t="s">
        <v>3690</v>
      </c>
      <c r="H1535" s="3" t="s">
        <v>3691</v>
      </c>
      <c r="I1535" s="5">
        <v>1388</v>
      </c>
      <c r="J1535" s="3" t="s">
        <v>11</v>
      </c>
      <c r="K1535" t="e">
        <f>MATCH(A1535,Database!$A$2:$A$948,0)</f>
        <v>#N/A</v>
      </c>
      <c r="L1535" t="e">
        <f>VLOOKUP(A1535,Database!$A$2:$I$948,4,0)</f>
        <v>#N/A</v>
      </c>
      <c r="M1535" t="e">
        <f t="shared" si="49"/>
        <v>#N/A</v>
      </c>
      <c r="N1535" t="e">
        <f>VLOOKUP(A1535,Database!$A$2:$I$948,5,0)</f>
        <v>#N/A</v>
      </c>
    </row>
    <row r="1536" spans="1:14" hidden="1" x14ac:dyDescent="0.35">
      <c r="A1536" s="3">
        <v>103404695</v>
      </c>
      <c r="B1536" s="3" t="s">
        <v>3692</v>
      </c>
      <c r="C1536" s="3" t="str">
        <f t="shared" si="48"/>
        <v>2022-07-05</v>
      </c>
      <c r="D1536" s="3" t="s">
        <v>9</v>
      </c>
      <c r="E1536" s="3" t="s">
        <v>5</v>
      </c>
      <c r="F1536" s="3" t="s">
        <v>10</v>
      </c>
      <c r="G1536" s="3" t="s">
        <v>3693</v>
      </c>
      <c r="H1536" s="3" t="s">
        <v>3694</v>
      </c>
      <c r="I1536" s="3">
        <v>369.55</v>
      </c>
      <c r="J1536" s="3" t="s">
        <v>11</v>
      </c>
      <c r="K1536" t="e">
        <f>MATCH(A1536,Database!$A$2:$A$948,0)</f>
        <v>#N/A</v>
      </c>
      <c r="L1536" t="e">
        <f>VLOOKUP(A1536,Database!$A$2:$I$948,4,0)</f>
        <v>#N/A</v>
      </c>
      <c r="M1536" t="e">
        <f t="shared" si="49"/>
        <v>#N/A</v>
      </c>
      <c r="N1536" t="e">
        <f>VLOOKUP(A1536,Database!$A$2:$I$948,5,0)</f>
        <v>#N/A</v>
      </c>
    </row>
    <row r="1537" spans="1:14" hidden="1" x14ac:dyDescent="0.35">
      <c r="A1537" s="3">
        <v>103404655</v>
      </c>
      <c r="B1537" s="3" t="s">
        <v>3695</v>
      </c>
      <c r="C1537" s="3" t="str">
        <f t="shared" si="48"/>
        <v>2022-07-05</v>
      </c>
      <c r="D1537" s="3" t="s">
        <v>9</v>
      </c>
      <c r="E1537" s="3" t="s">
        <v>5</v>
      </c>
      <c r="F1537" s="3" t="s">
        <v>10</v>
      </c>
      <c r="G1537" s="3" t="s">
        <v>3696</v>
      </c>
      <c r="H1537" s="3" t="s">
        <v>3697</v>
      </c>
      <c r="I1537" s="5">
        <v>4549</v>
      </c>
      <c r="J1537" s="3" t="s">
        <v>11</v>
      </c>
      <c r="K1537" t="e">
        <f>MATCH(A1537,Database!$A$2:$A$948,0)</f>
        <v>#N/A</v>
      </c>
      <c r="L1537" t="e">
        <f>VLOOKUP(A1537,Database!$A$2:$I$948,4,0)</f>
        <v>#N/A</v>
      </c>
      <c r="M1537" t="e">
        <f t="shared" si="49"/>
        <v>#N/A</v>
      </c>
      <c r="N1537" t="e">
        <f>VLOOKUP(A1537,Database!$A$2:$I$948,5,0)</f>
        <v>#N/A</v>
      </c>
    </row>
    <row r="1538" spans="1:14" hidden="1" x14ac:dyDescent="0.35">
      <c r="A1538" s="3">
        <v>103404652</v>
      </c>
      <c r="B1538" s="3" t="s">
        <v>3698</v>
      </c>
      <c r="C1538" s="3" t="str">
        <f t="shared" si="48"/>
        <v>2022-07-05</v>
      </c>
      <c r="D1538" s="3" t="s">
        <v>9</v>
      </c>
      <c r="E1538" s="3" t="s">
        <v>5</v>
      </c>
      <c r="F1538" s="3" t="s">
        <v>10</v>
      </c>
      <c r="G1538" s="3" t="s">
        <v>2269</v>
      </c>
      <c r="H1538" s="3" t="s">
        <v>2270</v>
      </c>
      <c r="I1538" s="5">
        <v>3899</v>
      </c>
      <c r="J1538" s="3" t="s">
        <v>11</v>
      </c>
      <c r="K1538" t="e">
        <f>MATCH(A1538,Database!$A$2:$A$948,0)</f>
        <v>#N/A</v>
      </c>
      <c r="L1538" t="e">
        <f>VLOOKUP(A1538,Database!$A$2:$I$948,4,0)</f>
        <v>#N/A</v>
      </c>
      <c r="M1538" t="e">
        <f t="shared" si="49"/>
        <v>#N/A</v>
      </c>
      <c r="N1538" t="e">
        <f>VLOOKUP(A1538,Database!$A$2:$I$948,5,0)</f>
        <v>#N/A</v>
      </c>
    </row>
    <row r="1539" spans="1:14" hidden="1" x14ac:dyDescent="0.35">
      <c r="A1539" s="3">
        <v>103404651</v>
      </c>
      <c r="B1539" s="3" t="s">
        <v>3699</v>
      </c>
      <c r="C1539" s="3" t="str">
        <f t="shared" ref="C1539:C1602" si="50">LEFT(B1539,FIND("T",B1539)-1)</f>
        <v>2022-07-05</v>
      </c>
      <c r="D1539" s="3" t="s">
        <v>9</v>
      </c>
      <c r="E1539" s="3" t="s">
        <v>5</v>
      </c>
      <c r="F1539" s="3" t="s">
        <v>10</v>
      </c>
      <c r="G1539" s="3" t="s">
        <v>3700</v>
      </c>
      <c r="H1539" s="3" t="s">
        <v>3701</v>
      </c>
      <c r="I1539" s="5">
        <v>2469</v>
      </c>
      <c r="J1539" s="3" t="s">
        <v>11</v>
      </c>
      <c r="K1539" t="e">
        <f>MATCH(A1539,Database!$A$2:$A$948,0)</f>
        <v>#N/A</v>
      </c>
      <c r="L1539" t="e">
        <f>VLOOKUP(A1539,Database!$A$2:$I$948,4,0)</f>
        <v>#N/A</v>
      </c>
      <c r="M1539" t="e">
        <f t="shared" si="49"/>
        <v>#N/A</v>
      </c>
      <c r="N1539" t="e">
        <f>VLOOKUP(A1539,Database!$A$2:$I$948,5,0)</f>
        <v>#N/A</v>
      </c>
    </row>
    <row r="1540" spans="1:14" hidden="1" x14ac:dyDescent="0.35">
      <c r="A1540" s="3">
        <v>103404684</v>
      </c>
      <c r="B1540" s="3" t="s">
        <v>3702</v>
      </c>
      <c r="C1540" s="3" t="str">
        <f t="shared" si="50"/>
        <v>2022-07-05</v>
      </c>
      <c r="D1540" s="3" t="s">
        <v>9</v>
      </c>
      <c r="E1540" s="3" t="s">
        <v>5</v>
      </c>
      <c r="F1540" s="3" t="s">
        <v>10</v>
      </c>
      <c r="G1540" s="3" t="s">
        <v>3703</v>
      </c>
      <c r="H1540" s="3" t="s">
        <v>3704</v>
      </c>
      <c r="I1540" s="3">
        <v>389</v>
      </c>
      <c r="J1540" s="3" t="s">
        <v>11</v>
      </c>
      <c r="K1540" t="e">
        <f>MATCH(A1540,Database!$A$2:$A$948,0)</f>
        <v>#N/A</v>
      </c>
      <c r="L1540" t="e">
        <f>VLOOKUP(A1540,Database!$A$2:$I$948,4,0)</f>
        <v>#N/A</v>
      </c>
      <c r="M1540" t="e">
        <f t="shared" si="49"/>
        <v>#N/A</v>
      </c>
      <c r="N1540" t="e">
        <f>VLOOKUP(A1540,Database!$A$2:$I$948,5,0)</f>
        <v>#N/A</v>
      </c>
    </row>
    <row r="1541" spans="1:14" hidden="1" x14ac:dyDescent="0.35">
      <c r="A1541" s="3">
        <v>103404679</v>
      </c>
      <c r="B1541" s="3" t="s">
        <v>3705</v>
      </c>
      <c r="C1541" s="3" t="str">
        <f t="shared" si="50"/>
        <v>2022-07-05</v>
      </c>
      <c r="D1541" s="3" t="s">
        <v>9</v>
      </c>
      <c r="E1541" s="3" t="s">
        <v>5</v>
      </c>
      <c r="F1541" s="3" t="s">
        <v>10</v>
      </c>
      <c r="G1541" s="3" t="s">
        <v>3706</v>
      </c>
      <c r="H1541" s="3" t="s">
        <v>3707</v>
      </c>
      <c r="I1541" s="5">
        <v>2599</v>
      </c>
      <c r="J1541" s="3" t="s">
        <v>11</v>
      </c>
      <c r="K1541" t="e">
        <f>MATCH(A1541,Database!$A$2:$A$948,0)</f>
        <v>#N/A</v>
      </c>
      <c r="L1541" t="e">
        <f>VLOOKUP(A1541,Database!$A$2:$I$948,4,0)</f>
        <v>#N/A</v>
      </c>
      <c r="M1541" t="e">
        <f t="shared" si="49"/>
        <v>#N/A</v>
      </c>
      <c r="N1541" t="e">
        <f>VLOOKUP(A1541,Database!$A$2:$I$948,5,0)</f>
        <v>#N/A</v>
      </c>
    </row>
    <row r="1542" spans="1:14" hidden="1" x14ac:dyDescent="0.35">
      <c r="A1542" s="3">
        <v>103404678</v>
      </c>
      <c r="B1542" s="3" t="s">
        <v>3708</v>
      </c>
      <c r="C1542" s="3" t="str">
        <f t="shared" si="50"/>
        <v>2022-07-05</v>
      </c>
      <c r="D1542" s="3" t="s">
        <v>9</v>
      </c>
      <c r="E1542" s="3" t="s">
        <v>5</v>
      </c>
      <c r="F1542" s="3" t="s">
        <v>10</v>
      </c>
      <c r="G1542" s="3" t="s">
        <v>3709</v>
      </c>
      <c r="H1542" s="3" t="s">
        <v>3710</v>
      </c>
      <c r="I1542" s="5">
        <v>3668</v>
      </c>
      <c r="J1542" s="3" t="s">
        <v>11</v>
      </c>
      <c r="K1542" t="e">
        <f>MATCH(A1542,Database!$A$2:$A$948,0)</f>
        <v>#N/A</v>
      </c>
      <c r="L1542" t="e">
        <f>VLOOKUP(A1542,Database!$A$2:$I$948,4,0)</f>
        <v>#N/A</v>
      </c>
      <c r="M1542" t="e">
        <f t="shared" si="49"/>
        <v>#N/A</v>
      </c>
      <c r="N1542" t="e">
        <f>VLOOKUP(A1542,Database!$A$2:$I$948,5,0)</f>
        <v>#N/A</v>
      </c>
    </row>
    <row r="1543" spans="1:14" hidden="1" x14ac:dyDescent="0.35">
      <c r="A1543" s="3">
        <v>103404676</v>
      </c>
      <c r="B1543" s="3" t="s">
        <v>3711</v>
      </c>
      <c r="C1543" s="3" t="str">
        <f t="shared" si="50"/>
        <v>2022-07-05</v>
      </c>
      <c r="D1543" s="3" t="s">
        <v>9</v>
      </c>
      <c r="E1543" s="3" t="s">
        <v>5</v>
      </c>
      <c r="F1543" s="3" t="s">
        <v>10</v>
      </c>
      <c r="G1543" s="3" t="s">
        <v>3712</v>
      </c>
      <c r="H1543" s="3" t="s">
        <v>3713</v>
      </c>
      <c r="I1543" s="3">
        <v>439</v>
      </c>
      <c r="J1543" s="3" t="s">
        <v>11</v>
      </c>
      <c r="K1543" t="e">
        <f>MATCH(A1543,Database!$A$2:$A$948,0)</f>
        <v>#N/A</v>
      </c>
      <c r="L1543" t="e">
        <f>VLOOKUP(A1543,Database!$A$2:$I$948,4,0)</f>
        <v>#N/A</v>
      </c>
      <c r="M1543" t="e">
        <f t="shared" si="49"/>
        <v>#N/A</v>
      </c>
      <c r="N1543" t="e">
        <f>VLOOKUP(A1543,Database!$A$2:$I$948,5,0)</f>
        <v>#N/A</v>
      </c>
    </row>
    <row r="1544" spans="1:14" hidden="1" x14ac:dyDescent="0.35">
      <c r="A1544" s="3">
        <v>103404674</v>
      </c>
      <c r="B1544" s="3" t="s">
        <v>3714</v>
      </c>
      <c r="C1544" s="3" t="str">
        <f t="shared" si="50"/>
        <v>2022-07-05</v>
      </c>
      <c r="D1544" s="3" t="s">
        <v>9</v>
      </c>
      <c r="E1544" s="3" t="s">
        <v>5</v>
      </c>
      <c r="F1544" s="3" t="s">
        <v>10</v>
      </c>
      <c r="G1544" s="3" t="s">
        <v>3715</v>
      </c>
      <c r="H1544" s="3" t="s">
        <v>3716</v>
      </c>
      <c r="I1544" s="4">
        <v>6553.1</v>
      </c>
      <c r="J1544" s="3" t="s">
        <v>11</v>
      </c>
      <c r="K1544" t="e">
        <f>MATCH(A1544,Database!$A$2:$A$948,0)</f>
        <v>#N/A</v>
      </c>
      <c r="L1544" t="e">
        <f>VLOOKUP(A1544,Database!$A$2:$I$948,4,0)</f>
        <v>#N/A</v>
      </c>
      <c r="M1544" t="e">
        <f t="shared" si="49"/>
        <v>#N/A</v>
      </c>
      <c r="N1544" t="e">
        <f>VLOOKUP(A1544,Database!$A$2:$I$948,5,0)</f>
        <v>#N/A</v>
      </c>
    </row>
    <row r="1545" spans="1:14" hidden="1" x14ac:dyDescent="0.35">
      <c r="A1545" s="3">
        <v>103404633</v>
      </c>
      <c r="B1545" s="3" t="s">
        <v>3717</v>
      </c>
      <c r="C1545" s="3" t="str">
        <f t="shared" si="50"/>
        <v>2022-07-05</v>
      </c>
      <c r="D1545" s="3" t="s">
        <v>9</v>
      </c>
      <c r="E1545" s="3" t="s">
        <v>5</v>
      </c>
      <c r="F1545" s="3" t="s">
        <v>10</v>
      </c>
      <c r="G1545" s="3" t="s">
        <v>3718</v>
      </c>
      <c r="H1545" s="3" t="s">
        <v>3719</v>
      </c>
      <c r="I1545" s="4">
        <v>3365.25</v>
      </c>
      <c r="J1545" s="3" t="s">
        <v>11</v>
      </c>
      <c r="K1545" t="e">
        <f>MATCH(A1545,Database!$A$2:$A$948,0)</f>
        <v>#N/A</v>
      </c>
      <c r="L1545" t="e">
        <f>VLOOKUP(A1545,Database!$A$2:$I$948,4,0)</f>
        <v>#N/A</v>
      </c>
      <c r="M1545" t="e">
        <f t="shared" si="49"/>
        <v>#N/A</v>
      </c>
      <c r="N1545" t="e">
        <f>VLOOKUP(A1545,Database!$A$2:$I$948,5,0)</f>
        <v>#N/A</v>
      </c>
    </row>
    <row r="1546" spans="1:14" hidden="1" x14ac:dyDescent="0.35">
      <c r="A1546" s="3">
        <v>103404670</v>
      </c>
      <c r="B1546" s="3" t="s">
        <v>3720</v>
      </c>
      <c r="C1546" s="3" t="str">
        <f t="shared" si="50"/>
        <v>2022-07-05</v>
      </c>
      <c r="D1546" s="3" t="s">
        <v>9</v>
      </c>
      <c r="E1546" s="3" t="s">
        <v>5</v>
      </c>
      <c r="F1546" s="3" t="s">
        <v>10</v>
      </c>
      <c r="G1546" s="3" t="s">
        <v>3721</v>
      </c>
      <c r="H1546" s="3" t="s">
        <v>3722</v>
      </c>
      <c r="I1546" s="3">
        <v>440.1</v>
      </c>
      <c r="J1546" s="3" t="s">
        <v>11</v>
      </c>
      <c r="K1546" t="e">
        <f>MATCH(A1546,Database!$A$2:$A$948,0)</f>
        <v>#N/A</v>
      </c>
      <c r="L1546" t="e">
        <f>VLOOKUP(A1546,Database!$A$2:$I$948,4,0)</f>
        <v>#N/A</v>
      </c>
      <c r="M1546" t="e">
        <f t="shared" si="49"/>
        <v>#N/A</v>
      </c>
      <c r="N1546" t="e">
        <f>VLOOKUP(A1546,Database!$A$2:$I$948,5,0)</f>
        <v>#N/A</v>
      </c>
    </row>
    <row r="1547" spans="1:14" hidden="1" x14ac:dyDescent="0.35">
      <c r="A1547" s="3">
        <v>103404669</v>
      </c>
      <c r="B1547" s="3" t="s">
        <v>3723</v>
      </c>
      <c r="C1547" s="3" t="str">
        <f t="shared" si="50"/>
        <v>2022-07-05</v>
      </c>
      <c r="D1547" s="3" t="s">
        <v>9</v>
      </c>
      <c r="E1547" s="3" t="s">
        <v>5</v>
      </c>
      <c r="F1547" s="3" t="s">
        <v>10</v>
      </c>
      <c r="G1547" s="3" t="s">
        <v>3724</v>
      </c>
      <c r="H1547" s="3" t="s">
        <v>3725</v>
      </c>
      <c r="I1547" s="4">
        <v>1082.0999999999999</v>
      </c>
      <c r="J1547" s="3" t="s">
        <v>11</v>
      </c>
      <c r="K1547" t="e">
        <f>MATCH(A1547,Database!$A$2:$A$948,0)</f>
        <v>#N/A</v>
      </c>
      <c r="L1547" t="e">
        <f>VLOOKUP(A1547,Database!$A$2:$I$948,4,0)</f>
        <v>#N/A</v>
      </c>
      <c r="M1547" t="e">
        <f t="shared" si="49"/>
        <v>#N/A</v>
      </c>
      <c r="N1547" t="e">
        <f>VLOOKUP(A1547,Database!$A$2:$I$948,5,0)</f>
        <v>#N/A</v>
      </c>
    </row>
    <row r="1548" spans="1:14" hidden="1" x14ac:dyDescent="0.35">
      <c r="A1548" s="3">
        <v>103404668</v>
      </c>
      <c r="B1548" s="3" t="s">
        <v>3726</v>
      </c>
      <c r="C1548" s="3" t="str">
        <f t="shared" si="50"/>
        <v>2022-07-05</v>
      </c>
      <c r="D1548" s="3" t="s">
        <v>9</v>
      </c>
      <c r="E1548" s="3" t="s">
        <v>5</v>
      </c>
      <c r="F1548" s="3" t="s">
        <v>10</v>
      </c>
      <c r="G1548" s="3" t="s">
        <v>3727</v>
      </c>
      <c r="H1548" s="3" t="s">
        <v>3728</v>
      </c>
      <c r="I1548" s="4">
        <v>5031.2</v>
      </c>
      <c r="J1548" s="3" t="s">
        <v>11</v>
      </c>
      <c r="K1548" t="e">
        <f>MATCH(A1548,Database!$A$2:$A$948,0)</f>
        <v>#N/A</v>
      </c>
      <c r="L1548" t="e">
        <f>VLOOKUP(A1548,Database!$A$2:$I$948,4,0)</f>
        <v>#N/A</v>
      </c>
      <c r="M1548" t="e">
        <f t="shared" ref="M1548:M1611" si="51">I1548=L1548</f>
        <v>#N/A</v>
      </c>
      <c r="N1548" t="e">
        <f>VLOOKUP(A1548,Database!$A$2:$I$948,5,0)</f>
        <v>#N/A</v>
      </c>
    </row>
    <row r="1549" spans="1:14" hidden="1" x14ac:dyDescent="0.35">
      <c r="A1549" s="3">
        <v>103404632</v>
      </c>
      <c r="B1549" s="3" t="s">
        <v>3729</v>
      </c>
      <c r="C1549" s="3" t="str">
        <f t="shared" si="50"/>
        <v>2022-07-05</v>
      </c>
      <c r="D1549" s="3" t="s">
        <v>9</v>
      </c>
      <c r="E1549" s="3" t="s">
        <v>5</v>
      </c>
      <c r="F1549" s="3" t="s">
        <v>12</v>
      </c>
      <c r="G1549" s="3" t="s">
        <v>3730</v>
      </c>
      <c r="H1549" s="3" t="s">
        <v>3731</v>
      </c>
      <c r="I1549" s="5">
        <v>2698</v>
      </c>
      <c r="J1549" s="3" t="s">
        <v>11</v>
      </c>
      <c r="K1549" t="e">
        <f>MATCH(A1549,Database!$A$2:$A$948,0)</f>
        <v>#N/A</v>
      </c>
      <c r="L1549" t="e">
        <f>VLOOKUP(A1549,Database!$A$2:$I$948,4,0)</f>
        <v>#N/A</v>
      </c>
      <c r="M1549" t="e">
        <f t="shared" si="51"/>
        <v>#N/A</v>
      </c>
      <c r="N1549" t="e">
        <f>VLOOKUP(A1549,Database!$A$2:$I$948,5,0)</f>
        <v>#N/A</v>
      </c>
    </row>
    <row r="1550" spans="1:14" hidden="1" x14ac:dyDescent="0.35">
      <c r="A1550" s="3">
        <v>103404564</v>
      </c>
      <c r="B1550" s="3" t="s">
        <v>3732</v>
      </c>
      <c r="C1550" s="3" t="str">
        <f t="shared" si="50"/>
        <v>2022-07-05</v>
      </c>
      <c r="D1550" s="3" t="s">
        <v>9</v>
      </c>
      <c r="E1550" s="3" t="s">
        <v>5</v>
      </c>
      <c r="F1550" s="3" t="s">
        <v>10</v>
      </c>
      <c r="G1550" s="3" t="s">
        <v>3721</v>
      </c>
      <c r="H1550" s="3" t="s">
        <v>3722</v>
      </c>
      <c r="I1550" s="3">
        <v>440.1</v>
      </c>
      <c r="J1550" s="3" t="s">
        <v>11</v>
      </c>
      <c r="K1550" t="e">
        <f>MATCH(A1550,Database!$A$2:$A$948,0)</f>
        <v>#N/A</v>
      </c>
      <c r="L1550" t="e">
        <f>VLOOKUP(A1550,Database!$A$2:$I$948,4,0)</f>
        <v>#N/A</v>
      </c>
      <c r="M1550" t="e">
        <f t="shared" si="51"/>
        <v>#N/A</v>
      </c>
      <c r="N1550" t="e">
        <f>VLOOKUP(A1550,Database!$A$2:$I$948,5,0)</f>
        <v>#N/A</v>
      </c>
    </row>
    <row r="1551" spans="1:14" hidden="1" x14ac:dyDescent="0.35">
      <c r="A1551" s="3">
        <v>103404630</v>
      </c>
      <c r="B1551" s="3" t="s">
        <v>3733</v>
      </c>
      <c r="C1551" s="3" t="str">
        <f t="shared" si="50"/>
        <v>2022-07-05</v>
      </c>
      <c r="D1551" s="3" t="s">
        <v>9</v>
      </c>
      <c r="E1551" s="3" t="s">
        <v>5</v>
      </c>
      <c r="F1551" s="3" t="s">
        <v>10</v>
      </c>
      <c r="G1551" s="3" t="s">
        <v>3734</v>
      </c>
      <c r="H1551" s="3" t="s">
        <v>3735</v>
      </c>
      <c r="I1551" s="5">
        <v>2988</v>
      </c>
      <c r="J1551" s="3" t="s">
        <v>11</v>
      </c>
      <c r="K1551" t="e">
        <f>MATCH(A1551,Database!$A$2:$A$948,0)</f>
        <v>#N/A</v>
      </c>
      <c r="L1551" t="e">
        <f>VLOOKUP(A1551,Database!$A$2:$I$948,4,0)</f>
        <v>#N/A</v>
      </c>
      <c r="M1551" t="e">
        <f t="shared" si="51"/>
        <v>#N/A</v>
      </c>
      <c r="N1551" t="e">
        <f>VLOOKUP(A1551,Database!$A$2:$I$948,5,0)</f>
        <v>#N/A</v>
      </c>
    </row>
    <row r="1552" spans="1:14" hidden="1" x14ac:dyDescent="0.35">
      <c r="A1552" s="3">
        <v>103404625</v>
      </c>
      <c r="B1552" s="3" t="s">
        <v>3736</v>
      </c>
      <c r="C1552" s="3" t="str">
        <f t="shared" si="50"/>
        <v>2022-07-05</v>
      </c>
      <c r="D1552" s="3" t="s">
        <v>9</v>
      </c>
      <c r="E1552" s="3" t="s">
        <v>5</v>
      </c>
      <c r="F1552" s="3" t="s">
        <v>10</v>
      </c>
      <c r="G1552" s="3" t="s">
        <v>3737</v>
      </c>
      <c r="H1552" s="3" t="s">
        <v>3738</v>
      </c>
      <c r="I1552" s="4">
        <v>1775.55</v>
      </c>
      <c r="J1552" s="3" t="s">
        <v>11</v>
      </c>
      <c r="K1552" t="e">
        <f>MATCH(A1552,Database!$A$2:$A$948,0)</f>
        <v>#N/A</v>
      </c>
      <c r="L1552" t="e">
        <f>VLOOKUP(A1552,Database!$A$2:$I$948,4,0)</f>
        <v>#N/A</v>
      </c>
      <c r="M1552" t="e">
        <f t="shared" si="51"/>
        <v>#N/A</v>
      </c>
      <c r="N1552" t="e">
        <f>VLOOKUP(A1552,Database!$A$2:$I$948,5,0)</f>
        <v>#N/A</v>
      </c>
    </row>
    <row r="1553" spans="1:14" hidden="1" x14ac:dyDescent="0.35">
      <c r="A1553" s="3">
        <v>103404623</v>
      </c>
      <c r="B1553" s="3" t="s">
        <v>3739</v>
      </c>
      <c r="C1553" s="3" t="str">
        <f t="shared" si="50"/>
        <v>2022-07-05</v>
      </c>
      <c r="D1553" s="3" t="s">
        <v>9</v>
      </c>
      <c r="E1553" s="3" t="s">
        <v>5</v>
      </c>
      <c r="F1553" s="3" t="s">
        <v>10</v>
      </c>
      <c r="G1553" s="3" t="s">
        <v>3740</v>
      </c>
      <c r="H1553" s="3" t="s">
        <v>3741</v>
      </c>
      <c r="I1553" s="4">
        <v>1234.05</v>
      </c>
      <c r="J1553" s="3" t="s">
        <v>11</v>
      </c>
      <c r="K1553" t="e">
        <f>MATCH(A1553,Database!$A$2:$A$948,0)</f>
        <v>#N/A</v>
      </c>
      <c r="L1553" t="e">
        <f>VLOOKUP(A1553,Database!$A$2:$I$948,4,0)</f>
        <v>#N/A</v>
      </c>
      <c r="M1553" t="e">
        <f t="shared" si="51"/>
        <v>#N/A</v>
      </c>
      <c r="N1553" t="e">
        <f>VLOOKUP(A1553,Database!$A$2:$I$948,5,0)</f>
        <v>#N/A</v>
      </c>
    </row>
    <row r="1554" spans="1:14" hidden="1" x14ac:dyDescent="0.35">
      <c r="A1554" s="3">
        <v>103404552</v>
      </c>
      <c r="B1554" s="3" t="s">
        <v>4805</v>
      </c>
      <c r="C1554" s="3" t="str">
        <f t="shared" si="50"/>
        <v>2022-07-05</v>
      </c>
      <c r="D1554" s="3" t="s">
        <v>9</v>
      </c>
      <c r="E1554" s="3" t="s">
        <v>5</v>
      </c>
      <c r="F1554" s="3" t="s">
        <v>10</v>
      </c>
      <c r="G1554" s="3" t="s">
        <v>4806</v>
      </c>
      <c r="H1554" s="3" t="s">
        <v>4807</v>
      </c>
      <c r="I1554" s="3">
        <v>865.5</v>
      </c>
      <c r="J1554" s="3" t="s">
        <v>13</v>
      </c>
      <c r="K1554">
        <f>MATCH(A1554,Database!$A$2:$A$948,0)</f>
        <v>12</v>
      </c>
      <c r="L1554">
        <f>VLOOKUP(A1554,Database!$A$2:$I$948,4,0)</f>
        <v>865.5</v>
      </c>
      <c r="M1554" t="b">
        <f t="shared" si="51"/>
        <v>1</v>
      </c>
      <c r="N1554">
        <f>VLOOKUP(A1554,Database!$A$2:$I$948,5,0)</f>
        <v>1</v>
      </c>
    </row>
    <row r="1555" spans="1:14" hidden="1" x14ac:dyDescent="0.35">
      <c r="A1555" s="3">
        <v>103404618</v>
      </c>
      <c r="B1555" s="3" t="s">
        <v>3742</v>
      </c>
      <c r="C1555" s="3" t="str">
        <f t="shared" si="50"/>
        <v>2022-07-05</v>
      </c>
      <c r="D1555" s="3" t="s">
        <v>9</v>
      </c>
      <c r="E1555" s="3" t="s">
        <v>5</v>
      </c>
      <c r="F1555" s="3" t="s">
        <v>10</v>
      </c>
      <c r="G1555" s="3" t="s">
        <v>3743</v>
      </c>
      <c r="H1555" s="3" t="s">
        <v>3744</v>
      </c>
      <c r="I1555" s="4">
        <v>5642.14</v>
      </c>
      <c r="J1555" s="3" t="s">
        <v>11</v>
      </c>
      <c r="K1555" t="e">
        <f>MATCH(A1555,Database!$A$2:$A$948,0)</f>
        <v>#N/A</v>
      </c>
      <c r="L1555" t="e">
        <f>VLOOKUP(A1555,Database!$A$2:$I$948,4,0)</f>
        <v>#N/A</v>
      </c>
      <c r="M1555" t="e">
        <f t="shared" si="51"/>
        <v>#N/A</v>
      </c>
      <c r="N1555" t="e">
        <f>VLOOKUP(A1555,Database!$A$2:$I$948,5,0)</f>
        <v>#N/A</v>
      </c>
    </row>
    <row r="1556" spans="1:14" hidden="1" x14ac:dyDescent="0.35">
      <c r="A1556" s="3">
        <v>103404547</v>
      </c>
      <c r="B1556" s="3" t="s">
        <v>3745</v>
      </c>
      <c r="C1556" s="3" t="str">
        <f t="shared" si="50"/>
        <v>2022-07-05</v>
      </c>
      <c r="D1556" s="3" t="s">
        <v>9</v>
      </c>
      <c r="E1556" s="3" t="s">
        <v>5</v>
      </c>
      <c r="F1556" s="3" t="s">
        <v>10</v>
      </c>
      <c r="G1556" s="3" t="s">
        <v>3746</v>
      </c>
      <c r="H1556" s="3" t="s">
        <v>3747</v>
      </c>
      <c r="I1556" s="4">
        <v>2932.22</v>
      </c>
      <c r="J1556" s="3" t="s">
        <v>11</v>
      </c>
      <c r="K1556" t="e">
        <f>MATCH(A1556,Database!$A$2:$A$948,0)</f>
        <v>#N/A</v>
      </c>
      <c r="L1556" t="e">
        <f>VLOOKUP(A1556,Database!$A$2:$I$948,4,0)</f>
        <v>#N/A</v>
      </c>
      <c r="M1556" t="e">
        <f t="shared" si="51"/>
        <v>#N/A</v>
      </c>
      <c r="N1556" t="e">
        <f>VLOOKUP(A1556,Database!$A$2:$I$948,5,0)</f>
        <v>#N/A</v>
      </c>
    </row>
    <row r="1557" spans="1:14" hidden="1" x14ac:dyDescent="0.35">
      <c r="A1557" s="3">
        <v>103404545</v>
      </c>
      <c r="B1557" s="3" t="s">
        <v>3748</v>
      </c>
      <c r="C1557" s="3" t="str">
        <f t="shared" si="50"/>
        <v>2022-07-05</v>
      </c>
      <c r="D1557" s="3" t="s">
        <v>9</v>
      </c>
      <c r="E1557" s="3" t="s">
        <v>5</v>
      </c>
      <c r="F1557" s="3" t="s">
        <v>10</v>
      </c>
      <c r="G1557" s="3" t="s">
        <v>3749</v>
      </c>
      <c r="H1557" s="3" t="s">
        <v>3750</v>
      </c>
      <c r="I1557" s="4">
        <v>2777.89</v>
      </c>
      <c r="J1557" s="3" t="s">
        <v>11</v>
      </c>
      <c r="K1557" t="e">
        <f>MATCH(A1557,Database!$A$2:$A$948,0)</f>
        <v>#N/A</v>
      </c>
      <c r="L1557" t="e">
        <f>VLOOKUP(A1557,Database!$A$2:$I$948,4,0)</f>
        <v>#N/A</v>
      </c>
      <c r="M1557" t="e">
        <f t="shared" si="51"/>
        <v>#N/A</v>
      </c>
      <c r="N1557" t="e">
        <f>VLOOKUP(A1557,Database!$A$2:$I$948,5,0)</f>
        <v>#N/A</v>
      </c>
    </row>
    <row r="1558" spans="1:14" hidden="1" x14ac:dyDescent="0.35">
      <c r="A1558" s="3">
        <v>103404615</v>
      </c>
      <c r="B1558" s="3" t="s">
        <v>3751</v>
      </c>
      <c r="C1558" s="3" t="str">
        <f t="shared" si="50"/>
        <v>2022-07-05</v>
      </c>
      <c r="D1558" s="3" t="s">
        <v>9</v>
      </c>
      <c r="E1558" s="3" t="s">
        <v>5</v>
      </c>
      <c r="F1558" s="3" t="s">
        <v>12</v>
      </c>
      <c r="G1558" s="3" t="s">
        <v>3752</v>
      </c>
      <c r="H1558" s="3" t="s">
        <v>3753</v>
      </c>
      <c r="I1558" s="5">
        <v>2269</v>
      </c>
      <c r="J1558" s="3" t="s">
        <v>11</v>
      </c>
      <c r="K1558" t="e">
        <f>MATCH(A1558,Database!$A$2:$A$948,0)</f>
        <v>#N/A</v>
      </c>
      <c r="L1558" t="e">
        <f>VLOOKUP(A1558,Database!$A$2:$I$948,4,0)</f>
        <v>#N/A</v>
      </c>
      <c r="M1558" t="e">
        <f t="shared" si="51"/>
        <v>#N/A</v>
      </c>
      <c r="N1558" t="e">
        <f>VLOOKUP(A1558,Database!$A$2:$I$948,5,0)</f>
        <v>#N/A</v>
      </c>
    </row>
    <row r="1559" spans="1:14" hidden="1" x14ac:dyDescent="0.35">
      <c r="A1559" s="3">
        <v>103404540</v>
      </c>
      <c r="B1559" s="3" t="s">
        <v>3754</v>
      </c>
      <c r="C1559" s="3" t="str">
        <f t="shared" si="50"/>
        <v>2022-07-05</v>
      </c>
      <c r="D1559" s="3" t="s">
        <v>9</v>
      </c>
      <c r="E1559" s="3" t="s">
        <v>5</v>
      </c>
      <c r="F1559" s="3" t="s">
        <v>10</v>
      </c>
      <c r="G1559" s="3" t="s">
        <v>3755</v>
      </c>
      <c r="H1559" s="3" t="s">
        <v>3756</v>
      </c>
      <c r="I1559" s="3">
        <v>888</v>
      </c>
      <c r="J1559" s="3" t="s">
        <v>11</v>
      </c>
      <c r="K1559" t="e">
        <f>MATCH(A1559,Database!$A$2:$A$948,0)</f>
        <v>#N/A</v>
      </c>
      <c r="L1559" t="e">
        <f>VLOOKUP(A1559,Database!$A$2:$I$948,4,0)</f>
        <v>#N/A</v>
      </c>
      <c r="M1559" t="e">
        <f t="shared" si="51"/>
        <v>#N/A</v>
      </c>
      <c r="N1559" t="e">
        <f>VLOOKUP(A1559,Database!$A$2:$I$948,5,0)</f>
        <v>#N/A</v>
      </c>
    </row>
    <row r="1560" spans="1:14" hidden="1" x14ac:dyDescent="0.35">
      <c r="A1560" s="3">
        <v>103404613</v>
      </c>
      <c r="B1560" s="3" t="s">
        <v>3757</v>
      </c>
      <c r="C1560" s="3" t="str">
        <f t="shared" si="50"/>
        <v>2022-07-05</v>
      </c>
      <c r="D1560" s="3" t="s">
        <v>9</v>
      </c>
      <c r="E1560" s="3" t="s">
        <v>5</v>
      </c>
      <c r="F1560" s="3" t="s">
        <v>10</v>
      </c>
      <c r="G1560" s="3" t="s">
        <v>3758</v>
      </c>
      <c r="H1560" s="3" t="s">
        <v>3759</v>
      </c>
      <c r="I1560" s="4">
        <v>1329.05</v>
      </c>
      <c r="J1560" s="3" t="s">
        <v>11</v>
      </c>
      <c r="K1560" t="e">
        <f>MATCH(A1560,Database!$A$2:$A$948,0)</f>
        <v>#N/A</v>
      </c>
      <c r="L1560" t="e">
        <f>VLOOKUP(A1560,Database!$A$2:$I$948,4,0)</f>
        <v>#N/A</v>
      </c>
      <c r="M1560" t="e">
        <f t="shared" si="51"/>
        <v>#N/A</v>
      </c>
      <c r="N1560" t="e">
        <f>VLOOKUP(A1560,Database!$A$2:$I$948,5,0)</f>
        <v>#N/A</v>
      </c>
    </row>
    <row r="1561" spans="1:14" hidden="1" x14ac:dyDescent="0.35">
      <c r="A1561" s="3">
        <v>103404611</v>
      </c>
      <c r="B1561" s="3" t="s">
        <v>3760</v>
      </c>
      <c r="C1561" s="3" t="str">
        <f t="shared" si="50"/>
        <v>2022-07-05</v>
      </c>
      <c r="D1561" s="3" t="s">
        <v>9</v>
      </c>
      <c r="E1561" s="3" t="s">
        <v>5</v>
      </c>
      <c r="F1561" s="3" t="s">
        <v>10</v>
      </c>
      <c r="G1561" s="3" t="s">
        <v>3761</v>
      </c>
      <c r="H1561" s="3" t="s">
        <v>3762</v>
      </c>
      <c r="I1561" s="4">
        <v>1110.55</v>
      </c>
      <c r="J1561" s="3" t="s">
        <v>11</v>
      </c>
      <c r="K1561" t="e">
        <f>MATCH(A1561,Database!$A$2:$A$948,0)</f>
        <v>#N/A</v>
      </c>
      <c r="L1561" t="e">
        <f>VLOOKUP(A1561,Database!$A$2:$I$948,4,0)</f>
        <v>#N/A</v>
      </c>
      <c r="M1561" t="e">
        <f t="shared" si="51"/>
        <v>#N/A</v>
      </c>
      <c r="N1561" t="e">
        <f>VLOOKUP(A1561,Database!$A$2:$I$948,5,0)</f>
        <v>#N/A</v>
      </c>
    </row>
    <row r="1562" spans="1:14" hidden="1" x14ac:dyDescent="0.35">
      <c r="A1562" s="3">
        <v>103404535</v>
      </c>
      <c r="B1562" s="3" t="s">
        <v>3763</v>
      </c>
      <c r="C1562" s="3" t="str">
        <f t="shared" si="50"/>
        <v>2022-07-05</v>
      </c>
      <c r="D1562" s="3" t="s">
        <v>9</v>
      </c>
      <c r="E1562" s="3" t="s">
        <v>5</v>
      </c>
      <c r="F1562" s="3" t="s">
        <v>10</v>
      </c>
      <c r="G1562" s="3" t="s">
        <v>3764</v>
      </c>
      <c r="H1562" s="3" t="s">
        <v>3765</v>
      </c>
      <c r="I1562" s="3">
        <v>489</v>
      </c>
      <c r="J1562" s="3" t="s">
        <v>11</v>
      </c>
      <c r="K1562" t="e">
        <f>MATCH(A1562,Database!$A$2:$A$948,0)</f>
        <v>#N/A</v>
      </c>
      <c r="L1562" t="e">
        <f>VLOOKUP(A1562,Database!$A$2:$I$948,4,0)</f>
        <v>#N/A</v>
      </c>
      <c r="M1562" t="e">
        <f t="shared" si="51"/>
        <v>#N/A</v>
      </c>
      <c r="N1562" t="e">
        <f>VLOOKUP(A1562,Database!$A$2:$I$948,5,0)</f>
        <v>#N/A</v>
      </c>
    </row>
    <row r="1563" spans="1:14" hidden="1" x14ac:dyDescent="0.35">
      <c r="A1563" s="3">
        <v>103404609</v>
      </c>
      <c r="B1563" s="3" t="s">
        <v>3766</v>
      </c>
      <c r="C1563" s="3" t="str">
        <f t="shared" si="50"/>
        <v>2022-07-05</v>
      </c>
      <c r="D1563" s="3" t="s">
        <v>9</v>
      </c>
      <c r="E1563" s="3" t="s">
        <v>5</v>
      </c>
      <c r="F1563" s="3" t="s">
        <v>10</v>
      </c>
      <c r="G1563" s="3" t="s">
        <v>3767</v>
      </c>
      <c r="H1563" s="3" t="s">
        <v>3768</v>
      </c>
      <c r="I1563" s="3">
        <v>719</v>
      </c>
      <c r="J1563" s="3" t="s">
        <v>11</v>
      </c>
      <c r="K1563" t="e">
        <f>MATCH(A1563,Database!$A$2:$A$948,0)</f>
        <v>#N/A</v>
      </c>
      <c r="L1563" t="e">
        <f>VLOOKUP(A1563,Database!$A$2:$I$948,4,0)</f>
        <v>#N/A</v>
      </c>
      <c r="M1563" t="e">
        <f t="shared" si="51"/>
        <v>#N/A</v>
      </c>
      <c r="N1563" t="e">
        <f>VLOOKUP(A1563,Database!$A$2:$I$948,5,0)</f>
        <v>#N/A</v>
      </c>
    </row>
    <row r="1564" spans="1:14" hidden="1" x14ac:dyDescent="0.35">
      <c r="A1564" s="3">
        <v>103404605</v>
      </c>
      <c r="B1564" s="3" t="s">
        <v>3769</v>
      </c>
      <c r="C1564" s="3" t="str">
        <f t="shared" si="50"/>
        <v>2022-07-05</v>
      </c>
      <c r="D1564" s="3" t="s">
        <v>9</v>
      </c>
      <c r="E1564" s="3" t="s">
        <v>5</v>
      </c>
      <c r="F1564" s="3" t="s">
        <v>10</v>
      </c>
      <c r="G1564" s="3" t="s">
        <v>3770</v>
      </c>
      <c r="H1564" s="3" t="s">
        <v>3771</v>
      </c>
      <c r="I1564" s="5">
        <v>4899</v>
      </c>
      <c r="J1564" s="3" t="s">
        <v>11</v>
      </c>
      <c r="K1564" t="e">
        <f>MATCH(A1564,Database!$A$2:$A$948,0)</f>
        <v>#N/A</v>
      </c>
      <c r="L1564" t="e">
        <f>VLOOKUP(A1564,Database!$A$2:$I$948,4,0)</f>
        <v>#N/A</v>
      </c>
      <c r="M1564" t="e">
        <f t="shared" si="51"/>
        <v>#N/A</v>
      </c>
      <c r="N1564" t="e">
        <f>VLOOKUP(A1564,Database!$A$2:$I$948,5,0)</f>
        <v>#N/A</v>
      </c>
    </row>
    <row r="1565" spans="1:14" hidden="1" x14ac:dyDescent="0.35">
      <c r="A1565" s="3">
        <v>103404530</v>
      </c>
      <c r="B1565" s="3" t="s">
        <v>3772</v>
      </c>
      <c r="C1565" s="3" t="str">
        <f t="shared" si="50"/>
        <v>2022-07-05</v>
      </c>
      <c r="D1565" s="3" t="s">
        <v>9</v>
      </c>
      <c r="E1565" s="3" t="s">
        <v>5</v>
      </c>
      <c r="F1565" s="3" t="s">
        <v>10</v>
      </c>
      <c r="G1565" s="3" t="s">
        <v>3773</v>
      </c>
      <c r="H1565" s="3" t="s">
        <v>3774</v>
      </c>
      <c r="I1565" s="4">
        <v>2040.6</v>
      </c>
      <c r="J1565" s="3" t="s">
        <v>11</v>
      </c>
      <c r="K1565" t="e">
        <f>MATCH(A1565,Database!$A$2:$A$948,0)</f>
        <v>#N/A</v>
      </c>
      <c r="L1565" t="e">
        <f>VLOOKUP(A1565,Database!$A$2:$I$948,4,0)</f>
        <v>#N/A</v>
      </c>
      <c r="M1565" t="e">
        <f t="shared" si="51"/>
        <v>#N/A</v>
      </c>
      <c r="N1565" t="e">
        <f>VLOOKUP(A1565,Database!$A$2:$I$948,5,0)</f>
        <v>#N/A</v>
      </c>
    </row>
    <row r="1566" spans="1:14" hidden="1" x14ac:dyDescent="0.35">
      <c r="A1566" s="3">
        <v>103404527</v>
      </c>
      <c r="B1566" s="3" t="s">
        <v>3775</v>
      </c>
      <c r="C1566" s="3" t="str">
        <f t="shared" si="50"/>
        <v>2022-07-05</v>
      </c>
      <c r="D1566" s="3" t="s">
        <v>9</v>
      </c>
      <c r="E1566" s="3" t="s">
        <v>5</v>
      </c>
      <c r="F1566" s="3" t="s">
        <v>12</v>
      </c>
      <c r="G1566" s="3" t="s">
        <v>3776</v>
      </c>
      <c r="H1566" s="3" t="s">
        <v>3777</v>
      </c>
      <c r="I1566" s="4">
        <v>1424.05</v>
      </c>
      <c r="J1566" s="3" t="s">
        <v>11</v>
      </c>
      <c r="K1566" t="e">
        <f>MATCH(A1566,Database!$A$2:$A$948,0)</f>
        <v>#N/A</v>
      </c>
      <c r="L1566" t="e">
        <f>VLOOKUP(A1566,Database!$A$2:$I$948,4,0)</f>
        <v>#N/A</v>
      </c>
      <c r="M1566" t="e">
        <f t="shared" si="51"/>
        <v>#N/A</v>
      </c>
      <c r="N1566" t="e">
        <f>VLOOKUP(A1566,Database!$A$2:$I$948,5,0)</f>
        <v>#N/A</v>
      </c>
    </row>
    <row r="1567" spans="1:14" hidden="1" x14ac:dyDescent="0.35">
      <c r="A1567" s="3">
        <v>103404600</v>
      </c>
      <c r="B1567" s="3" t="s">
        <v>3778</v>
      </c>
      <c r="C1567" s="3" t="str">
        <f t="shared" si="50"/>
        <v>2022-07-05</v>
      </c>
      <c r="D1567" s="3" t="s">
        <v>9</v>
      </c>
      <c r="E1567" s="3" t="s">
        <v>5</v>
      </c>
      <c r="F1567" s="3" t="s">
        <v>10</v>
      </c>
      <c r="G1567" s="3" t="s">
        <v>3779</v>
      </c>
      <c r="H1567" s="3" t="s">
        <v>3780</v>
      </c>
      <c r="I1567" s="4">
        <v>1551.4</v>
      </c>
      <c r="J1567" s="3" t="s">
        <v>11</v>
      </c>
      <c r="K1567" t="e">
        <f>MATCH(A1567,Database!$A$2:$A$948,0)</f>
        <v>#N/A</v>
      </c>
      <c r="L1567" t="e">
        <f>VLOOKUP(A1567,Database!$A$2:$I$948,4,0)</f>
        <v>#N/A</v>
      </c>
      <c r="M1567" t="e">
        <f t="shared" si="51"/>
        <v>#N/A</v>
      </c>
      <c r="N1567" t="e">
        <f>VLOOKUP(A1567,Database!$A$2:$I$948,5,0)</f>
        <v>#N/A</v>
      </c>
    </row>
    <row r="1568" spans="1:14" hidden="1" x14ac:dyDescent="0.35">
      <c r="A1568" s="3">
        <v>103404523</v>
      </c>
      <c r="B1568" s="3" t="s">
        <v>3781</v>
      </c>
      <c r="C1568" s="3" t="str">
        <f t="shared" si="50"/>
        <v>2022-07-05</v>
      </c>
      <c r="D1568" s="3" t="s">
        <v>9</v>
      </c>
      <c r="E1568" s="3" t="s">
        <v>5</v>
      </c>
      <c r="F1568" s="3" t="s">
        <v>10</v>
      </c>
      <c r="G1568" s="3" t="s">
        <v>3782</v>
      </c>
      <c r="H1568" s="3" t="s">
        <v>3783</v>
      </c>
      <c r="I1568" s="3">
        <v>999</v>
      </c>
      <c r="J1568" s="3" t="s">
        <v>11</v>
      </c>
      <c r="K1568" t="e">
        <f>MATCH(A1568,Database!$A$2:$A$948,0)</f>
        <v>#N/A</v>
      </c>
      <c r="L1568" t="e">
        <f>VLOOKUP(A1568,Database!$A$2:$I$948,4,0)</f>
        <v>#N/A</v>
      </c>
      <c r="M1568" t="e">
        <f t="shared" si="51"/>
        <v>#N/A</v>
      </c>
      <c r="N1568" t="e">
        <f>VLOOKUP(A1568,Database!$A$2:$I$948,5,0)</f>
        <v>#N/A</v>
      </c>
    </row>
    <row r="1569" spans="1:14" hidden="1" x14ac:dyDescent="0.35">
      <c r="A1569" s="3">
        <v>103404596</v>
      </c>
      <c r="B1569" s="3" t="s">
        <v>3784</v>
      </c>
      <c r="C1569" s="3" t="str">
        <f t="shared" si="50"/>
        <v>2022-07-05</v>
      </c>
      <c r="D1569" s="3" t="s">
        <v>9</v>
      </c>
      <c r="E1569" s="3" t="s">
        <v>5</v>
      </c>
      <c r="F1569" s="3" t="s">
        <v>10</v>
      </c>
      <c r="G1569" s="3" t="s">
        <v>1309</v>
      </c>
      <c r="H1569" s="3" t="s">
        <v>3785</v>
      </c>
      <c r="I1569" s="5">
        <v>1619</v>
      </c>
      <c r="J1569" s="3" t="s">
        <v>11</v>
      </c>
      <c r="K1569" t="e">
        <f>MATCH(A1569,Database!$A$2:$A$948,0)</f>
        <v>#N/A</v>
      </c>
      <c r="L1569" t="e">
        <f>VLOOKUP(A1569,Database!$A$2:$I$948,4,0)</f>
        <v>#N/A</v>
      </c>
      <c r="M1569" t="e">
        <f t="shared" si="51"/>
        <v>#N/A</v>
      </c>
      <c r="N1569" t="e">
        <f>VLOOKUP(A1569,Database!$A$2:$I$948,5,0)</f>
        <v>#N/A</v>
      </c>
    </row>
    <row r="1570" spans="1:14" hidden="1" x14ac:dyDescent="0.35">
      <c r="A1570" s="3">
        <v>103404521</v>
      </c>
      <c r="B1570" s="3" t="s">
        <v>3786</v>
      </c>
      <c r="C1570" s="3" t="str">
        <f t="shared" si="50"/>
        <v>2022-07-05</v>
      </c>
      <c r="D1570" s="3" t="s">
        <v>9</v>
      </c>
      <c r="E1570" s="3" t="s">
        <v>5</v>
      </c>
      <c r="F1570" s="3" t="s">
        <v>10</v>
      </c>
      <c r="G1570" s="3" t="s">
        <v>3787</v>
      </c>
      <c r="H1570" s="3" t="s">
        <v>3788</v>
      </c>
      <c r="I1570" s="4">
        <v>5270.6</v>
      </c>
      <c r="J1570" s="3" t="s">
        <v>11</v>
      </c>
      <c r="K1570" t="e">
        <f>MATCH(A1570,Database!$A$2:$A$948,0)</f>
        <v>#N/A</v>
      </c>
      <c r="L1570" t="e">
        <f>VLOOKUP(A1570,Database!$A$2:$I$948,4,0)</f>
        <v>#N/A</v>
      </c>
      <c r="M1570" t="e">
        <f t="shared" si="51"/>
        <v>#N/A</v>
      </c>
      <c r="N1570" t="e">
        <f>VLOOKUP(A1570,Database!$A$2:$I$948,5,0)</f>
        <v>#N/A</v>
      </c>
    </row>
    <row r="1571" spans="1:14" hidden="1" x14ac:dyDescent="0.35">
      <c r="A1571" s="3">
        <v>103404519</v>
      </c>
      <c r="B1571" s="3" t="s">
        <v>3789</v>
      </c>
      <c r="C1571" s="3" t="str">
        <f t="shared" si="50"/>
        <v>2022-07-05</v>
      </c>
      <c r="D1571" s="3" t="s">
        <v>9</v>
      </c>
      <c r="E1571" s="3" t="s">
        <v>5</v>
      </c>
      <c r="F1571" s="3" t="s">
        <v>10</v>
      </c>
      <c r="G1571" s="3" t="s">
        <v>3790</v>
      </c>
      <c r="H1571" s="3" t="s">
        <v>3791</v>
      </c>
      <c r="I1571" s="3">
        <v>255.55</v>
      </c>
      <c r="J1571" s="3" t="s">
        <v>11</v>
      </c>
      <c r="K1571" t="e">
        <f>MATCH(A1571,Database!$A$2:$A$948,0)</f>
        <v>#N/A</v>
      </c>
      <c r="L1571" t="e">
        <f>VLOOKUP(A1571,Database!$A$2:$I$948,4,0)</f>
        <v>#N/A</v>
      </c>
      <c r="M1571" t="e">
        <f t="shared" si="51"/>
        <v>#N/A</v>
      </c>
      <c r="N1571" t="e">
        <f>VLOOKUP(A1571,Database!$A$2:$I$948,5,0)</f>
        <v>#N/A</v>
      </c>
    </row>
    <row r="1572" spans="1:14" hidden="1" x14ac:dyDescent="0.35">
      <c r="A1572" s="3">
        <v>103404518</v>
      </c>
      <c r="B1572" s="3" t="s">
        <v>3792</v>
      </c>
      <c r="C1572" s="3" t="str">
        <f t="shared" si="50"/>
        <v>2022-07-05</v>
      </c>
      <c r="D1572" s="3" t="s">
        <v>9</v>
      </c>
      <c r="E1572" s="3" t="s">
        <v>5</v>
      </c>
      <c r="F1572" s="3" t="s">
        <v>10</v>
      </c>
      <c r="G1572" s="3" t="s">
        <v>3793</v>
      </c>
      <c r="H1572" s="3" t="s">
        <v>3794</v>
      </c>
      <c r="I1572" s="3">
        <v>920.55</v>
      </c>
      <c r="J1572" s="3" t="s">
        <v>11</v>
      </c>
      <c r="K1572" t="e">
        <f>MATCH(A1572,Database!$A$2:$A$948,0)</f>
        <v>#N/A</v>
      </c>
      <c r="L1572" t="e">
        <f>VLOOKUP(A1572,Database!$A$2:$I$948,4,0)</f>
        <v>#N/A</v>
      </c>
      <c r="M1572" t="e">
        <f t="shared" si="51"/>
        <v>#N/A</v>
      </c>
      <c r="N1572" t="e">
        <f>VLOOKUP(A1572,Database!$A$2:$I$948,5,0)</f>
        <v>#N/A</v>
      </c>
    </row>
    <row r="1573" spans="1:14" hidden="1" x14ac:dyDescent="0.35">
      <c r="A1573" s="3">
        <v>103404591</v>
      </c>
      <c r="B1573" s="3" t="s">
        <v>3795</v>
      </c>
      <c r="C1573" s="3" t="str">
        <f t="shared" si="50"/>
        <v>2022-07-05</v>
      </c>
      <c r="D1573" s="3" t="s">
        <v>9</v>
      </c>
      <c r="E1573" s="3" t="s">
        <v>5</v>
      </c>
      <c r="F1573" s="3" t="s">
        <v>10</v>
      </c>
      <c r="G1573" s="3" t="s">
        <v>3796</v>
      </c>
      <c r="H1573" s="3" t="s">
        <v>3797</v>
      </c>
      <c r="I1573" s="4">
        <v>2480.9699999999998</v>
      </c>
      <c r="J1573" s="3" t="s">
        <v>11</v>
      </c>
      <c r="K1573" t="e">
        <f>MATCH(A1573,Database!$A$2:$A$948,0)</f>
        <v>#N/A</v>
      </c>
      <c r="L1573" t="e">
        <f>VLOOKUP(A1573,Database!$A$2:$I$948,4,0)</f>
        <v>#N/A</v>
      </c>
      <c r="M1573" t="e">
        <f t="shared" si="51"/>
        <v>#N/A</v>
      </c>
      <c r="N1573" t="e">
        <f>VLOOKUP(A1573,Database!$A$2:$I$948,5,0)</f>
        <v>#N/A</v>
      </c>
    </row>
    <row r="1574" spans="1:14" hidden="1" x14ac:dyDescent="0.35">
      <c r="A1574" s="3">
        <v>103404588</v>
      </c>
      <c r="B1574" s="3" t="s">
        <v>3798</v>
      </c>
      <c r="C1574" s="3" t="str">
        <f t="shared" si="50"/>
        <v>2022-07-05</v>
      </c>
      <c r="D1574" s="3" t="s">
        <v>9</v>
      </c>
      <c r="E1574" s="3" t="s">
        <v>5</v>
      </c>
      <c r="F1574" s="3" t="s">
        <v>10</v>
      </c>
      <c r="G1574" s="3" t="s">
        <v>3799</v>
      </c>
      <c r="H1574" s="3" t="s">
        <v>3800</v>
      </c>
      <c r="I1574" s="3">
        <v>675.97</v>
      </c>
      <c r="J1574" s="3" t="s">
        <v>11</v>
      </c>
      <c r="K1574" t="e">
        <f>MATCH(A1574,Database!$A$2:$A$948,0)</f>
        <v>#N/A</v>
      </c>
      <c r="L1574" t="e">
        <f>VLOOKUP(A1574,Database!$A$2:$I$948,4,0)</f>
        <v>#N/A</v>
      </c>
      <c r="M1574" t="e">
        <f t="shared" si="51"/>
        <v>#N/A</v>
      </c>
      <c r="N1574" t="e">
        <f>VLOOKUP(A1574,Database!$A$2:$I$948,5,0)</f>
        <v>#N/A</v>
      </c>
    </row>
    <row r="1575" spans="1:14" hidden="1" x14ac:dyDescent="0.35">
      <c r="A1575" s="3">
        <v>103404509</v>
      </c>
      <c r="B1575" s="3" t="s">
        <v>3801</v>
      </c>
      <c r="C1575" s="3" t="str">
        <f t="shared" si="50"/>
        <v>2022-07-05</v>
      </c>
      <c r="D1575" s="3" t="s">
        <v>9</v>
      </c>
      <c r="E1575" s="3" t="s">
        <v>5</v>
      </c>
      <c r="F1575" s="3" t="s">
        <v>10</v>
      </c>
      <c r="G1575" s="3" t="s">
        <v>3802</v>
      </c>
      <c r="H1575" s="3" t="s">
        <v>3803</v>
      </c>
      <c r="I1575" s="5">
        <v>1949</v>
      </c>
      <c r="J1575" s="3" t="s">
        <v>11</v>
      </c>
      <c r="K1575" t="e">
        <f>MATCH(A1575,Database!$A$2:$A$948,0)</f>
        <v>#N/A</v>
      </c>
      <c r="L1575" t="e">
        <f>VLOOKUP(A1575,Database!$A$2:$I$948,4,0)</f>
        <v>#N/A</v>
      </c>
      <c r="M1575" t="e">
        <f t="shared" si="51"/>
        <v>#N/A</v>
      </c>
      <c r="N1575" t="e">
        <f>VLOOKUP(A1575,Database!$A$2:$I$948,5,0)</f>
        <v>#N/A</v>
      </c>
    </row>
    <row r="1576" spans="1:14" hidden="1" x14ac:dyDescent="0.35">
      <c r="A1576" s="3">
        <v>103404587</v>
      </c>
      <c r="B1576" s="3" t="s">
        <v>3804</v>
      </c>
      <c r="C1576" s="3" t="str">
        <f t="shared" si="50"/>
        <v>2022-07-05</v>
      </c>
      <c r="D1576" s="3" t="s">
        <v>9</v>
      </c>
      <c r="E1576" s="3" t="s">
        <v>5</v>
      </c>
      <c r="F1576" s="3" t="s">
        <v>12</v>
      </c>
      <c r="G1576" s="3" t="s">
        <v>3805</v>
      </c>
      <c r="H1576" s="3" t="s">
        <v>3806</v>
      </c>
      <c r="I1576" s="5">
        <v>2699</v>
      </c>
      <c r="J1576" s="3" t="s">
        <v>11</v>
      </c>
      <c r="K1576" t="e">
        <f>MATCH(A1576,Database!$A$2:$A$948,0)</f>
        <v>#N/A</v>
      </c>
      <c r="L1576" t="e">
        <f>VLOOKUP(A1576,Database!$A$2:$I$948,4,0)</f>
        <v>#N/A</v>
      </c>
      <c r="M1576" t="e">
        <f t="shared" si="51"/>
        <v>#N/A</v>
      </c>
      <c r="N1576" t="e">
        <f>VLOOKUP(A1576,Database!$A$2:$I$948,5,0)</f>
        <v>#N/A</v>
      </c>
    </row>
    <row r="1577" spans="1:14" hidden="1" x14ac:dyDescent="0.35">
      <c r="A1577" s="3">
        <v>103404586</v>
      </c>
      <c r="B1577" s="3" t="s">
        <v>3807</v>
      </c>
      <c r="C1577" s="3" t="str">
        <f t="shared" si="50"/>
        <v>2022-07-05</v>
      </c>
      <c r="D1577" s="3" t="s">
        <v>9</v>
      </c>
      <c r="E1577" s="3" t="s">
        <v>5</v>
      </c>
      <c r="F1577" s="3" t="s">
        <v>10</v>
      </c>
      <c r="G1577" s="3" t="s">
        <v>3808</v>
      </c>
      <c r="H1577" s="3" t="s">
        <v>3809</v>
      </c>
      <c r="I1577" s="4">
        <v>3590.14</v>
      </c>
      <c r="J1577" s="3" t="s">
        <v>11</v>
      </c>
      <c r="K1577" t="e">
        <f>MATCH(A1577,Database!$A$2:$A$948,0)</f>
        <v>#N/A</v>
      </c>
      <c r="L1577" t="e">
        <f>VLOOKUP(A1577,Database!$A$2:$I$948,4,0)</f>
        <v>#N/A</v>
      </c>
      <c r="M1577" t="e">
        <f t="shared" si="51"/>
        <v>#N/A</v>
      </c>
      <c r="N1577" t="e">
        <f>VLOOKUP(A1577,Database!$A$2:$I$948,5,0)</f>
        <v>#N/A</v>
      </c>
    </row>
    <row r="1578" spans="1:14" hidden="1" x14ac:dyDescent="0.35">
      <c r="A1578" s="3">
        <v>103404585</v>
      </c>
      <c r="B1578" s="3" t="s">
        <v>3810</v>
      </c>
      <c r="C1578" s="3" t="str">
        <f t="shared" si="50"/>
        <v>2022-07-05</v>
      </c>
      <c r="D1578" s="3" t="s">
        <v>9</v>
      </c>
      <c r="E1578" s="3" t="s">
        <v>5</v>
      </c>
      <c r="F1578" s="3" t="s">
        <v>12</v>
      </c>
      <c r="G1578" s="3" t="s">
        <v>3811</v>
      </c>
      <c r="H1578" s="3" t="s">
        <v>3812</v>
      </c>
      <c r="I1578" s="5">
        <v>4549</v>
      </c>
      <c r="J1578" s="3" t="s">
        <v>11</v>
      </c>
      <c r="K1578" t="e">
        <f>MATCH(A1578,Database!$A$2:$A$948,0)</f>
        <v>#N/A</v>
      </c>
      <c r="L1578" t="e">
        <f>VLOOKUP(A1578,Database!$A$2:$I$948,4,0)</f>
        <v>#N/A</v>
      </c>
      <c r="M1578" t="e">
        <f t="shared" si="51"/>
        <v>#N/A</v>
      </c>
      <c r="N1578" t="e">
        <f>VLOOKUP(A1578,Database!$A$2:$I$948,5,0)</f>
        <v>#N/A</v>
      </c>
    </row>
    <row r="1579" spans="1:14" hidden="1" x14ac:dyDescent="0.35">
      <c r="A1579" s="3">
        <v>103404583</v>
      </c>
      <c r="B1579" s="3" t="s">
        <v>3813</v>
      </c>
      <c r="C1579" s="3" t="str">
        <f t="shared" si="50"/>
        <v>2022-07-05</v>
      </c>
      <c r="D1579" s="3" t="s">
        <v>9</v>
      </c>
      <c r="E1579" s="3" t="s">
        <v>5</v>
      </c>
      <c r="F1579" s="3" t="s">
        <v>10</v>
      </c>
      <c r="G1579" s="3" t="s">
        <v>3814</v>
      </c>
      <c r="H1579" s="3" t="s">
        <v>3815</v>
      </c>
      <c r="I1579" s="5">
        <v>1489</v>
      </c>
      <c r="J1579" s="3" t="s">
        <v>11</v>
      </c>
      <c r="K1579" t="e">
        <f>MATCH(A1579,Database!$A$2:$A$948,0)</f>
        <v>#N/A</v>
      </c>
      <c r="L1579" t="e">
        <f>VLOOKUP(A1579,Database!$A$2:$I$948,4,0)</f>
        <v>#N/A</v>
      </c>
      <c r="M1579" t="e">
        <f t="shared" si="51"/>
        <v>#N/A</v>
      </c>
      <c r="N1579" t="e">
        <f>VLOOKUP(A1579,Database!$A$2:$I$948,5,0)</f>
        <v>#N/A</v>
      </c>
    </row>
    <row r="1580" spans="1:14" hidden="1" x14ac:dyDescent="0.35">
      <c r="A1580" s="3">
        <v>103404582</v>
      </c>
      <c r="B1580" s="3" t="s">
        <v>3816</v>
      </c>
      <c r="C1580" s="3" t="str">
        <f t="shared" si="50"/>
        <v>2022-07-05</v>
      </c>
      <c r="D1580" s="3" t="s">
        <v>9</v>
      </c>
      <c r="E1580" s="3" t="s">
        <v>5</v>
      </c>
      <c r="F1580" s="3" t="s">
        <v>12</v>
      </c>
      <c r="G1580" s="3" t="s">
        <v>3817</v>
      </c>
      <c r="H1580" s="3" t="s">
        <v>3818</v>
      </c>
      <c r="I1580" s="5">
        <v>5648</v>
      </c>
      <c r="J1580" s="3" t="s">
        <v>11</v>
      </c>
      <c r="K1580" t="e">
        <f>MATCH(A1580,Database!$A$2:$A$948,0)</f>
        <v>#N/A</v>
      </c>
      <c r="L1580" t="e">
        <f>VLOOKUP(A1580,Database!$A$2:$I$948,4,0)</f>
        <v>#N/A</v>
      </c>
      <c r="M1580" t="e">
        <f t="shared" si="51"/>
        <v>#N/A</v>
      </c>
      <c r="N1580" t="e">
        <f>VLOOKUP(A1580,Database!$A$2:$I$948,5,0)</f>
        <v>#N/A</v>
      </c>
    </row>
    <row r="1581" spans="1:14" hidden="1" x14ac:dyDescent="0.35">
      <c r="A1581" s="3">
        <v>103404499</v>
      </c>
      <c r="B1581" s="3" t="s">
        <v>3819</v>
      </c>
      <c r="C1581" s="3" t="str">
        <f t="shared" si="50"/>
        <v>2022-07-05</v>
      </c>
      <c r="D1581" s="3" t="s">
        <v>9</v>
      </c>
      <c r="E1581" s="3" t="s">
        <v>5</v>
      </c>
      <c r="F1581" s="3" t="s">
        <v>10</v>
      </c>
      <c r="G1581" s="3" t="s">
        <v>3820</v>
      </c>
      <c r="H1581" s="3" t="s">
        <v>3821</v>
      </c>
      <c r="I1581" s="4">
        <v>5556.55</v>
      </c>
      <c r="J1581" s="3" t="s">
        <v>11</v>
      </c>
      <c r="K1581" t="e">
        <f>MATCH(A1581,Database!$A$2:$A$948,0)</f>
        <v>#N/A</v>
      </c>
      <c r="L1581" t="e">
        <f>VLOOKUP(A1581,Database!$A$2:$I$948,4,0)</f>
        <v>#N/A</v>
      </c>
      <c r="M1581" t="e">
        <f t="shared" si="51"/>
        <v>#N/A</v>
      </c>
      <c r="N1581" t="e">
        <f>VLOOKUP(A1581,Database!$A$2:$I$948,5,0)</f>
        <v>#N/A</v>
      </c>
    </row>
    <row r="1582" spans="1:14" hidden="1" x14ac:dyDescent="0.35">
      <c r="A1582" s="3">
        <v>103404578</v>
      </c>
      <c r="B1582" s="3" t="s">
        <v>3822</v>
      </c>
      <c r="C1582" s="3" t="str">
        <f t="shared" si="50"/>
        <v>2022-07-05</v>
      </c>
      <c r="D1582" s="3" t="s">
        <v>9</v>
      </c>
      <c r="E1582" s="3" t="s">
        <v>5</v>
      </c>
      <c r="F1582" s="3" t="s">
        <v>10</v>
      </c>
      <c r="G1582" s="3" t="s">
        <v>3823</v>
      </c>
      <c r="H1582" s="3" t="s">
        <v>3824</v>
      </c>
      <c r="I1582" s="3">
        <v>999</v>
      </c>
      <c r="J1582" s="3" t="s">
        <v>11</v>
      </c>
      <c r="K1582" t="e">
        <f>MATCH(A1582,Database!$A$2:$A$948,0)</f>
        <v>#N/A</v>
      </c>
      <c r="L1582" t="e">
        <f>VLOOKUP(A1582,Database!$A$2:$I$948,4,0)</f>
        <v>#N/A</v>
      </c>
      <c r="M1582" t="e">
        <f t="shared" si="51"/>
        <v>#N/A</v>
      </c>
      <c r="N1582" t="e">
        <f>VLOOKUP(A1582,Database!$A$2:$I$948,5,0)</f>
        <v>#N/A</v>
      </c>
    </row>
    <row r="1583" spans="1:14" hidden="1" x14ac:dyDescent="0.35">
      <c r="A1583" s="3">
        <v>103404496</v>
      </c>
      <c r="B1583" s="3" t="s">
        <v>3825</v>
      </c>
      <c r="C1583" s="3" t="str">
        <f t="shared" si="50"/>
        <v>2022-07-05</v>
      </c>
      <c r="D1583" s="3" t="s">
        <v>9</v>
      </c>
      <c r="E1583" s="3" t="s">
        <v>5</v>
      </c>
      <c r="F1583" s="3" t="s">
        <v>10</v>
      </c>
      <c r="G1583" s="3" t="s">
        <v>3826</v>
      </c>
      <c r="H1583" s="3" t="s">
        <v>3827</v>
      </c>
      <c r="I1583" s="5">
        <v>3299</v>
      </c>
      <c r="J1583" s="3" t="s">
        <v>11</v>
      </c>
      <c r="K1583" t="e">
        <f>MATCH(A1583,Database!$A$2:$A$948,0)</f>
        <v>#N/A</v>
      </c>
      <c r="L1583" t="e">
        <f>VLOOKUP(A1583,Database!$A$2:$I$948,4,0)</f>
        <v>#N/A</v>
      </c>
      <c r="M1583" t="e">
        <f t="shared" si="51"/>
        <v>#N/A</v>
      </c>
      <c r="N1583" t="e">
        <f>VLOOKUP(A1583,Database!$A$2:$I$948,5,0)</f>
        <v>#N/A</v>
      </c>
    </row>
    <row r="1584" spans="1:14" hidden="1" x14ac:dyDescent="0.35">
      <c r="A1584" s="3">
        <v>103404576</v>
      </c>
      <c r="B1584" s="3" t="s">
        <v>3828</v>
      </c>
      <c r="C1584" s="3" t="str">
        <f t="shared" si="50"/>
        <v>2022-07-05</v>
      </c>
      <c r="D1584" s="3" t="s">
        <v>9</v>
      </c>
      <c r="E1584" s="3" t="s">
        <v>5</v>
      </c>
      <c r="F1584" s="3" t="s">
        <v>12</v>
      </c>
      <c r="G1584" s="3" t="s">
        <v>3829</v>
      </c>
      <c r="H1584" s="3" t="s">
        <v>1775</v>
      </c>
      <c r="I1584" s="5">
        <v>1169</v>
      </c>
      <c r="J1584" s="3" t="s">
        <v>11</v>
      </c>
      <c r="K1584" t="e">
        <f>MATCH(A1584,Database!$A$2:$A$948,0)</f>
        <v>#N/A</v>
      </c>
      <c r="L1584" t="e">
        <f>VLOOKUP(A1584,Database!$A$2:$I$948,4,0)</f>
        <v>#N/A</v>
      </c>
      <c r="M1584" t="e">
        <f t="shared" si="51"/>
        <v>#N/A</v>
      </c>
      <c r="N1584" t="e">
        <f>VLOOKUP(A1584,Database!$A$2:$I$948,5,0)</f>
        <v>#N/A</v>
      </c>
    </row>
    <row r="1585" spans="1:14" hidden="1" x14ac:dyDescent="0.35">
      <c r="A1585" s="3">
        <v>103404487</v>
      </c>
      <c r="B1585" s="3" t="s">
        <v>3830</v>
      </c>
      <c r="C1585" s="3" t="str">
        <f t="shared" si="50"/>
        <v>2022-07-05</v>
      </c>
      <c r="D1585" s="3" t="s">
        <v>9</v>
      </c>
      <c r="E1585" s="3" t="s">
        <v>5</v>
      </c>
      <c r="F1585" s="3" t="s">
        <v>10</v>
      </c>
      <c r="G1585" s="3" t="s">
        <v>3831</v>
      </c>
      <c r="H1585" s="3" t="s">
        <v>3832</v>
      </c>
      <c r="I1585" s="4">
        <v>6195.66</v>
      </c>
      <c r="J1585" s="3" t="s">
        <v>11</v>
      </c>
      <c r="K1585" t="e">
        <f>MATCH(A1585,Database!$A$2:$A$948,0)</f>
        <v>#N/A</v>
      </c>
      <c r="L1585" t="e">
        <f>VLOOKUP(A1585,Database!$A$2:$I$948,4,0)</f>
        <v>#N/A</v>
      </c>
      <c r="M1585" t="e">
        <f t="shared" si="51"/>
        <v>#N/A</v>
      </c>
      <c r="N1585" t="e">
        <f>VLOOKUP(A1585,Database!$A$2:$I$948,5,0)</f>
        <v>#N/A</v>
      </c>
    </row>
    <row r="1586" spans="1:14" hidden="1" x14ac:dyDescent="0.35">
      <c r="A1586" s="3">
        <v>103404482</v>
      </c>
      <c r="B1586" s="3" t="s">
        <v>3833</v>
      </c>
      <c r="C1586" s="3" t="str">
        <f t="shared" si="50"/>
        <v>2022-07-05</v>
      </c>
      <c r="D1586" s="3" t="s">
        <v>9</v>
      </c>
      <c r="E1586" s="3" t="s">
        <v>5</v>
      </c>
      <c r="F1586" s="3" t="s">
        <v>10</v>
      </c>
      <c r="G1586" s="3" t="s">
        <v>3834</v>
      </c>
      <c r="H1586" s="3" t="s">
        <v>3835</v>
      </c>
      <c r="I1586" s="3">
        <v>369</v>
      </c>
      <c r="J1586" s="3" t="s">
        <v>11</v>
      </c>
      <c r="K1586" t="e">
        <f>MATCH(A1586,Database!$A$2:$A$948,0)</f>
        <v>#N/A</v>
      </c>
      <c r="L1586" t="e">
        <f>VLOOKUP(A1586,Database!$A$2:$I$948,4,0)</f>
        <v>#N/A</v>
      </c>
      <c r="M1586" t="e">
        <f t="shared" si="51"/>
        <v>#N/A</v>
      </c>
      <c r="N1586" t="e">
        <f>VLOOKUP(A1586,Database!$A$2:$I$948,5,0)</f>
        <v>#N/A</v>
      </c>
    </row>
    <row r="1587" spans="1:14" hidden="1" x14ac:dyDescent="0.35">
      <c r="A1587" s="3">
        <v>103404480</v>
      </c>
      <c r="B1587" s="3" t="s">
        <v>3836</v>
      </c>
      <c r="C1587" s="3" t="str">
        <f t="shared" si="50"/>
        <v>2022-07-05</v>
      </c>
      <c r="D1587" s="3" t="s">
        <v>9</v>
      </c>
      <c r="E1587" s="3" t="s">
        <v>5</v>
      </c>
      <c r="F1587" s="3" t="s">
        <v>12</v>
      </c>
      <c r="G1587" s="3" t="s">
        <v>3837</v>
      </c>
      <c r="H1587" s="3" t="s">
        <v>3838</v>
      </c>
      <c r="I1587" s="5">
        <v>6299</v>
      </c>
      <c r="J1587" s="3" t="s">
        <v>11</v>
      </c>
      <c r="K1587" t="e">
        <f>MATCH(A1587,Database!$A$2:$A$948,0)</f>
        <v>#N/A</v>
      </c>
      <c r="L1587" t="e">
        <f>VLOOKUP(A1587,Database!$A$2:$I$948,4,0)</f>
        <v>#N/A</v>
      </c>
      <c r="M1587" t="e">
        <f t="shared" si="51"/>
        <v>#N/A</v>
      </c>
      <c r="N1587" t="e">
        <f>VLOOKUP(A1587,Database!$A$2:$I$948,5,0)</f>
        <v>#N/A</v>
      </c>
    </row>
    <row r="1588" spans="1:14" hidden="1" x14ac:dyDescent="0.35">
      <c r="A1588" s="3">
        <v>103404565</v>
      </c>
      <c r="B1588" s="3" t="s">
        <v>3839</v>
      </c>
      <c r="C1588" s="3" t="str">
        <f t="shared" si="50"/>
        <v>2022-07-05</v>
      </c>
      <c r="D1588" s="3" t="s">
        <v>9</v>
      </c>
      <c r="E1588" s="3" t="s">
        <v>5</v>
      </c>
      <c r="F1588" s="3" t="s">
        <v>10</v>
      </c>
      <c r="G1588" s="3" t="s">
        <v>3840</v>
      </c>
      <c r="H1588" s="3" t="s">
        <v>3841</v>
      </c>
      <c r="I1588" s="4">
        <v>2494.89</v>
      </c>
      <c r="J1588" s="3" t="s">
        <v>11</v>
      </c>
      <c r="K1588" t="e">
        <f>MATCH(A1588,Database!$A$2:$A$948,0)</f>
        <v>#N/A</v>
      </c>
      <c r="L1588" t="e">
        <f>VLOOKUP(A1588,Database!$A$2:$I$948,4,0)</f>
        <v>#N/A</v>
      </c>
      <c r="M1588" t="e">
        <f t="shared" si="51"/>
        <v>#N/A</v>
      </c>
      <c r="N1588" t="e">
        <f>VLOOKUP(A1588,Database!$A$2:$I$948,5,0)</f>
        <v>#N/A</v>
      </c>
    </row>
    <row r="1589" spans="1:14" hidden="1" x14ac:dyDescent="0.35">
      <c r="A1589" s="3">
        <v>103404476</v>
      </c>
      <c r="B1589" s="3" t="s">
        <v>3842</v>
      </c>
      <c r="C1589" s="3" t="str">
        <f t="shared" si="50"/>
        <v>2022-07-05</v>
      </c>
      <c r="D1589" s="3" t="s">
        <v>9</v>
      </c>
      <c r="E1589" s="3" t="s">
        <v>5</v>
      </c>
      <c r="F1589" s="3" t="s">
        <v>10</v>
      </c>
      <c r="G1589" s="3" t="s">
        <v>3843</v>
      </c>
      <c r="H1589" s="3" t="s">
        <v>3844</v>
      </c>
      <c r="I1589" s="5">
        <v>2359</v>
      </c>
      <c r="J1589" s="3" t="s">
        <v>11</v>
      </c>
      <c r="K1589" t="e">
        <f>MATCH(A1589,Database!$A$2:$A$948,0)</f>
        <v>#N/A</v>
      </c>
      <c r="L1589" t="e">
        <f>VLOOKUP(A1589,Database!$A$2:$I$948,4,0)</f>
        <v>#N/A</v>
      </c>
      <c r="M1589" t="e">
        <f t="shared" si="51"/>
        <v>#N/A</v>
      </c>
      <c r="N1589" t="e">
        <f>VLOOKUP(A1589,Database!$A$2:$I$948,5,0)</f>
        <v>#N/A</v>
      </c>
    </row>
    <row r="1590" spans="1:14" hidden="1" x14ac:dyDescent="0.35">
      <c r="A1590" s="3">
        <v>103404462</v>
      </c>
      <c r="B1590" s="3" t="s">
        <v>3845</v>
      </c>
      <c r="C1590" s="3" t="str">
        <f t="shared" si="50"/>
        <v>2022-07-05</v>
      </c>
      <c r="D1590" s="3" t="s">
        <v>9</v>
      </c>
      <c r="E1590" s="3" t="s">
        <v>5</v>
      </c>
      <c r="F1590" s="3" t="s">
        <v>10</v>
      </c>
      <c r="G1590" s="3" t="s">
        <v>3846</v>
      </c>
      <c r="H1590" s="3" t="s">
        <v>3847</v>
      </c>
      <c r="I1590" s="3">
        <v>419</v>
      </c>
      <c r="J1590" s="3" t="s">
        <v>11</v>
      </c>
      <c r="K1590" t="e">
        <f>MATCH(A1590,Database!$A$2:$A$948,0)</f>
        <v>#N/A</v>
      </c>
      <c r="L1590" t="e">
        <f>VLOOKUP(A1590,Database!$A$2:$I$948,4,0)</f>
        <v>#N/A</v>
      </c>
      <c r="M1590" t="e">
        <f t="shared" si="51"/>
        <v>#N/A</v>
      </c>
      <c r="N1590" t="e">
        <f>VLOOKUP(A1590,Database!$A$2:$I$948,5,0)</f>
        <v>#N/A</v>
      </c>
    </row>
    <row r="1591" spans="1:14" hidden="1" x14ac:dyDescent="0.35">
      <c r="A1591" s="3">
        <v>103404472</v>
      </c>
      <c r="B1591" s="3" t="s">
        <v>3848</v>
      </c>
      <c r="C1591" s="3" t="str">
        <f t="shared" si="50"/>
        <v>2022-07-05</v>
      </c>
      <c r="D1591" s="3" t="s">
        <v>9</v>
      </c>
      <c r="E1591" s="3" t="s">
        <v>5</v>
      </c>
      <c r="F1591" s="3" t="s">
        <v>10</v>
      </c>
      <c r="G1591" s="3" t="s">
        <v>1625</v>
      </c>
      <c r="H1591" s="3" t="s">
        <v>3849</v>
      </c>
      <c r="I1591" s="4">
        <v>4321.55</v>
      </c>
      <c r="J1591" s="3" t="s">
        <v>11</v>
      </c>
      <c r="K1591" t="e">
        <f>MATCH(A1591,Database!$A$2:$A$948,0)</f>
        <v>#N/A</v>
      </c>
      <c r="L1591" t="e">
        <f>VLOOKUP(A1591,Database!$A$2:$I$948,4,0)</f>
        <v>#N/A</v>
      </c>
      <c r="M1591" t="e">
        <f t="shared" si="51"/>
        <v>#N/A</v>
      </c>
      <c r="N1591" t="e">
        <f>VLOOKUP(A1591,Database!$A$2:$I$948,5,0)</f>
        <v>#N/A</v>
      </c>
    </row>
    <row r="1592" spans="1:14" hidden="1" x14ac:dyDescent="0.35">
      <c r="A1592" s="3">
        <v>103404467</v>
      </c>
      <c r="B1592" s="3" t="s">
        <v>3850</v>
      </c>
      <c r="C1592" s="3" t="str">
        <f t="shared" si="50"/>
        <v>2022-07-05</v>
      </c>
      <c r="D1592" s="3" t="s">
        <v>9</v>
      </c>
      <c r="E1592" s="3" t="s">
        <v>5</v>
      </c>
      <c r="F1592" s="3" t="s">
        <v>10</v>
      </c>
      <c r="G1592" s="3" t="s">
        <v>3851</v>
      </c>
      <c r="H1592" s="3" t="s">
        <v>3852</v>
      </c>
      <c r="I1592" s="3">
        <v>838.42</v>
      </c>
      <c r="J1592" s="3" t="s">
        <v>11</v>
      </c>
      <c r="K1592" t="e">
        <f>MATCH(A1592,Database!$A$2:$A$948,0)</f>
        <v>#N/A</v>
      </c>
      <c r="L1592" t="e">
        <f>VLOOKUP(A1592,Database!$A$2:$I$948,4,0)</f>
        <v>#N/A</v>
      </c>
      <c r="M1592" t="e">
        <f t="shared" si="51"/>
        <v>#N/A</v>
      </c>
      <c r="N1592" t="e">
        <f>VLOOKUP(A1592,Database!$A$2:$I$948,5,0)</f>
        <v>#N/A</v>
      </c>
    </row>
    <row r="1593" spans="1:14" hidden="1" x14ac:dyDescent="0.35">
      <c r="A1593" s="3">
        <v>103404362</v>
      </c>
      <c r="B1593" s="3" t="s">
        <v>3853</v>
      </c>
      <c r="C1593" s="3" t="str">
        <f t="shared" si="50"/>
        <v>2022-07-05</v>
      </c>
      <c r="D1593" s="3" t="s">
        <v>9</v>
      </c>
      <c r="E1593" s="3" t="s">
        <v>5</v>
      </c>
      <c r="F1593" s="3" t="s">
        <v>10</v>
      </c>
      <c r="G1593" s="3" t="s">
        <v>3854</v>
      </c>
      <c r="H1593" s="3" t="s">
        <v>3855</v>
      </c>
      <c r="I1593" s="5">
        <v>1988</v>
      </c>
      <c r="J1593" s="3" t="s">
        <v>11</v>
      </c>
      <c r="K1593" t="e">
        <f>MATCH(A1593,Database!$A$2:$A$948,0)</f>
        <v>#N/A</v>
      </c>
      <c r="L1593" t="e">
        <f>VLOOKUP(A1593,Database!$A$2:$I$948,4,0)</f>
        <v>#N/A</v>
      </c>
      <c r="M1593" t="e">
        <f t="shared" si="51"/>
        <v>#N/A</v>
      </c>
      <c r="N1593" t="e">
        <f>VLOOKUP(A1593,Database!$A$2:$I$948,5,0)</f>
        <v>#N/A</v>
      </c>
    </row>
    <row r="1594" spans="1:14" hidden="1" x14ac:dyDescent="0.35">
      <c r="A1594" s="3">
        <v>103404361</v>
      </c>
      <c r="B1594" s="3" t="s">
        <v>3856</v>
      </c>
      <c r="C1594" s="3" t="str">
        <f t="shared" si="50"/>
        <v>2022-07-05</v>
      </c>
      <c r="D1594" s="3" t="s">
        <v>9</v>
      </c>
      <c r="E1594" s="3" t="s">
        <v>5</v>
      </c>
      <c r="F1594" s="3" t="s">
        <v>10</v>
      </c>
      <c r="G1594" s="3" t="s">
        <v>3857</v>
      </c>
      <c r="H1594" s="3" t="s">
        <v>3858</v>
      </c>
      <c r="I1594" s="5">
        <v>2469</v>
      </c>
      <c r="J1594" s="3" t="s">
        <v>11</v>
      </c>
      <c r="K1594" t="e">
        <f>MATCH(A1594,Database!$A$2:$A$948,0)</f>
        <v>#N/A</v>
      </c>
      <c r="L1594" t="e">
        <f>VLOOKUP(A1594,Database!$A$2:$I$948,4,0)</f>
        <v>#N/A</v>
      </c>
      <c r="M1594" t="e">
        <f t="shared" si="51"/>
        <v>#N/A</v>
      </c>
      <c r="N1594" t="e">
        <f>VLOOKUP(A1594,Database!$A$2:$I$948,5,0)</f>
        <v>#N/A</v>
      </c>
    </row>
    <row r="1595" spans="1:14" hidden="1" x14ac:dyDescent="0.35">
      <c r="A1595" s="3">
        <v>103404459</v>
      </c>
      <c r="B1595" s="3" t="s">
        <v>3859</v>
      </c>
      <c r="C1595" s="3" t="str">
        <f t="shared" si="50"/>
        <v>2022-07-05</v>
      </c>
      <c r="D1595" s="3" t="s">
        <v>9</v>
      </c>
      <c r="E1595" s="3" t="s">
        <v>5</v>
      </c>
      <c r="F1595" s="3" t="s">
        <v>10</v>
      </c>
      <c r="G1595" s="3" t="s">
        <v>3860</v>
      </c>
      <c r="H1595" s="3" t="s">
        <v>3861</v>
      </c>
      <c r="I1595" s="5">
        <v>1099</v>
      </c>
      <c r="J1595" s="3" t="s">
        <v>11</v>
      </c>
      <c r="K1595" t="e">
        <f>MATCH(A1595,Database!$A$2:$A$948,0)</f>
        <v>#N/A</v>
      </c>
      <c r="L1595" t="e">
        <f>VLOOKUP(A1595,Database!$A$2:$I$948,4,0)</f>
        <v>#N/A</v>
      </c>
      <c r="M1595" t="e">
        <f t="shared" si="51"/>
        <v>#N/A</v>
      </c>
      <c r="N1595" t="e">
        <f>VLOOKUP(A1595,Database!$A$2:$I$948,5,0)</f>
        <v>#N/A</v>
      </c>
    </row>
    <row r="1596" spans="1:14" hidden="1" x14ac:dyDescent="0.35">
      <c r="A1596" s="3">
        <v>103404343</v>
      </c>
      <c r="B1596" s="3" t="s">
        <v>3862</v>
      </c>
      <c r="C1596" s="3" t="str">
        <f t="shared" si="50"/>
        <v>2022-07-05</v>
      </c>
      <c r="D1596" s="3" t="s">
        <v>9</v>
      </c>
      <c r="E1596" s="3" t="s">
        <v>5</v>
      </c>
      <c r="F1596" s="3" t="s">
        <v>10</v>
      </c>
      <c r="G1596" s="3" t="s">
        <v>3863</v>
      </c>
      <c r="H1596" s="3" t="s">
        <v>3864</v>
      </c>
      <c r="I1596" s="4">
        <v>3419.05</v>
      </c>
      <c r="J1596" s="3" t="s">
        <v>11</v>
      </c>
      <c r="K1596" t="e">
        <f>MATCH(A1596,Database!$A$2:$A$948,0)</f>
        <v>#N/A</v>
      </c>
      <c r="L1596" t="e">
        <f>VLOOKUP(A1596,Database!$A$2:$I$948,4,0)</f>
        <v>#N/A</v>
      </c>
      <c r="M1596" t="e">
        <f t="shared" si="51"/>
        <v>#N/A</v>
      </c>
      <c r="N1596" t="e">
        <f>VLOOKUP(A1596,Database!$A$2:$I$948,5,0)</f>
        <v>#N/A</v>
      </c>
    </row>
    <row r="1597" spans="1:14" hidden="1" x14ac:dyDescent="0.35">
      <c r="A1597" s="3">
        <v>103404340</v>
      </c>
      <c r="B1597" s="3" t="s">
        <v>3865</v>
      </c>
      <c r="C1597" s="3" t="str">
        <f t="shared" si="50"/>
        <v>2022-07-05</v>
      </c>
      <c r="D1597" s="3" t="s">
        <v>9</v>
      </c>
      <c r="E1597" s="3" t="s">
        <v>5</v>
      </c>
      <c r="F1597" s="3" t="s">
        <v>10</v>
      </c>
      <c r="G1597" s="3" t="s">
        <v>3866</v>
      </c>
      <c r="H1597" s="3" t="s">
        <v>3867</v>
      </c>
      <c r="I1597" s="4">
        <v>1129.55</v>
      </c>
      <c r="J1597" s="3" t="s">
        <v>11</v>
      </c>
      <c r="K1597" t="e">
        <f>MATCH(A1597,Database!$A$2:$A$948,0)</f>
        <v>#N/A</v>
      </c>
      <c r="L1597" t="e">
        <f>VLOOKUP(A1597,Database!$A$2:$I$948,4,0)</f>
        <v>#N/A</v>
      </c>
      <c r="M1597" t="e">
        <f t="shared" si="51"/>
        <v>#N/A</v>
      </c>
      <c r="N1597" t="e">
        <f>VLOOKUP(A1597,Database!$A$2:$I$948,5,0)</f>
        <v>#N/A</v>
      </c>
    </row>
    <row r="1598" spans="1:14" hidden="1" x14ac:dyDescent="0.35">
      <c r="A1598" s="3">
        <v>103404341</v>
      </c>
      <c r="B1598" s="3" t="s">
        <v>3865</v>
      </c>
      <c r="C1598" s="3" t="str">
        <f t="shared" si="50"/>
        <v>2022-07-05</v>
      </c>
      <c r="D1598" s="3" t="s">
        <v>9</v>
      </c>
      <c r="E1598" s="3" t="s">
        <v>5</v>
      </c>
      <c r="F1598" s="3" t="s">
        <v>10</v>
      </c>
      <c r="G1598" s="3" t="s">
        <v>3868</v>
      </c>
      <c r="H1598" s="3" t="s">
        <v>3869</v>
      </c>
      <c r="I1598" s="5">
        <v>4499</v>
      </c>
      <c r="J1598" s="3" t="s">
        <v>11</v>
      </c>
      <c r="K1598" t="e">
        <f>MATCH(A1598,Database!$A$2:$A$948,0)</f>
        <v>#N/A</v>
      </c>
      <c r="L1598" t="e">
        <f>VLOOKUP(A1598,Database!$A$2:$I$948,4,0)</f>
        <v>#N/A</v>
      </c>
      <c r="M1598" t="e">
        <f t="shared" si="51"/>
        <v>#N/A</v>
      </c>
      <c r="N1598" t="e">
        <f>VLOOKUP(A1598,Database!$A$2:$I$948,5,0)</f>
        <v>#N/A</v>
      </c>
    </row>
    <row r="1599" spans="1:14" hidden="1" x14ac:dyDescent="0.35">
      <c r="A1599" s="3">
        <v>103404334</v>
      </c>
      <c r="B1599" s="3" t="s">
        <v>3870</v>
      </c>
      <c r="C1599" s="3" t="str">
        <f t="shared" si="50"/>
        <v>2022-07-05</v>
      </c>
      <c r="D1599" s="3" t="s">
        <v>9</v>
      </c>
      <c r="E1599" s="3" t="s">
        <v>5</v>
      </c>
      <c r="F1599" s="3" t="s">
        <v>10</v>
      </c>
      <c r="G1599" s="3" t="s">
        <v>3871</v>
      </c>
      <c r="H1599" s="3" t="s">
        <v>3872</v>
      </c>
      <c r="I1599" s="4">
        <v>3333.64</v>
      </c>
      <c r="J1599" s="3" t="s">
        <v>11</v>
      </c>
      <c r="K1599" t="e">
        <f>MATCH(A1599,Database!$A$2:$A$948,0)</f>
        <v>#N/A</v>
      </c>
      <c r="L1599" t="e">
        <f>VLOOKUP(A1599,Database!$A$2:$I$948,4,0)</f>
        <v>#N/A</v>
      </c>
      <c r="M1599" t="e">
        <f t="shared" si="51"/>
        <v>#N/A</v>
      </c>
      <c r="N1599" t="e">
        <f>VLOOKUP(A1599,Database!$A$2:$I$948,5,0)</f>
        <v>#N/A</v>
      </c>
    </row>
    <row r="1600" spans="1:14" hidden="1" x14ac:dyDescent="0.35">
      <c r="A1600" s="3">
        <v>103404333</v>
      </c>
      <c r="B1600" s="3" t="s">
        <v>3873</v>
      </c>
      <c r="C1600" s="3" t="str">
        <f t="shared" si="50"/>
        <v>2022-07-05</v>
      </c>
      <c r="D1600" s="3" t="s">
        <v>9</v>
      </c>
      <c r="E1600" s="3" t="s">
        <v>5</v>
      </c>
      <c r="F1600" s="3" t="s">
        <v>10</v>
      </c>
      <c r="G1600" s="3" t="s">
        <v>3874</v>
      </c>
      <c r="H1600" s="3" t="s">
        <v>3875</v>
      </c>
      <c r="I1600" s="5">
        <v>2999</v>
      </c>
      <c r="J1600" s="3" t="s">
        <v>13</v>
      </c>
      <c r="K1600" t="e">
        <f>MATCH(A1600,Database!$A$2:$A$948,0)</f>
        <v>#N/A</v>
      </c>
      <c r="L1600" t="e">
        <f>VLOOKUP(A1600,Database!$A$2:$I$948,4,0)</f>
        <v>#N/A</v>
      </c>
      <c r="M1600" t="e">
        <f t="shared" si="51"/>
        <v>#N/A</v>
      </c>
      <c r="N1600" t="e">
        <f>VLOOKUP(A1600,Database!$A$2:$I$948,5,0)</f>
        <v>#N/A</v>
      </c>
    </row>
    <row r="1601" spans="1:14" hidden="1" x14ac:dyDescent="0.35">
      <c r="A1601" s="3">
        <v>103404449</v>
      </c>
      <c r="B1601" s="3" t="s">
        <v>3876</v>
      </c>
      <c r="C1601" s="3" t="str">
        <f t="shared" si="50"/>
        <v>2022-07-05</v>
      </c>
      <c r="D1601" s="3" t="s">
        <v>9</v>
      </c>
      <c r="E1601" s="3" t="s">
        <v>5</v>
      </c>
      <c r="F1601" s="3" t="s">
        <v>12</v>
      </c>
      <c r="G1601" s="3" t="s">
        <v>3877</v>
      </c>
      <c r="H1601" s="3" t="s">
        <v>3878</v>
      </c>
      <c r="I1601" s="5">
        <v>4799</v>
      </c>
      <c r="J1601" s="3" t="s">
        <v>11</v>
      </c>
      <c r="K1601" t="e">
        <f>MATCH(A1601,Database!$A$2:$A$948,0)</f>
        <v>#N/A</v>
      </c>
      <c r="L1601" t="e">
        <f>VLOOKUP(A1601,Database!$A$2:$I$948,4,0)</f>
        <v>#N/A</v>
      </c>
      <c r="M1601" t="e">
        <f t="shared" si="51"/>
        <v>#N/A</v>
      </c>
      <c r="N1601" t="e">
        <f>VLOOKUP(A1601,Database!$A$2:$I$948,5,0)</f>
        <v>#N/A</v>
      </c>
    </row>
    <row r="1602" spans="1:14" hidden="1" x14ac:dyDescent="0.35">
      <c r="A1602" s="3">
        <v>103404330</v>
      </c>
      <c r="B1602" s="3" t="s">
        <v>3879</v>
      </c>
      <c r="C1602" s="3" t="str">
        <f t="shared" si="50"/>
        <v>2022-07-05</v>
      </c>
      <c r="D1602" s="3" t="s">
        <v>9</v>
      </c>
      <c r="E1602" s="3" t="s">
        <v>5</v>
      </c>
      <c r="F1602" s="3" t="s">
        <v>12</v>
      </c>
      <c r="G1602" s="3" t="s">
        <v>3880</v>
      </c>
      <c r="H1602" s="3" t="s">
        <v>3881</v>
      </c>
      <c r="I1602" s="3">
        <v>899</v>
      </c>
      <c r="J1602" s="3" t="s">
        <v>11</v>
      </c>
      <c r="K1602" t="e">
        <f>MATCH(A1602,Database!$A$2:$A$948,0)</f>
        <v>#N/A</v>
      </c>
      <c r="L1602" t="e">
        <f>VLOOKUP(A1602,Database!$A$2:$I$948,4,0)</f>
        <v>#N/A</v>
      </c>
      <c r="M1602" t="e">
        <f t="shared" si="51"/>
        <v>#N/A</v>
      </c>
      <c r="N1602" t="e">
        <f>VLOOKUP(A1602,Database!$A$2:$I$948,5,0)</f>
        <v>#N/A</v>
      </c>
    </row>
    <row r="1603" spans="1:14" hidden="1" x14ac:dyDescent="0.35">
      <c r="A1603" s="3">
        <v>103404444</v>
      </c>
      <c r="B1603" s="3" t="s">
        <v>3882</v>
      </c>
      <c r="C1603" s="3" t="str">
        <f t="shared" ref="C1603:C1665" si="52">LEFT(B1603,FIND("T",B1603)-1)</f>
        <v>2022-07-05</v>
      </c>
      <c r="D1603" s="3" t="s">
        <v>9</v>
      </c>
      <c r="E1603" s="3" t="s">
        <v>5</v>
      </c>
      <c r="F1603" s="3" t="s">
        <v>10</v>
      </c>
      <c r="G1603" s="3" t="s">
        <v>3883</v>
      </c>
      <c r="H1603" s="3" t="s">
        <v>3884</v>
      </c>
      <c r="I1603" s="4">
        <v>2326.5500000000002</v>
      </c>
      <c r="J1603" s="3" t="s">
        <v>11</v>
      </c>
      <c r="K1603" t="e">
        <f>MATCH(A1603,Database!$A$2:$A$948,0)</f>
        <v>#N/A</v>
      </c>
      <c r="L1603" t="e">
        <f>VLOOKUP(A1603,Database!$A$2:$I$948,4,0)</f>
        <v>#N/A</v>
      </c>
      <c r="M1603" t="e">
        <f t="shared" si="51"/>
        <v>#N/A</v>
      </c>
      <c r="N1603" t="e">
        <f>VLOOKUP(A1603,Database!$A$2:$I$948,5,0)</f>
        <v>#N/A</v>
      </c>
    </row>
    <row r="1604" spans="1:14" hidden="1" x14ac:dyDescent="0.35">
      <c r="A1604" s="3">
        <v>103404327</v>
      </c>
      <c r="B1604" s="3" t="s">
        <v>3885</v>
      </c>
      <c r="C1604" s="3" t="str">
        <f t="shared" si="52"/>
        <v>2022-07-05</v>
      </c>
      <c r="D1604" s="3" t="s">
        <v>9</v>
      </c>
      <c r="E1604" s="3" t="s">
        <v>5</v>
      </c>
      <c r="F1604" s="3" t="s">
        <v>10</v>
      </c>
      <c r="G1604" s="3" t="s">
        <v>3886</v>
      </c>
      <c r="H1604" s="3" t="s">
        <v>3887</v>
      </c>
      <c r="I1604" s="3">
        <v>389</v>
      </c>
      <c r="J1604" s="3" t="s">
        <v>11</v>
      </c>
      <c r="K1604" t="e">
        <f>MATCH(A1604,Database!$A$2:$A$948,0)</f>
        <v>#N/A</v>
      </c>
      <c r="L1604" t="e">
        <f>VLOOKUP(A1604,Database!$A$2:$I$948,4,0)</f>
        <v>#N/A</v>
      </c>
      <c r="M1604" t="e">
        <f t="shared" si="51"/>
        <v>#N/A</v>
      </c>
      <c r="N1604" t="e">
        <f>VLOOKUP(A1604,Database!$A$2:$I$948,5,0)</f>
        <v>#N/A</v>
      </c>
    </row>
    <row r="1605" spans="1:14" hidden="1" x14ac:dyDescent="0.35">
      <c r="A1605" s="3">
        <v>103404440</v>
      </c>
      <c r="B1605" s="3" t="s">
        <v>3888</v>
      </c>
      <c r="C1605" s="3" t="str">
        <f t="shared" si="52"/>
        <v>2022-07-05</v>
      </c>
      <c r="D1605" s="3" t="s">
        <v>9</v>
      </c>
      <c r="E1605" s="3" t="s">
        <v>5</v>
      </c>
      <c r="F1605" s="3" t="s">
        <v>10</v>
      </c>
      <c r="G1605" s="3" t="s">
        <v>3889</v>
      </c>
      <c r="H1605" s="3" t="s">
        <v>3890</v>
      </c>
      <c r="I1605" s="5">
        <v>1489</v>
      </c>
      <c r="J1605" s="3" t="s">
        <v>11</v>
      </c>
      <c r="K1605" t="e">
        <f>MATCH(A1605,Database!$A$2:$A$948,0)</f>
        <v>#N/A</v>
      </c>
      <c r="L1605" t="e">
        <f>VLOOKUP(A1605,Database!$A$2:$I$948,4,0)</f>
        <v>#N/A</v>
      </c>
      <c r="M1605" t="e">
        <f t="shared" si="51"/>
        <v>#N/A</v>
      </c>
      <c r="N1605" t="e">
        <f>VLOOKUP(A1605,Database!$A$2:$I$948,5,0)</f>
        <v>#N/A</v>
      </c>
    </row>
    <row r="1606" spans="1:14" hidden="1" x14ac:dyDescent="0.35">
      <c r="A1606" s="3">
        <v>103404438</v>
      </c>
      <c r="B1606" s="3" t="s">
        <v>3891</v>
      </c>
      <c r="C1606" s="3" t="str">
        <f t="shared" si="52"/>
        <v>2022-07-05</v>
      </c>
      <c r="D1606" s="3" t="s">
        <v>9</v>
      </c>
      <c r="E1606" s="3" t="s">
        <v>5</v>
      </c>
      <c r="F1606" s="3" t="s">
        <v>10</v>
      </c>
      <c r="G1606" s="3" t="s">
        <v>3892</v>
      </c>
      <c r="H1606" s="3" t="s">
        <v>3893</v>
      </c>
      <c r="I1606" s="4">
        <v>1424.05</v>
      </c>
      <c r="J1606" s="3" t="s">
        <v>11</v>
      </c>
      <c r="K1606" t="e">
        <f>MATCH(A1606,Database!$A$2:$A$948,0)</f>
        <v>#N/A</v>
      </c>
      <c r="L1606" t="e">
        <f>VLOOKUP(A1606,Database!$A$2:$I$948,4,0)</f>
        <v>#N/A</v>
      </c>
      <c r="M1606" t="e">
        <f t="shared" si="51"/>
        <v>#N/A</v>
      </c>
      <c r="N1606" t="e">
        <f>VLOOKUP(A1606,Database!$A$2:$I$948,5,0)</f>
        <v>#N/A</v>
      </c>
    </row>
    <row r="1607" spans="1:14" hidden="1" x14ac:dyDescent="0.35">
      <c r="A1607" s="3">
        <v>103404439</v>
      </c>
      <c r="B1607" s="3" t="s">
        <v>3891</v>
      </c>
      <c r="C1607" s="3" t="str">
        <f t="shared" si="52"/>
        <v>2022-07-05</v>
      </c>
      <c r="D1607" s="3" t="s">
        <v>9</v>
      </c>
      <c r="E1607" s="3" t="s">
        <v>5</v>
      </c>
      <c r="F1607" s="3" t="s">
        <v>10</v>
      </c>
      <c r="G1607" s="3" t="s">
        <v>3894</v>
      </c>
      <c r="H1607" s="3" t="s">
        <v>3895</v>
      </c>
      <c r="I1607" s="5">
        <v>2359</v>
      </c>
      <c r="J1607" s="3" t="s">
        <v>11</v>
      </c>
      <c r="K1607" t="e">
        <f>MATCH(A1607,Database!$A$2:$A$948,0)</f>
        <v>#N/A</v>
      </c>
      <c r="L1607" t="e">
        <f>VLOOKUP(A1607,Database!$A$2:$I$948,4,0)</f>
        <v>#N/A</v>
      </c>
      <c r="M1607" t="e">
        <f t="shared" si="51"/>
        <v>#N/A</v>
      </c>
      <c r="N1607" t="e">
        <f>VLOOKUP(A1607,Database!$A$2:$I$948,5,0)</f>
        <v>#N/A</v>
      </c>
    </row>
    <row r="1608" spans="1:14" hidden="1" x14ac:dyDescent="0.35">
      <c r="A1608" s="3">
        <v>103404322</v>
      </c>
      <c r="B1608" s="3" t="s">
        <v>3896</v>
      </c>
      <c r="C1608" s="3" t="str">
        <f t="shared" si="52"/>
        <v>2022-07-05</v>
      </c>
      <c r="D1608" s="3" t="s">
        <v>9</v>
      </c>
      <c r="E1608" s="3" t="s">
        <v>5</v>
      </c>
      <c r="F1608" s="3" t="s">
        <v>10</v>
      </c>
      <c r="G1608" s="3" t="s">
        <v>3897</v>
      </c>
      <c r="H1608" s="3" t="s">
        <v>3898</v>
      </c>
      <c r="I1608" s="3">
        <v>585.72</v>
      </c>
      <c r="J1608" s="3" t="s">
        <v>11</v>
      </c>
      <c r="K1608" t="e">
        <f>MATCH(A1608,Database!$A$2:$A$948,0)</f>
        <v>#N/A</v>
      </c>
      <c r="L1608" t="e">
        <f>VLOOKUP(A1608,Database!$A$2:$I$948,4,0)</f>
        <v>#N/A</v>
      </c>
      <c r="M1608" t="e">
        <f t="shared" si="51"/>
        <v>#N/A</v>
      </c>
      <c r="N1608" t="e">
        <f>VLOOKUP(A1608,Database!$A$2:$I$948,5,0)</f>
        <v>#N/A</v>
      </c>
    </row>
    <row r="1609" spans="1:14" hidden="1" x14ac:dyDescent="0.35">
      <c r="A1609" s="3">
        <v>103404432</v>
      </c>
      <c r="B1609" s="3" t="s">
        <v>3899</v>
      </c>
      <c r="C1609" s="3" t="str">
        <f t="shared" si="52"/>
        <v>2022-07-05</v>
      </c>
      <c r="D1609" s="3" t="s">
        <v>9</v>
      </c>
      <c r="E1609" s="3" t="s">
        <v>5</v>
      </c>
      <c r="F1609" s="3" t="s">
        <v>10</v>
      </c>
      <c r="G1609" s="3" t="s">
        <v>3900</v>
      </c>
      <c r="H1609" s="3" t="s">
        <v>3901</v>
      </c>
      <c r="I1609" s="4">
        <v>3656.55</v>
      </c>
      <c r="J1609" s="3" t="s">
        <v>11</v>
      </c>
      <c r="K1609" t="e">
        <f>MATCH(A1609,Database!$A$2:$A$948,0)</f>
        <v>#N/A</v>
      </c>
      <c r="L1609" t="e">
        <f>VLOOKUP(A1609,Database!$A$2:$I$948,4,0)</f>
        <v>#N/A</v>
      </c>
      <c r="M1609" t="e">
        <f t="shared" si="51"/>
        <v>#N/A</v>
      </c>
      <c r="N1609" t="e">
        <f>VLOOKUP(A1609,Database!$A$2:$I$948,5,0)</f>
        <v>#N/A</v>
      </c>
    </row>
    <row r="1610" spans="1:14" hidden="1" x14ac:dyDescent="0.35">
      <c r="A1610" s="3">
        <v>103404430</v>
      </c>
      <c r="B1610" s="3" t="s">
        <v>3902</v>
      </c>
      <c r="C1610" s="3" t="str">
        <f t="shared" si="52"/>
        <v>2022-07-05</v>
      </c>
      <c r="D1610" s="3" t="s">
        <v>9</v>
      </c>
      <c r="E1610" s="3" t="s">
        <v>5</v>
      </c>
      <c r="F1610" s="3" t="s">
        <v>12</v>
      </c>
      <c r="G1610" s="3" t="s">
        <v>3903</v>
      </c>
      <c r="H1610" s="3" t="s">
        <v>3904</v>
      </c>
      <c r="I1610" s="5">
        <v>1259</v>
      </c>
      <c r="J1610" s="3" t="s">
        <v>11</v>
      </c>
      <c r="K1610" t="e">
        <f>MATCH(A1610,Database!$A$2:$A$948,0)</f>
        <v>#N/A</v>
      </c>
      <c r="L1610" t="e">
        <f>VLOOKUP(A1610,Database!$A$2:$I$948,4,0)</f>
        <v>#N/A</v>
      </c>
      <c r="M1610" t="e">
        <f t="shared" si="51"/>
        <v>#N/A</v>
      </c>
      <c r="N1610" t="e">
        <f>VLOOKUP(A1610,Database!$A$2:$I$948,5,0)</f>
        <v>#N/A</v>
      </c>
    </row>
    <row r="1611" spans="1:14" hidden="1" x14ac:dyDescent="0.35">
      <c r="A1611" s="3">
        <v>103404429</v>
      </c>
      <c r="B1611" s="3" t="s">
        <v>3905</v>
      </c>
      <c r="C1611" s="3" t="str">
        <f t="shared" si="52"/>
        <v>2022-07-05</v>
      </c>
      <c r="D1611" s="3" t="s">
        <v>9</v>
      </c>
      <c r="E1611" s="3" t="s">
        <v>5</v>
      </c>
      <c r="F1611" s="3" t="s">
        <v>12</v>
      </c>
      <c r="G1611" s="3" t="s">
        <v>3906</v>
      </c>
      <c r="H1611" s="3" t="s">
        <v>3907</v>
      </c>
      <c r="I1611" s="5">
        <v>1299</v>
      </c>
      <c r="J1611" s="3" t="s">
        <v>11</v>
      </c>
      <c r="K1611" t="e">
        <f>MATCH(A1611,Database!$A$2:$A$948,0)</f>
        <v>#N/A</v>
      </c>
      <c r="L1611" t="e">
        <f>VLOOKUP(A1611,Database!$A$2:$I$948,4,0)</f>
        <v>#N/A</v>
      </c>
      <c r="M1611" t="e">
        <f t="shared" si="51"/>
        <v>#N/A</v>
      </c>
      <c r="N1611" t="e">
        <f>VLOOKUP(A1611,Database!$A$2:$I$948,5,0)</f>
        <v>#N/A</v>
      </c>
    </row>
    <row r="1612" spans="1:14" hidden="1" x14ac:dyDescent="0.35">
      <c r="A1612" s="3">
        <v>103404319</v>
      </c>
      <c r="B1612" s="3" t="s">
        <v>3908</v>
      </c>
      <c r="C1612" s="3" t="str">
        <f t="shared" si="52"/>
        <v>2022-07-05</v>
      </c>
      <c r="D1612" s="3" t="s">
        <v>9</v>
      </c>
      <c r="E1612" s="3" t="s">
        <v>5</v>
      </c>
      <c r="F1612" s="3" t="s">
        <v>10</v>
      </c>
      <c r="G1612" s="3" t="s">
        <v>3909</v>
      </c>
      <c r="H1612" s="3" t="s">
        <v>3910</v>
      </c>
      <c r="I1612" s="5">
        <v>2449</v>
      </c>
      <c r="J1612" s="3" t="s">
        <v>11</v>
      </c>
      <c r="K1612" t="e">
        <f>MATCH(A1612,Database!$A$2:$A$948,0)</f>
        <v>#N/A</v>
      </c>
      <c r="L1612" t="e">
        <f>VLOOKUP(A1612,Database!$A$2:$I$948,4,0)</f>
        <v>#N/A</v>
      </c>
      <c r="M1612" t="e">
        <f t="shared" ref="M1612:M1665" si="53">I1612=L1612</f>
        <v>#N/A</v>
      </c>
      <c r="N1612" t="e">
        <f>VLOOKUP(A1612,Database!$A$2:$I$948,5,0)</f>
        <v>#N/A</v>
      </c>
    </row>
    <row r="1613" spans="1:14" hidden="1" x14ac:dyDescent="0.35">
      <c r="A1613" s="3">
        <v>103404318</v>
      </c>
      <c r="B1613" s="3" t="s">
        <v>3911</v>
      </c>
      <c r="C1613" s="3" t="str">
        <f t="shared" si="52"/>
        <v>2022-07-05</v>
      </c>
      <c r="D1613" s="3" t="s">
        <v>9</v>
      </c>
      <c r="E1613" s="3" t="s">
        <v>5</v>
      </c>
      <c r="F1613" s="3" t="s">
        <v>10</v>
      </c>
      <c r="G1613" s="3" t="s">
        <v>3912</v>
      </c>
      <c r="H1613" s="3" t="s">
        <v>3913</v>
      </c>
      <c r="I1613" s="5">
        <v>2129</v>
      </c>
      <c r="J1613" s="3" t="s">
        <v>11</v>
      </c>
      <c r="K1613" t="e">
        <f>MATCH(A1613,Database!$A$2:$A$948,0)</f>
        <v>#N/A</v>
      </c>
      <c r="L1613" t="e">
        <f>VLOOKUP(A1613,Database!$A$2:$I$948,4,0)</f>
        <v>#N/A</v>
      </c>
      <c r="M1613" t="e">
        <f t="shared" si="53"/>
        <v>#N/A</v>
      </c>
      <c r="N1613" t="e">
        <f>VLOOKUP(A1613,Database!$A$2:$I$948,5,0)</f>
        <v>#N/A</v>
      </c>
    </row>
    <row r="1614" spans="1:14" hidden="1" x14ac:dyDescent="0.35">
      <c r="A1614" s="3">
        <v>103404312</v>
      </c>
      <c r="B1614" s="3" t="s">
        <v>3914</v>
      </c>
      <c r="C1614" s="3" t="str">
        <f t="shared" si="52"/>
        <v>2022-07-05</v>
      </c>
      <c r="D1614" s="3" t="s">
        <v>9</v>
      </c>
      <c r="E1614" s="3" t="s">
        <v>5</v>
      </c>
      <c r="F1614" s="3" t="s">
        <v>10</v>
      </c>
      <c r="G1614" s="3" t="s">
        <v>3915</v>
      </c>
      <c r="H1614" s="3" t="s">
        <v>3916</v>
      </c>
      <c r="I1614" s="5">
        <v>1269</v>
      </c>
      <c r="J1614" s="3" t="s">
        <v>11</v>
      </c>
      <c r="K1614" t="e">
        <f>MATCH(A1614,Database!$A$2:$A$948,0)</f>
        <v>#N/A</v>
      </c>
      <c r="L1614" t="e">
        <f>VLOOKUP(A1614,Database!$A$2:$I$948,4,0)</f>
        <v>#N/A</v>
      </c>
      <c r="M1614" t="e">
        <f t="shared" si="53"/>
        <v>#N/A</v>
      </c>
      <c r="N1614" t="e">
        <f>VLOOKUP(A1614,Database!$A$2:$I$948,5,0)</f>
        <v>#N/A</v>
      </c>
    </row>
    <row r="1615" spans="1:14" hidden="1" x14ac:dyDescent="0.35">
      <c r="A1615" s="3">
        <v>103404426</v>
      </c>
      <c r="B1615" s="3" t="s">
        <v>3917</v>
      </c>
      <c r="C1615" s="3" t="str">
        <f t="shared" si="52"/>
        <v>2022-07-05</v>
      </c>
      <c r="D1615" s="3" t="s">
        <v>9</v>
      </c>
      <c r="E1615" s="3" t="s">
        <v>5</v>
      </c>
      <c r="F1615" s="3" t="s">
        <v>12</v>
      </c>
      <c r="G1615" s="3" t="s">
        <v>3918</v>
      </c>
      <c r="H1615" s="3" t="s">
        <v>3919</v>
      </c>
      <c r="I1615" s="5">
        <v>1819</v>
      </c>
      <c r="J1615" s="3" t="s">
        <v>11</v>
      </c>
      <c r="K1615" t="e">
        <f>MATCH(A1615,Database!$A$2:$A$948,0)</f>
        <v>#N/A</v>
      </c>
      <c r="L1615" t="e">
        <f>VLOOKUP(A1615,Database!$A$2:$I$948,4,0)</f>
        <v>#N/A</v>
      </c>
      <c r="M1615" t="e">
        <f t="shared" si="53"/>
        <v>#N/A</v>
      </c>
      <c r="N1615" t="e">
        <f>VLOOKUP(A1615,Database!$A$2:$I$948,5,0)</f>
        <v>#N/A</v>
      </c>
    </row>
    <row r="1616" spans="1:14" hidden="1" x14ac:dyDescent="0.35">
      <c r="A1616" s="3">
        <v>103404311</v>
      </c>
      <c r="B1616" s="3" t="s">
        <v>3920</v>
      </c>
      <c r="C1616" s="3" t="str">
        <f t="shared" si="52"/>
        <v>2022-07-05</v>
      </c>
      <c r="D1616" s="3" t="s">
        <v>9</v>
      </c>
      <c r="E1616" s="3" t="s">
        <v>5</v>
      </c>
      <c r="F1616" s="3" t="s">
        <v>10</v>
      </c>
      <c r="G1616" s="3" t="s">
        <v>3921</v>
      </c>
      <c r="H1616" s="3" t="s">
        <v>3922</v>
      </c>
      <c r="I1616" s="3">
        <v>779</v>
      </c>
      <c r="J1616" s="3" t="s">
        <v>11</v>
      </c>
      <c r="K1616" t="e">
        <f>MATCH(A1616,Database!$A$2:$A$948,0)</f>
        <v>#N/A</v>
      </c>
      <c r="L1616" t="e">
        <f>VLOOKUP(A1616,Database!$A$2:$I$948,4,0)</f>
        <v>#N/A</v>
      </c>
      <c r="M1616" t="e">
        <f t="shared" si="53"/>
        <v>#N/A</v>
      </c>
      <c r="N1616" t="e">
        <f>VLOOKUP(A1616,Database!$A$2:$I$948,5,0)</f>
        <v>#N/A</v>
      </c>
    </row>
    <row r="1617" spans="1:14" hidden="1" x14ac:dyDescent="0.35">
      <c r="A1617" s="3">
        <v>103404424</v>
      </c>
      <c r="B1617" s="3" t="s">
        <v>3923</v>
      </c>
      <c r="C1617" s="3" t="str">
        <f t="shared" si="52"/>
        <v>2022-07-05</v>
      </c>
      <c r="D1617" s="3" t="s">
        <v>9</v>
      </c>
      <c r="E1617" s="3" t="s">
        <v>5</v>
      </c>
      <c r="F1617" s="3" t="s">
        <v>10</v>
      </c>
      <c r="G1617" s="3" t="s">
        <v>3924</v>
      </c>
      <c r="H1617" s="3" t="s">
        <v>3925</v>
      </c>
      <c r="I1617" s="5">
        <v>1649</v>
      </c>
      <c r="J1617" s="3" t="s">
        <v>11</v>
      </c>
      <c r="K1617" t="e">
        <f>MATCH(A1617,Database!$A$2:$A$948,0)</f>
        <v>#N/A</v>
      </c>
      <c r="L1617" t="e">
        <f>VLOOKUP(A1617,Database!$A$2:$I$948,4,0)</f>
        <v>#N/A</v>
      </c>
      <c r="M1617" t="e">
        <f t="shared" si="53"/>
        <v>#N/A</v>
      </c>
      <c r="N1617" t="e">
        <f>VLOOKUP(A1617,Database!$A$2:$I$948,5,0)</f>
        <v>#N/A</v>
      </c>
    </row>
    <row r="1618" spans="1:14" hidden="1" x14ac:dyDescent="0.35">
      <c r="A1618" s="3">
        <v>103404423</v>
      </c>
      <c r="B1618" s="3" t="s">
        <v>3926</v>
      </c>
      <c r="C1618" s="3" t="str">
        <f t="shared" si="52"/>
        <v>2022-07-05</v>
      </c>
      <c r="D1618" s="3" t="s">
        <v>9</v>
      </c>
      <c r="E1618" s="3" t="s">
        <v>5</v>
      </c>
      <c r="F1618" s="3" t="s">
        <v>10</v>
      </c>
      <c r="G1618" s="3" t="s">
        <v>3927</v>
      </c>
      <c r="H1618" s="3" t="s">
        <v>3928</v>
      </c>
      <c r="I1618" s="4">
        <v>2222.14</v>
      </c>
      <c r="J1618" s="3" t="s">
        <v>11</v>
      </c>
      <c r="K1618" t="e">
        <f>MATCH(A1618,Database!$A$2:$A$948,0)</f>
        <v>#N/A</v>
      </c>
      <c r="L1618" t="e">
        <f>VLOOKUP(A1618,Database!$A$2:$I$948,4,0)</f>
        <v>#N/A</v>
      </c>
      <c r="M1618" t="e">
        <f t="shared" si="53"/>
        <v>#N/A</v>
      </c>
      <c r="N1618" t="e">
        <f>VLOOKUP(A1618,Database!$A$2:$I$948,5,0)</f>
        <v>#N/A</v>
      </c>
    </row>
    <row r="1619" spans="1:14" hidden="1" x14ac:dyDescent="0.35">
      <c r="A1619" s="3">
        <v>103404421</v>
      </c>
      <c r="B1619" s="3" t="s">
        <v>3929</v>
      </c>
      <c r="C1619" s="3" t="str">
        <f t="shared" si="52"/>
        <v>2022-07-05</v>
      </c>
      <c r="D1619" s="3" t="s">
        <v>9</v>
      </c>
      <c r="E1619" s="3" t="s">
        <v>5</v>
      </c>
      <c r="F1619" s="3" t="s">
        <v>10</v>
      </c>
      <c r="G1619" s="3" t="s">
        <v>3930</v>
      </c>
      <c r="H1619" s="3" t="s">
        <v>3931</v>
      </c>
      <c r="I1619" s="4">
        <v>4559.05</v>
      </c>
      <c r="J1619" s="3" t="s">
        <v>11</v>
      </c>
      <c r="K1619" t="e">
        <f>MATCH(A1619,Database!$A$2:$A$948,0)</f>
        <v>#N/A</v>
      </c>
      <c r="L1619" t="e">
        <f>VLOOKUP(A1619,Database!$A$2:$I$948,4,0)</f>
        <v>#N/A</v>
      </c>
      <c r="M1619" t="e">
        <f t="shared" si="53"/>
        <v>#N/A</v>
      </c>
      <c r="N1619" t="e">
        <f>VLOOKUP(A1619,Database!$A$2:$I$948,5,0)</f>
        <v>#N/A</v>
      </c>
    </row>
    <row r="1620" spans="1:14" hidden="1" x14ac:dyDescent="0.35">
      <c r="A1620" s="3">
        <v>103404308</v>
      </c>
      <c r="B1620" s="3" t="s">
        <v>3932</v>
      </c>
      <c r="C1620" s="3" t="str">
        <f t="shared" si="52"/>
        <v>2022-07-05</v>
      </c>
      <c r="D1620" s="3" t="s">
        <v>9</v>
      </c>
      <c r="E1620" s="3" t="s">
        <v>5</v>
      </c>
      <c r="F1620" s="3" t="s">
        <v>10</v>
      </c>
      <c r="G1620" s="3" t="s">
        <v>3933</v>
      </c>
      <c r="H1620" s="3" t="s">
        <v>3934</v>
      </c>
      <c r="I1620" s="3">
        <v>768.55</v>
      </c>
      <c r="J1620" s="3" t="s">
        <v>11</v>
      </c>
      <c r="K1620" t="e">
        <f>MATCH(A1620,Database!$A$2:$A$948,0)</f>
        <v>#N/A</v>
      </c>
      <c r="L1620" t="e">
        <f>VLOOKUP(A1620,Database!$A$2:$I$948,4,0)</f>
        <v>#N/A</v>
      </c>
      <c r="M1620" t="e">
        <f t="shared" si="53"/>
        <v>#N/A</v>
      </c>
      <c r="N1620" t="e">
        <f>VLOOKUP(A1620,Database!$A$2:$I$948,5,0)</f>
        <v>#N/A</v>
      </c>
    </row>
    <row r="1621" spans="1:14" hidden="1" x14ac:dyDescent="0.35">
      <c r="A1621" s="3">
        <v>103404307</v>
      </c>
      <c r="B1621" s="3" t="s">
        <v>3935</v>
      </c>
      <c r="C1621" s="3" t="str">
        <f t="shared" si="52"/>
        <v>2022-07-05</v>
      </c>
      <c r="D1621" s="3" t="s">
        <v>9</v>
      </c>
      <c r="E1621" s="3" t="s">
        <v>5</v>
      </c>
      <c r="F1621" s="3" t="s">
        <v>12</v>
      </c>
      <c r="G1621" s="3" t="s">
        <v>3936</v>
      </c>
      <c r="H1621" s="3" t="s">
        <v>3937</v>
      </c>
      <c r="I1621" s="5">
        <v>1169</v>
      </c>
      <c r="J1621" s="3" t="s">
        <v>11</v>
      </c>
      <c r="K1621" t="e">
        <f>MATCH(A1621,Database!$A$2:$A$948,0)</f>
        <v>#N/A</v>
      </c>
      <c r="L1621" t="e">
        <f>VLOOKUP(A1621,Database!$A$2:$I$948,4,0)</f>
        <v>#N/A</v>
      </c>
      <c r="M1621" t="e">
        <f t="shared" si="53"/>
        <v>#N/A</v>
      </c>
      <c r="N1621" t="e">
        <f>VLOOKUP(A1621,Database!$A$2:$I$948,5,0)</f>
        <v>#N/A</v>
      </c>
    </row>
    <row r="1622" spans="1:14" hidden="1" x14ac:dyDescent="0.35">
      <c r="A1622" s="3">
        <v>103404417</v>
      </c>
      <c r="B1622" s="3" t="s">
        <v>3938</v>
      </c>
      <c r="C1622" s="3" t="str">
        <f t="shared" si="52"/>
        <v>2022-07-05</v>
      </c>
      <c r="D1622" s="3" t="s">
        <v>9</v>
      </c>
      <c r="E1622" s="3" t="s">
        <v>5</v>
      </c>
      <c r="F1622" s="3" t="s">
        <v>10</v>
      </c>
      <c r="G1622" s="3" t="s">
        <v>3939</v>
      </c>
      <c r="H1622" s="3" t="s">
        <v>3940</v>
      </c>
      <c r="I1622" s="5">
        <v>1979</v>
      </c>
      <c r="J1622" s="3" t="s">
        <v>11</v>
      </c>
      <c r="K1622" t="e">
        <f>MATCH(A1622,Database!$A$2:$A$948,0)</f>
        <v>#N/A</v>
      </c>
      <c r="L1622" t="e">
        <f>VLOOKUP(A1622,Database!$A$2:$I$948,4,0)</f>
        <v>#N/A</v>
      </c>
      <c r="M1622" t="e">
        <f t="shared" si="53"/>
        <v>#N/A</v>
      </c>
      <c r="N1622" t="e">
        <f>VLOOKUP(A1622,Database!$A$2:$I$948,5,0)</f>
        <v>#N/A</v>
      </c>
    </row>
    <row r="1623" spans="1:14" hidden="1" x14ac:dyDescent="0.35">
      <c r="A1623" s="3">
        <v>103404305</v>
      </c>
      <c r="B1623" s="3" t="s">
        <v>3941</v>
      </c>
      <c r="C1623" s="3" t="str">
        <f t="shared" si="52"/>
        <v>2022-07-05</v>
      </c>
      <c r="D1623" s="3" t="s">
        <v>9</v>
      </c>
      <c r="E1623" s="3" t="s">
        <v>5</v>
      </c>
      <c r="F1623" s="3" t="s">
        <v>12</v>
      </c>
      <c r="G1623" s="3" t="s">
        <v>3942</v>
      </c>
      <c r="H1623" s="3" t="s">
        <v>3904</v>
      </c>
      <c r="I1623" s="5">
        <v>1259</v>
      </c>
      <c r="J1623" s="3" t="s">
        <v>11</v>
      </c>
      <c r="K1623" t="e">
        <f>MATCH(A1623,Database!$A$2:$A$948,0)</f>
        <v>#N/A</v>
      </c>
      <c r="L1623" t="e">
        <f>VLOOKUP(A1623,Database!$A$2:$I$948,4,0)</f>
        <v>#N/A</v>
      </c>
      <c r="M1623" t="e">
        <f t="shared" si="53"/>
        <v>#N/A</v>
      </c>
      <c r="N1623" t="e">
        <f>VLOOKUP(A1623,Database!$A$2:$I$948,5,0)</f>
        <v>#N/A</v>
      </c>
    </row>
    <row r="1624" spans="1:14" hidden="1" x14ac:dyDescent="0.35">
      <c r="A1624" s="3">
        <v>103404413</v>
      </c>
      <c r="B1624" s="3" t="s">
        <v>3943</v>
      </c>
      <c r="C1624" s="3" t="str">
        <f t="shared" si="52"/>
        <v>2022-07-05</v>
      </c>
      <c r="D1624" s="3" t="s">
        <v>9</v>
      </c>
      <c r="E1624" s="3" t="s">
        <v>5</v>
      </c>
      <c r="F1624" s="3" t="s">
        <v>12</v>
      </c>
      <c r="G1624" s="3" t="s">
        <v>3944</v>
      </c>
      <c r="H1624" s="3" t="s">
        <v>3945</v>
      </c>
      <c r="I1624" s="4">
        <v>2136.64</v>
      </c>
      <c r="J1624" s="3" t="s">
        <v>11</v>
      </c>
      <c r="K1624" t="e">
        <f>MATCH(A1624,Database!$A$2:$A$948,0)</f>
        <v>#N/A</v>
      </c>
      <c r="L1624" t="e">
        <f>VLOOKUP(A1624,Database!$A$2:$I$948,4,0)</f>
        <v>#N/A</v>
      </c>
      <c r="M1624" t="e">
        <f t="shared" si="53"/>
        <v>#N/A</v>
      </c>
      <c r="N1624" t="e">
        <f>VLOOKUP(A1624,Database!$A$2:$I$948,5,0)</f>
        <v>#N/A</v>
      </c>
    </row>
    <row r="1625" spans="1:14" hidden="1" x14ac:dyDescent="0.35">
      <c r="A1625" s="3">
        <v>103404411</v>
      </c>
      <c r="B1625" s="3" t="s">
        <v>3946</v>
      </c>
      <c r="C1625" s="3" t="str">
        <f t="shared" si="52"/>
        <v>2022-07-05</v>
      </c>
      <c r="D1625" s="3" t="s">
        <v>9</v>
      </c>
      <c r="E1625" s="3" t="s">
        <v>5</v>
      </c>
      <c r="F1625" s="3" t="s">
        <v>10</v>
      </c>
      <c r="G1625" s="3" t="s">
        <v>3947</v>
      </c>
      <c r="H1625" s="3" t="s">
        <v>3948</v>
      </c>
      <c r="I1625" s="3">
        <v>255.55</v>
      </c>
      <c r="J1625" s="3" t="s">
        <v>11</v>
      </c>
      <c r="K1625" t="e">
        <f>MATCH(A1625,Database!$A$2:$A$948,0)</f>
        <v>#N/A</v>
      </c>
      <c r="L1625" t="e">
        <f>VLOOKUP(A1625,Database!$A$2:$I$948,4,0)</f>
        <v>#N/A</v>
      </c>
      <c r="M1625" t="e">
        <f t="shared" si="53"/>
        <v>#N/A</v>
      </c>
      <c r="N1625" t="e">
        <f>VLOOKUP(A1625,Database!$A$2:$I$948,5,0)</f>
        <v>#N/A</v>
      </c>
    </row>
    <row r="1626" spans="1:14" hidden="1" x14ac:dyDescent="0.35">
      <c r="A1626" s="3">
        <v>103404409</v>
      </c>
      <c r="B1626" s="3" t="s">
        <v>3949</v>
      </c>
      <c r="C1626" s="3" t="str">
        <f t="shared" si="52"/>
        <v>2022-07-05</v>
      </c>
      <c r="D1626" s="3" t="s">
        <v>9</v>
      </c>
      <c r="E1626" s="3" t="s">
        <v>5</v>
      </c>
      <c r="F1626" s="3" t="s">
        <v>10</v>
      </c>
      <c r="G1626" s="3" t="s">
        <v>3950</v>
      </c>
      <c r="H1626" s="3" t="s">
        <v>3951</v>
      </c>
      <c r="I1626" s="5">
        <v>2749</v>
      </c>
      <c r="J1626" s="3" t="s">
        <v>11</v>
      </c>
      <c r="K1626" t="e">
        <f>MATCH(A1626,Database!$A$2:$A$948,0)</f>
        <v>#N/A</v>
      </c>
      <c r="L1626" t="e">
        <f>VLOOKUP(A1626,Database!$A$2:$I$948,4,0)</f>
        <v>#N/A</v>
      </c>
      <c r="M1626" t="e">
        <f t="shared" si="53"/>
        <v>#N/A</v>
      </c>
      <c r="N1626" t="e">
        <f>VLOOKUP(A1626,Database!$A$2:$I$948,5,0)</f>
        <v>#N/A</v>
      </c>
    </row>
    <row r="1627" spans="1:14" hidden="1" x14ac:dyDescent="0.35">
      <c r="A1627" s="3">
        <v>103404407</v>
      </c>
      <c r="B1627" s="3" t="s">
        <v>3952</v>
      </c>
      <c r="C1627" s="3" t="str">
        <f t="shared" si="52"/>
        <v>2022-07-05</v>
      </c>
      <c r="D1627" s="3" t="s">
        <v>9</v>
      </c>
      <c r="E1627" s="3" t="s">
        <v>5</v>
      </c>
      <c r="F1627" s="3" t="s">
        <v>12</v>
      </c>
      <c r="G1627" s="3" t="s">
        <v>3953</v>
      </c>
      <c r="H1627" s="3" t="s">
        <v>3954</v>
      </c>
      <c r="I1627" s="4">
        <v>3419.05</v>
      </c>
      <c r="J1627" s="3" t="s">
        <v>11</v>
      </c>
      <c r="K1627" t="e">
        <f>MATCH(A1627,Database!$A$2:$A$948,0)</f>
        <v>#N/A</v>
      </c>
      <c r="L1627" t="e">
        <f>VLOOKUP(A1627,Database!$A$2:$I$948,4,0)</f>
        <v>#N/A</v>
      </c>
      <c r="M1627" t="e">
        <f t="shared" si="53"/>
        <v>#N/A</v>
      </c>
      <c r="N1627" t="e">
        <f>VLOOKUP(A1627,Database!$A$2:$I$948,5,0)</f>
        <v>#N/A</v>
      </c>
    </row>
    <row r="1628" spans="1:14" hidden="1" x14ac:dyDescent="0.35">
      <c r="A1628" s="3">
        <v>103404298</v>
      </c>
      <c r="B1628" s="3" t="s">
        <v>3955</v>
      </c>
      <c r="C1628" s="3" t="str">
        <f t="shared" si="52"/>
        <v>2022-07-05</v>
      </c>
      <c r="D1628" s="3" t="s">
        <v>9</v>
      </c>
      <c r="E1628" s="3" t="s">
        <v>5</v>
      </c>
      <c r="F1628" s="3" t="s">
        <v>10</v>
      </c>
      <c r="G1628" s="3" t="s">
        <v>3956</v>
      </c>
      <c r="H1628" s="3" t="s">
        <v>3957</v>
      </c>
      <c r="I1628" s="3">
        <v>236.55</v>
      </c>
      <c r="J1628" s="3" t="s">
        <v>11</v>
      </c>
      <c r="K1628" t="e">
        <f>MATCH(A1628,Database!$A$2:$A$948,0)</f>
        <v>#N/A</v>
      </c>
      <c r="L1628" t="e">
        <f>VLOOKUP(A1628,Database!$A$2:$I$948,4,0)</f>
        <v>#N/A</v>
      </c>
      <c r="M1628" t="e">
        <f t="shared" si="53"/>
        <v>#N/A</v>
      </c>
      <c r="N1628" t="e">
        <f>VLOOKUP(A1628,Database!$A$2:$I$948,5,0)</f>
        <v>#N/A</v>
      </c>
    </row>
    <row r="1629" spans="1:14" hidden="1" x14ac:dyDescent="0.35">
      <c r="A1629" s="3">
        <v>103404297</v>
      </c>
      <c r="B1629" s="3" t="s">
        <v>3958</v>
      </c>
      <c r="C1629" s="3" t="str">
        <f t="shared" si="52"/>
        <v>2022-07-05</v>
      </c>
      <c r="D1629" s="3" t="s">
        <v>9</v>
      </c>
      <c r="E1629" s="3" t="s">
        <v>5</v>
      </c>
      <c r="F1629" s="3" t="s">
        <v>12</v>
      </c>
      <c r="G1629" s="3" t="s">
        <v>3959</v>
      </c>
      <c r="H1629" s="3" t="s">
        <v>3960</v>
      </c>
      <c r="I1629" s="3">
        <v>819</v>
      </c>
      <c r="J1629" s="3" t="s">
        <v>11</v>
      </c>
      <c r="K1629" t="e">
        <f>MATCH(A1629,Database!$A$2:$A$948,0)</f>
        <v>#N/A</v>
      </c>
      <c r="L1629" t="e">
        <f>VLOOKUP(A1629,Database!$A$2:$I$948,4,0)</f>
        <v>#N/A</v>
      </c>
      <c r="M1629" t="e">
        <f t="shared" si="53"/>
        <v>#N/A</v>
      </c>
      <c r="N1629" t="e">
        <f>VLOOKUP(A1629,Database!$A$2:$I$948,5,0)</f>
        <v>#N/A</v>
      </c>
    </row>
    <row r="1630" spans="1:14" hidden="1" x14ac:dyDescent="0.35">
      <c r="A1630" s="3">
        <v>103404403</v>
      </c>
      <c r="B1630" s="3" t="s">
        <v>3961</v>
      </c>
      <c r="C1630" s="3" t="str">
        <f t="shared" si="52"/>
        <v>2022-07-05</v>
      </c>
      <c r="D1630" s="3" t="s">
        <v>9</v>
      </c>
      <c r="E1630" s="3" t="s">
        <v>5</v>
      </c>
      <c r="F1630" s="3" t="s">
        <v>10</v>
      </c>
      <c r="G1630" s="3" t="s">
        <v>3962</v>
      </c>
      <c r="H1630" s="3" t="s">
        <v>3963</v>
      </c>
      <c r="I1630" s="4">
        <v>1281.55</v>
      </c>
      <c r="J1630" s="3" t="s">
        <v>11</v>
      </c>
      <c r="K1630" t="e">
        <f>MATCH(A1630,Database!$A$2:$A$948,0)</f>
        <v>#N/A</v>
      </c>
      <c r="L1630" t="e">
        <f>VLOOKUP(A1630,Database!$A$2:$I$948,4,0)</f>
        <v>#N/A</v>
      </c>
      <c r="M1630" t="e">
        <f t="shared" si="53"/>
        <v>#N/A</v>
      </c>
      <c r="N1630" t="e">
        <f>VLOOKUP(A1630,Database!$A$2:$I$948,5,0)</f>
        <v>#N/A</v>
      </c>
    </row>
    <row r="1631" spans="1:14" hidden="1" x14ac:dyDescent="0.35">
      <c r="A1631" s="3">
        <v>103404293</v>
      </c>
      <c r="B1631" s="3" t="s">
        <v>3964</v>
      </c>
      <c r="C1631" s="3" t="str">
        <f t="shared" si="52"/>
        <v>2022-07-05</v>
      </c>
      <c r="D1631" s="3" t="s">
        <v>9</v>
      </c>
      <c r="E1631" s="3" t="s">
        <v>5</v>
      </c>
      <c r="F1631" s="3" t="s">
        <v>10</v>
      </c>
      <c r="G1631" s="3" t="s">
        <v>3965</v>
      </c>
      <c r="H1631" s="3" t="s">
        <v>3966</v>
      </c>
      <c r="I1631" s="5">
        <v>2799</v>
      </c>
      <c r="J1631" s="3" t="s">
        <v>11</v>
      </c>
      <c r="K1631" t="e">
        <f>MATCH(A1631,Database!$A$2:$A$948,0)</f>
        <v>#N/A</v>
      </c>
      <c r="L1631" t="e">
        <f>VLOOKUP(A1631,Database!$A$2:$I$948,4,0)</f>
        <v>#N/A</v>
      </c>
      <c r="M1631" t="e">
        <f t="shared" si="53"/>
        <v>#N/A</v>
      </c>
      <c r="N1631" t="e">
        <f>VLOOKUP(A1631,Database!$A$2:$I$948,5,0)</f>
        <v>#N/A</v>
      </c>
    </row>
    <row r="1632" spans="1:14" hidden="1" x14ac:dyDescent="0.35">
      <c r="A1632" s="3">
        <v>103404399</v>
      </c>
      <c r="B1632" s="3" t="s">
        <v>3967</v>
      </c>
      <c r="C1632" s="3" t="str">
        <f t="shared" si="52"/>
        <v>2022-07-05</v>
      </c>
      <c r="D1632" s="3" t="s">
        <v>9</v>
      </c>
      <c r="E1632" s="3" t="s">
        <v>5</v>
      </c>
      <c r="F1632" s="3" t="s">
        <v>10</v>
      </c>
      <c r="G1632" s="3" t="s">
        <v>3968</v>
      </c>
      <c r="H1632" s="3" t="s">
        <v>3969</v>
      </c>
      <c r="I1632" s="5">
        <v>1649</v>
      </c>
      <c r="J1632" s="3" t="s">
        <v>11</v>
      </c>
      <c r="K1632" t="e">
        <f>MATCH(A1632,Database!$A$2:$A$948,0)</f>
        <v>#N/A</v>
      </c>
      <c r="L1632" t="e">
        <f>VLOOKUP(A1632,Database!$A$2:$I$948,4,0)</f>
        <v>#N/A</v>
      </c>
      <c r="M1632" t="e">
        <f t="shared" si="53"/>
        <v>#N/A</v>
      </c>
      <c r="N1632" t="e">
        <f>VLOOKUP(A1632,Database!$A$2:$I$948,5,0)</f>
        <v>#N/A</v>
      </c>
    </row>
    <row r="1633" spans="1:14" hidden="1" x14ac:dyDescent="0.35">
      <c r="A1633" s="3">
        <v>103404291</v>
      </c>
      <c r="B1633" s="3" t="s">
        <v>3967</v>
      </c>
      <c r="C1633" s="3" t="str">
        <f t="shared" si="52"/>
        <v>2022-07-05</v>
      </c>
      <c r="D1633" s="3" t="s">
        <v>9</v>
      </c>
      <c r="E1633" s="3" t="s">
        <v>5</v>
      </c>
      <c r="F1633" s="3" t="s">
        <v>10</v>
      </c>
      <c r="G1633" s="3" t="s">
        <v>3970</v>
      </c>
      <c r="H1633" s="3" t="s">
        <v>3971</v>
      </c>
      <c r="I1633" s="5">
        <v>1499</v>
      </c>
      <c r="J1633" s="3" t="s">
        <v>11</v>
      </c>
      <c r="K1633" t="e">
        <f>MATCH(A1633,Database!$A$2:$A$948,0)</f>
        <v>#N/A</v>
      </c>
      <c r="L1633" t="e">
        <f>VLOOKUP(A1633,Database!$A$2:$I$948,4,0)</f>
        <v>#N/A</v>
      </c>
      <c r="M1633" t="e">
        <f t="shared" si="53"/>
        <v>#N/A</v>
      </c>
      <c r="N1633" t="e">
        <f>VLOOKUP(A1633,Database!$A$2:$I$948,5,0)</f>
        <v>#N/A</v>
      </c>
    </row>
    <row r="1634" spans="1:14" hidden="1" x14ac:dyDescent="0.35">
      <c r="A1634" s="3">
        <v>103404398</v>
      </c>
      <c r="B1634" s="3" t="s">
        <v>3967</v>
      </c>
      <c r="C1634" s="3" t="str">
        <f t="shared" si="52"/>
        <v>2022-07-05</v>
      </c>
      <c r="D1634" s="3" t="s">
        <v>9</v>
      </c>
      <c r="E1634" s="3" t="s">
        <v>5</v>
      </c>
      <c r="F1634" s="3" t="s">
        <v>10</v>
      </c>
      <c r="G1634" s="3" t="s">
        <v>3972</v>
      </c>
      <c r="H1634" s="3" t="s">
        <v>3973</v>
      </c>
      <c r="I1634" s="4">
        <v>1880.14</v>
      </c>
      <c r="J1634" s="3" t="s">
        <v>11</v>
      </c>
      <c r="K1634" t="e">
        <f>MATCH(A1634,Database!$A$2:$A$948,0)</f>
        <v>#N/A</v>
      </c>
      <c r="L1634" t="e">
        <f>VLOOKUP(A1634,Database!$A$2:$I$948,4,0)</f>
        <v>#N/A</v>
      </c>
      <c r="M1634" t="e">
        <f t="shared" si="53"/>
        <v>#N/A</v>
      </c>
      <c r="N1634" t="e">
        <f>VLOOKUP(A1634,Database!$A$2:$I$948,5,0)</f>
        <v>#N/A</v>
      </c>
    </row>
    <row r="1635" spans="1:14" hidden="1" x14ac:dyDescent="0.35">
      <c r="A1635" s="3">
        <v>103404290</v>
      </c>
      <c r="B1635" s="3" t="s">
        <v>3974</v>
      </c>
      <c r="C1635" s="3" t="str">
        <f t="shared" si="52"/>
        <v>2022-07-05</v>
      </c>
      <c r="D1635" s="3" t="s">
        <v>9</v>
      </c>
      <c r="E1635" s="3" t="s">
        <v>5</v>
      </c>
      <c r="F1635" s="3" t="s">
        <v>12</v>
      </c>
      <c r="G1635" s="3" t="s">
        <v>3975</v>
      </c>
      <c r="H1635" s="3" t="s">
        <v>3976</v>
      </c>
      <c r="I1635" s="5">
        <v>1169</v>
      </c>
      <c r="J1635" s="3" t="s">
        <v>11</v>
      </c>
      <c r="K1635" t="e">
        <f>MATCH(A1635,Database!$A$2:$A$948,0)</f>
        <v>#N/A</v>
      </c>
      <c r="L1635" t="e">
        <f>VLOOKUP(A1635,Database!$A$2:$I$948,4,0)</f>
        <v>#N/A</v>
      </c>
      <c r="M1635" t="e">
        <f t="shared" si="53"/>
        <v>#N/A</v>
      </c>
      <c r="N1635" t="e">
        <f>VLOOKUP(A1635,Database!$A$2:$I$948,5,0)</f>
        <v>#N/A</v>
      </c>
    </row>
    <row r="1636" spans="1:14" hidden="1" x14ac:dyDescent="0.35">
      <c r="A1636" s="3">
        <v>103404396</v>
      </c>
      <c r="B1636" s="3" t="s">
        <v>3977</v>
      </c>
      <c r="C1636" s="3" t="str">
        <f t="shared" si="52"/>
        <v>2022-07-05</v>
      </c>
      <c r="D1636" s="3" t="s">
        <v>9</v>
      </c>
      <c r="E1636" s="3" t="s">
        <v>5</v>
      </c>
      <c r="F1636" s="3" t="s">
        <v>10</v>
      </c>
      <c r="G1636" s="3" t="s">
        <v>3978</v>
      </c>
      <c r="H1636" s="3" t="s">
        <v>3979</v>
      </c>
      <c r="I1636" s="4">
        <v>2991.55</v>
      </c>
      <c r="J1636" s="3" t="s">
        <v>11</v>
      </c>
      <c r="K1636" t="e">
        <f>MATCH(A1636,Database!$A$2:$A$948,0)</f>
        <v>#N/A</v>
      </c>
      <c r="L1636" t="e">
        <f>VLOOKUP(A1636,Database!$A$2:$I$948,4,0)</f>
        <v>#N/A</v>
      </c>
      <c r="M1636" t="e">
        <f t="shared" si="53"/>
        <v>#N/A</v>
      </c>
      <c r="N1636" t="e">
        <f>VLOOKUP(A1636,Database!$A$2:$I$948,5,0)</f>
        <v>#N/A</v>
      </c>
    </row>
    <row r="1637" spans="1:14" hidden="1" x14ac:dyDescent="0.35">
      <c r="A1637" s="3">
        <v>103404288</v>
      </c>
      <c r="B1637" s="3" t="s">
        <v>3980</v>
      </c>
      <c r="C1637" s="3" t="str">
        <f t="shared" si="52"/>
        <v>2022-07-05</v>
      </c>
      <c r="D1637" s="3" t="s">
        <v>9</v>
      </c>
      <c r="E1637" s="3" t="s">
        <v>5</v>
      </c>
      <c r="F1637" s="3" t="s">
        <v>10</v>
      </c>
      <c r="G1637" s="3" t="s">
        <v>3208</v>
      </c>
      <c r="H1637" s="3" t="s">
        <v>3209</v>
      </c>
      <c r="I1637" s="4">
        <v>1709.05</v>
      </c>
      <c r="J1637" s="3" t="s">
        <v>11</v>
      </c>
      <c r="K1637" t="e">
        <f>MATCH(A1637,Database!$A$2:$A$948,0)</f>
        <v>#N/A</v>
      </c>
      <c r="L1637" t="e">
        <f>VLOOKUP(A1637,Database!$A$2:$I$948,4,0)</f>
        <v>#N/A</v>
      </c>
      <c r="M1637" t="e">
        <f t="shared" si="53"/>
        <v>#N/A</v>
      </c>
      <c r="N1637" t="e">
        <f>VLOOKUP(A1637,Database!$A$2:$I$948,5,0)</f>
        <v>#N/A</v>
      </c>
    </row>
    <row r="1638" spans="1:14" hidden="1" x14ac:dyDescent="0.35">
      <c r="A1638" s="3">
        <v>103404286</v>
      </c>
      <c r="B1638" s="3" t="s">
        <v>3981</v>
      </c>
      <c r="C1638" s="3" t="str">
        <f t="shared" si="52"/>
        <v>2022-07-05</v>
      </c>
      <c r="D1638" s="3" t="s">
        <v>9</v>
      </c>
      <c r="E1638" s="3" t="s">
        <v>5</v>
      </c>
      <c r="F1638" s="3" t="s">
        <v>10</v>
      </c>
      <c r="G1638" s="3" t="s">
        <v>3982</v>
      </c>
      <c r="H1638" s="3" t="s">
        <v>3983</v>
      </c>
      <c r="I1638" s="5">
        <v>1099</v>
      </c>
      <c r="J1638" s="3" t="s">
        <v>11</v>
      </c>
      <c r="K1638" t="e">
        <f>MATCH(A1638,Database!$A$2:$A$948,0)</f>
        <v>#N/A</v>
      </c>
      <c r="L1638" t="e">
        <f>VLOOKUP(A1638,Database!$A$2:$I$948,4,0)</f>
        <v>#N/A</v>
      </c>
      <c r="M1638" t="e">
        <f t="shared" si="53"/>
        <v>#N/A</v>
      </c>
      <c r="N1638" t="e">
        <f>VLOOKUP(A1638,Database!$A$2:$I$948,5,0)</f>
        <v>#N/A</v>
      </c>
    </row>
    <row r="1639" spans="1:14" hidden="1" x14ac:dyDescent="0.35">
      <c r="A1639" s="3">
        <v>103404393</v>
      </c>
      <c r="B1639" s="3" t="s">
        <v>3984</v>
      </c>
      <c r="C1639" s="3" t="str">
        <f t="shared" si="52"/>
        <v>2022-07-05</v>
      </c>
      <c r="D1639" s="3" t="s">
        <v>9</v>
      </c>
      <c r="E1639" s="3" t="s">
        <v>5</v>
      </c>
      <c r="F1639" s="3" t="s">
        <v>10</v>
      </c>
      <c r="G1639" s="3" t="s">
        <v>3985</v>
      </c>
      <c r="H1639" s="3" t="s">
        <v>3986</v>
      </c>
      <c r="I1639" s="4">
        <v>3491.25</v>
      </c>
      <c r="J1639" s="3" t="s">
        <v>11</v>
      </c>
      <c r="K1639" t="e">
        <f>MATCH(A1639,Database!$A$2:$A$948,0)</f>
        <v>#N/A</v>
      </c>
      <c r="L1639" t="e">
        <f>VLOOKUP(A1639,Database!$A$2:$I$948,4,0)</f>
        <v>#N/A</v>
      </c>
      <c r="M1639" t="e">
        <f t="shared" si="53"/>
        <v>#N/A</v>
      </c>
      <c r="N1639" t="e">
        <f>VLOOKUP(A1639,Database!$A$2:$I$948,5,0)</f>
        <v>#N/A</v>
      </c>
    </row>
    <row r="1640" spans="1:14" hidden="1" x14ac:dyDescent="0.35">
      <c r="A1640" s="3">
        <v>103404388</v>
      </c>
      <c r="B1640" s="3" t="s">
        <v>3987</v>
      </c>
      <c r="C1640" s="3" t="str">
        <f t="shared" si="52"/>
        <v>2022-07-05</v>
      </c>
      <c r="D1640" s="3" t="s">
        <v>9</v>
      </c>
      <c r="E1640" s="3" t="s">
        <v>5</v>
      </c>
      <c r="F1640" s="3" t="s">
        <v>12</v>
      </c>
      <c r="G1640" s="3" t="s">
        <v>3988</v>
      </c>
      <c r="H1640" s="3" t="s">
        <v>3989</v>
      </c>
      <c r="I1640" s="4">
        <v>10349.299999999999</v>
      </c>
      <c r="J1640" s="3" t="s">
        <v>11</v>
      </c>
      <c r="K1640" t="e">
        <f>MATCH(A1640,Database!$A$2:$A$948,0)</f>
        <v>#N/A</v>
      </c>
      <c r="L1640" t="e">
        <f>VLOOKUP(A1640,Database!$A$2:$I$948,4,0)</f>
        <v>#N/A</v>
      </c>
      <c r="M1640" t="e">
        <f t="shared" si="53"/>
        <v>#N/A</v>
      </c>
      <c r="N1640" t="e">
        <f>VLOOKUP(A1640,Database!$A$2:$I$948,5,0)</f>
        <v>#N/A</v>
      </c>
    </row>
    <row r="1641" spans="1:14" hidden="1" x14ac:dyDescent="0.35">
      <c r="A1641" s="3">
        <v>103404386</v>
      </c>
      <c r="B1641" s="3" t="s">
        <v>3990</v>
      </c>
      <c r="C1641" s="3" t="str">
        <f t="shared" si="52"/>
        <v>2022-07-05</v>
      </c>
      <c r="D1641" s="3" t="s">
        <v>9</v>
      </c>
      <c r="E1641" s="3" t="s">
        <v>5</v>
      </c>
      <c r="F1641" s="3" t="s">
        <v>10</v>
      </c>
      <c r="G1641" s="3" t="s">
        <v>3991</v>
      </c>
      <c r="H1641" s="3" t="s">
        <v>3992</v>
      </c>
      <c r="I1641" s="5">
        <v>3747</v>
      </c>
      <c r="J1641" s="3" t="s">
        <v>11</v>
      </c>
      <c r="K1641" t="e">
        <f>MATCH(A1641,Database!$A$2:$A$948,0)</f>
        <v>#N/A</v>
      </c>
      <c r="L1641" t="e">
        <f>VLOOKUP(A1641,Database!$A$2:$I$948,4,0)</f>
        <v>#N/A</v>
      </c>
      <c r="M1641" t="e">
        <f t="shared" si="53"/>
        <v>#N/A</v>
      </c>
      <c r="N1641" t="e">
        <f>VLOOKUP(A1641,Database!$A$2:$I$948,5,0)</f>
        <v>#N/A</v>
      </c>
    </row>
    <row r="1642" spans="1:14" hidden="1" x14ac:dyDescent="0.35">
      <c r="A1642" s="3">
        <v>103404384</v>
      </c>
      <c r="B1642" s="3" t="s">
        <v>3993</v>
      </c>
      <c r="C1642" s="3" t="str">
        <f t="shared" si="52"/>
        <v>2022-07-05</v>
      </c>
      <c r="D1642" s="3" t="s">
        <v>9</v>
      </c>
      <c r="E1642" s="3" t="s">
        <v>5</v>
      </c>
      <c r="F1642" s="3" t="s">
        <v>10</v>
      </c>
      <c r="G1642" s="3" t="s">
        <v>3994</v>
      </c>
      <c r="H1642" s="3" t="s">
        <v>3995</v>
      </c>
      <c r="I1642" s="5">
        <v>1399</v>
      </c>
      <c r="J1642" s="3" t="s">
        <v>11</v>
      </c>
      <c r="K1642" t="e">
        <f>MATCH(A1642,Database!$A$2:$A$948,0)</f>
        <v>#N/A</v>
      </c>
      <c r="L1642" t="e">
        <f>VLOOKUP(A1642,Database!$A$2:$I$948,4,0)</f>
        <v>#N/A</v>
      </c>
      <c r="M1642" t="e">
        <f t="shared" si="53"/>
        <v>#N/A</v>
      </c>
      <c r="N1642" t="e">
        <f>VLOOKUP(A1642,Database!$A$2:$I$948,5,0)</f>
        <v>#N/A</v>
      </c>
    </row>
    <row r="1643" spans="1:14" hidden="1" x14ac:dyDescent="0.35">
      <c r="A1643" s="3">
        <v>103404383</v>
      </c>
      <c r="B1643" s="3" t="s">
        <v>3996</v>
      </c>
      <c r="C1643" s="3" t="str">
        <f t="shared" si="52"/>
        <v>2022-07-05</v>
      </c>
      <c r="D1643" s="3" t="s">
        <v>9</v>
      </c>
      <c r="E1643" s="3" t="s">
        <v>5</v>
      </c>
      <c r="F1643" s="3" t="s">
        <v>10</v>
      </c>
      <c r="G1643" s="3" t="s">
        <v>3997</v>
      </c>
      <c r="H1643" s="3" t="s">
        <v>3998</v>
      </c>
      <c r="I1643" s="4">
        <v>1281.55</v>
      </c>
      <c r="J1643" s="3" t="s">
        <v>11</v>
      </c>
      <c r="K1643" t="e">
        <f>MATCH(A1643,Database!$A$2:$A$948,0)</f>
        <v>#N/A</v>
      </c>
      <c r="L1643" t="e">
        <f>VLOOKUP(A1643,Database!$A$2:$I$948,4,0)</f>
        <v>#N/A</v>
      </c>
      <c r="M1643" t="e">
        <f t="shared" si="53"/>
        <v>#N/A</v>
      </c>
      <c r="N1643" t="e">
        <f>VLOOKUP(A1643,Database!$A$2:$I$948,5,0)</f>
        <v>#N/A</v>
      </c>
    </row>
    <row r="1644" spans="1:14" hidden="1" x14ac:dyDescent="0.35">
      <c r="A1644" s="3">
        <v>103404376</v>
      </c>
      <c r="B1644" s="3" t="s">
        <v>3999</v>
      </c>
      <c r="C1644" s="3" t="str">
        <f t="shared" si="52"/>
        <v>2022-07-05</v>
      </c>
      <c r="D1644" s="3" t="s">
        <v>9</v>
      </c>
      <c r="E1644" s="3" t="s">
        <v>5</v>
      </c>
      <c r="F1644" s="3" t="s">
        <v>10</v>
      </c>
      <c r="G1644" s="3" t="s">
        <v>4000</v>
      </c>
      <c r="H1644" s="3" t="s">
        <v>4001</v>
      </c>
      <c r="I1644" s="4">
        <v>6410.6</v>
      </c>
      <c r="J1644" s="3" t="s">
        <v>11</v>
      </c>
      <c r="K1644" t="e">
        <f>MATCH(A1644,Database!$A$2:$A$948,0)</f>
        <v>#N/A</v>
      </c>
      <c r="L1644" t="e">
        <f>VLOOKUP(A1644,Database!$A$2:$I$948,4,0)</f>
        <v>#N/A</v>
      </c>
      <c r="M1644" t="e">
        <f t="shared" si="53"/>
        <v>#N/A</v>
      </c>
      <c r="N1644" t="e">
        <f>VLOOKUP(A1644,Database!$A$2:$I$948,5,0)</f>
        <v>#N/A</v>
      </c>
    </row>
    <row r="1645" spans="1:14" hidden="1" x14ac:dyDescent="0.35">
      <c r="A1645" s="3">
        <v>103404277</v>
      </c>
      <c r="B1645" s="3" t="s">
        <v>4002</v>
      </c>
      <c r="C1645" s="3" t="str">
        <f t="shared" si="52"/>
        <v>2022-07-05</v>
      </c>
      <c r="D1645" s="3" t="s">
        <v>9</v>
      </c>
      <c r="E1645" s="3" t="s">
        <v>5</v>
      </c>
      <c r="F1645" s="3" t="s">
        <v>10</v>
      </c>
      <c r="G1645" s="3" t="s">
        <v>4003</v>
      </c>
      <c r="H1645" s="3" t="s">
        <v>4004</v>
      </c>
      <c r="I1645" s="4">
        <v>4321.55</v>
      </c>
      <c r="J1645" s="3" t="s">
        <v>11</v>
      </c>
      <c r="K1645" t="e">
        <f>MATCH(A1645,Database!$A$2:$A$948,0)</f>
        <v>#N/A</v>
      </c>
      <c r="L1645" t="e">
        <f>VLOOKUP(A1645,Database!$A$2:$I$948,4,0)</f>
        <v>#N/A</v>
      </c>
      <c r="M1645" t="e">
        <f t="shared" si="53"/>
        <v>#N/A</v>
      </c>
      <c r="N1645" t="e">
        <f>VLOOKUP(A1645,Database!$A$2:$I$948,5,0)</f>
        <v>#N/A</v>
      </c>
    </row>
    <row r="1646" spans="1:14" hidden="1" x14ac:dyDescent="0.35">
      <c r="A1646" s="3">
        <v>103404275</v>
      </c>
      <c r="B1646" s="3" t="s">
        <v>4005</v>
      </c>
      <c r="C1646" s="3" t="str">
        <f t="shared" si="52"/>
        <v>2022-07-05</v>
      </c>
      <c r="D1646" s="3" t="s">
        <v>9</v>
      </c>
      <c r="E1646" s="3" t="s">
        <v>5</v>
      </c>
      <c r="F1646" s="3" t="s">
        <v>10</v>
      </c>
      <c r="G1646" s="3" t="s">
        <v>4006</v>
      </c>
      <c r="H1646" s="3" t="s">
        <v>4007</v>
      </c>
      <c r="I1646" s="5">
        <v>2799</v>
      </c>
      <c r="J1646" s="3" t="s">
        <v>11</v>
      </c>
      <c r="K1646" t="e">
        <f>MATCH(A1646,Database!$A$2:$A$948,0)</f>
        <v>#N/A</v>
      </c>
      <c r="L1646" t="e">
        <f>VLOOKUP(A1646,Database!$A$2:$I$948,4,0)</f>
        <v>#N/A</v>
      </c>
      <c r="M1646" t="e">
        <f t="shared" si="53"/>
        <v>#N/A</v>
      </c>
      <c r="N1646" t="e">
        <f>VLOOKUP(A1646,Database!$A$2:$I$948,5,0)</f>
        <v>#N/A</v>
      </c>
    </row>
    <row r="1647" spans="1:14" hidden="1" x14ac:dyDescent="0.35">
      <c r="A1647" s="3">
        <v>103404273</v>
      </c>
      <c r="B1647" s="3" t="s">
        <v>4008</v>
      </c>
      <c r="C1647" s="3" t="str">
        <f t="shared" si="52"/>
        <v>2022-07-05</v>
      </c>
      <c r="D1647" s="3" t="s">
        <v>9</v>
      </c>
      <c r="E1647" s="3" t="s">
        <v>5</v>
      </c>
      <c r="F1647" s="3" t="s">
        <v>10</v>
      </c>
      <c r="G1647" s="3" t="s">
        <v>4009</v>
      </c>
      <c r="H1647" s="3" t="s">
        <v>4010</v>
      </c>
      <c r="I1647" s="5">
        <v>2499</v>
      </c>
      <c r="J1647" s="3" t="s">
        <v>11</v>
      </c>
      <c r="K1647" t="e">
        <f>MATCH(A1647,Database!$A$2:$A$948,0)</f>
        <v>#N/A</v>
      </c>
      <c r="L1647" t="e">
        <f>VLOOKUP(A1647,Database!$A$2:$I$948,4,0)</f>
        <v>#N/A</v>
      </c>
      <c r="M1647" t="e">
        <f t="shared" si="53"/>
        <v>#N/A</v>
      </c>
      <c r="N1647" t="e">
        <f>VLOOKUP(A1647,Database!$A$2:$I$948,5,0)</f>
        <v>#N/A</v>
      </c>
    </row>
    <row r="1648" spans="1:14" hidden="1" x14ac:dyDescent="0.35">
      <c r="A1648" s="3">
        <v>103404271</v>
      </c>
      <c r="B1648" s="3" t="s">
        <v>4011</v>
      </c>
      <c r="C1648" s="3" t="str">
        <f t="shared" si="52"/>
        <v>2022-07-05</v>
      </c>
      <c r="D1648" s="3" t="s">
        <v>9</v>
      </c>
      <c r="E1648" s="3" t="s">
        <v>5</v>
      </c>
      <c r="F1648" s="3" t="s">
        <v>10</v>
      </c>
      <c r="G1648" s="3" t="s">
        <v>4012</v>
      </c>
      <c r="H1648" s="3" t="s">
        <v>4013</v>
      </c>
      <c r="I1648" s="5">
        <v>4999</v>
      </c>
      <c r="J1648" s="3" t="s">
        <v>11</v>
      </c>
      <c r="K1648" t="e">
        <f>MATCH(A1648,Database!$A$2:$A$948,0)</f>
        <v>#N/A</v>
      </c>
      <c r="L1648" t="e">
        <f>VLOOKUP(A1648,Database!$A$2:$I$948,4,0)</f>
        <v>#N/A</v>
      </c>
      <c r="M1648" t="e">
        <f t="shared" si="53"/>
        <v>#N/A</v>
      </c>
      <c r="N1648" t="e">
        <f>VLOOKUP(A1648,Database!$A$2:$I$948,5,0)</f>
        <v>#N/A</v>
      </c>
    </row>
    <row r="1649" spans="1:14" hidden="1" x14ac:dyDescent="0.35">
      <c r="A1649" s="3">
        <v>103404163</v>
      </c>
      <c r="B1649" s="3" t="s">
        <v>4014</v>
      </c>
      <c r="C1649" s="3" t="str">
        <f t="shared" si="52"/>
        <v>2022-07-05</v>
      </c>
      <c r="D1649" s="3" t="s">
        <v>9</v>
      </c>
      <c r="E1649" s="3" t="s">
        <v>5</v>
      </c>
      <c r="F1649" s="3" t="s">
        <v>10</v>
      </c>
      <c r="G1649" s="3" t="s">
        <v>4015</v>
      </c>
      <c r="H1649" s="3" t="s">
        <v>4016</v>
      </c>
      <c r="I1649" s="4">
        <v>2849.05</v>
      </c>
      <c r="J1649" s="3" t="s">
        <v>11</v>
      </c>
      <c r="K1649" t="e">
        <f>MATCH(A1649,Database!$A$2:$A$948,0)</f>
        <v>#N/A</v>
      </c>
      <c r="L1649" t="e">
        <f>VLOOKUP(A1649,Database!$A$2:$I$948,4,0)</f>
        <v>#N/A</v>
      </c>
      <c r="M1649" t="e">
        <f t="shared" si="53"/>
        <v>#N/A</v>
      </c>
      <c r="N1649" t="e">
        <f>VLOOKUP(A1649,Database!$A$2:$I$948,5,0)</f>
        <v>#N/A</v>
      </c>
    </row>
    <row r="1650" spans="1:14" hidden="1" x14ac:dyDescent="0.35">
      <c r="A1650" s="3">
        <v>103404161</v>
      </c>
      <c r="B1650" s="3" t="s">
        <v>4017</v>
      </c>
      <c r="C1650" s="3" t="str">
        <f t="shared" si="52"/>
        <v>2022-07-05</v>
      </c>
      <c r="D1650" s="3" t="s">
        <v>9</v>
      </c>
      <c r="E1650" s="3" t="s">
        <v>5</v>
      </c>
      <c r="F1650" s="3" t="s">
        <v>10</v>
      </c>
      <c r="G1650" s="3" t="s">
        <v>2741</v>
      </c>
      <c r="H1650" s="3" t="s">
        <v>2742</v>
      </c>
      <c r="I1650" s="5">
        <v>1649</v>
      </c>
      <c r="J1650" s="3" t="s">
        <v>11</v>
      </c>
      <c r="K1650" t="e">
        <f>MATCH(A1650,Database!$A$2:$A$948,0)</f>
        <v>#N/A</v>
      </c>
      <c r="L1650" t="e">
        <f>VLOOKUP(A1650,Database!$A$2:$I$948,4,0)</f>
        <v>#N/A</v>
      </c>
      <c r="M1650" t="e">
        <f t="shared" si="53"/>
        <v>#N/A</v>
      </c>
      <c r="N1650" t="e">
        <f>VLOOKUP(A1650,Database!$A$2:$I$948,5,0)</f>
        <v>#N/A</v>
      </c>
    </row>
    <row r="1651" spans="1:14" hidden="1" x14ac:dyDescent="0.35">
      <c r="A1651" s="3">
        <v>103404158</v>
      </c>
      <c r="B1651" s="3" t="s">
        <v>4018</v>
      </c>
      <c r="C1651" s="3" t="str">
        <f t="shared" si="52"/>
        <v>2022-07-05</v>
      </c>
      <c r="D1651" s="3" t="s">
        <v>9</v>
      </c>
      <c r="E1651" s="3" t="s">
        <v>5</v>
      </c>
      <c r="F1651" s="3" t="s">
        <v>10</v>
      </c>
      <c r="G1651" s="3" t="s">
        <v>4019</v>
      </c>
      <c r="H1651" s="3" t="s">
        <v>4020</v>
      </c>
      <c r="I1651" s="4">
        <v>2648.79</v>
      </c>
      <c r="J1651" s="3" t="s">
        <v>11</v>
      </c>
      <c r="K1651" t="e">
        <f>MATCH(A1651,Database!$A$2:$A$948,0)</f>
        <v>#N/A</v>
      </c>
      <c r="L1651" t="e">
        <f>VLOOKUP(A1651,Database!$A$2:$I$948,4,0)</f>
        <v>#N/A</v>
      </c>
      <c r="M1651" t="e">
        <f t="shared" si="53"/>
        <v>#N/A</v>
      </c>
      <c r="N1651" t="e">
        <f>VLOOKUP(A1651,Database!$A$2:$I$948,5,0)</f>
        <v>#N/A</v>
      </c>
    </row>
    <row r="1652" spans="1:14" hidden="1" x14ac:dyDescent="0.35">
      <c r="A1652" s="3">
        <v>103404154</v>
      </c>
      <c r="B1652" s="3" t="s">
        <v>4021</v>
      </c>
      <c r="C1652" s="3" t="str">
        <f t="shared" si="52"/>
        <v>2022-07-05</v>
      </c>
      <c r="D1652" s="3" t="s">
        <v>9</v>
      </c>
      <c r="E1652" s="3" t="s">
        <v>5</v>
      </c>
      <c r="F1652" s="3" t="s">
        <v>10</v>
      </c>
      <c r="G1652" s="3" t="s">
        <v>4022</v>
      </c>
      <c r="H1652" s="3" t="s">
        <v>4023</v>
      </c>
      <c r="I1652" s="4">
        <v>2042.1</v>
      </c>
      <c r="J1652" s="3" t="s">
        <v>11</v>
      </c>
      <c r="K1652" t="e">
        <f>MATCH(A1652,Database!$A$2:$A$948,0)</f>
        <v>#N/A</v>
      </c>
      <c r="L1652" t="e">
        <f>VLOOKUP(A1652,Database!$A$2:$I$948,4,0)</f>
        <v>#N/A</v>
      </c>
      <c r="M1652" t="e">
        <f t="shared" si="53"/>
        <v>#N/A</v>
      </c>
      <c r="N1652" t="e">
        <f>VLOOKUP(A1652,Database!$A$2:$I$948,5,0)</f>
        <v>#N/A</v>
      </c>
    </row>
    <row r="1653" spans="1:14" hidden="1" x14ac:dyDescent="0.35">
      <c r="A1653" s="3">
        <v>103404153</v>
      </c>
      <c r="B1653" s="3" t="s">
        <v>4024</v>
      </c>
      <c r="C1653" s="3" t="str">
        <f t="shared" si="52"/>
        <v>2022-07-05</v>
      </c>
      <c r="D1653" s="3" t="s">
        <v>9</v>
      </c>
      <c r="E1653" s="3" t="s">
        <v>5</v>
      </c>
      <c r="F1653" s="3" t="s">
        <v>10</v>
      </c>
      <c r="G1653" s="3" t="s">
        <v>4025</v>
      </c>
      <c r="H1653" s="3" t="s">
        <v>4026</v>
      </c>
      <c r="I1653" s="4">
        <v>4274.05</v>
      </c>
      <c r="J1653" s="3" t="s">
        <v>11</v>
      </c>
      <c r="K1653" t="e">
        <f>MATCH(A1653,Database!$A$2:$A$948,0)</f>
        <v>#N/A</v>
      </c>
      <c r="L1653" t="e">
        <f>VLOOKUP(A1653,Database!$A$2:$I$948,4,0)</f>
        <v>#N/A</v>
      </c>
      <c r="M1653" t="e">
        <f t="shared" si="53"/>
        <v>#N/A</v>
      </c>
      <c r="N1653" t="e">
        <f>VLOOKUP(A1653,Database!$A$2:$I$948,5,0)</f>
        <v>#N/A</v>
      </c>
    </row>
    <row r="1654" spans="1:14" hidden="1" x14ac:dyDescent="0.35">
      <c r="A1654" s="3">
        <v>103404152</v>
      </c>
      <c r="B1654" s="3" t="s">
        <v>4027</v>
      </c>
      <c r="C1654" s="3" t="str">
        <f t="shared" si="52"/>
        <v>2022-07-05</v>
      </c>
      <c r="D1654" s="3" t="s">
        <v>9</v>
      </c>
      <c r="E1654" s="3" t="s">
        <v>5</v>
      </c>
      <c r="F1654" s="3" t="s">
        <v>10</v>
      </c>
      <c r="G1654" s="3" t="s">
        <v>4028</v>
      </c>
      <c r="H1654" s="3" t="s">
        <v>4029</v>
      </c>
      <c r="I1654" s="5">
        <v>9398</v>
      </c>
      <c r="J1654" s="3" t="s">
        <v>11</v>
      </c>
      <c r="K1654" t="e">
        <f>MATCH(A1654,Database!$A$2:$A$948,0)</f>
        <v>#N/A</v>
      </c>
      <c r="L1654" t="e">
        <f>VLOOKUP(A1654,Database!$A$2:$I$948,4,0)</f>
        <v>#N/A</v>
      </c>
      <c r="M1654" t="e">
        <f t="shared" si="53"/>
        <v>#N/A</v>
      </c>
      <c r="N1654" t="e">
        <f>VLOOKUP(A1654,Database!$A$2:$I$948,5,0)</f>
        <v>#N/A</v>
      </c>
    </row>
    <row r="1655" spans="1:14" hidden="1" x14ac:dyDescent="0.35">
      <c r="A1655" s="3">
        <v>103404260</v>
      </c>
      <c r="B1655" s="3" t="s">
        <v>4030</v>
      </c>
      <c r="C1655" s="3" t="str">
        <f t="shared" si="52"/>
        <v>2022-07-05</v>
      </c>
      <c r="D1655" s="3" t="s">
        <v>9</v>
      </c>
      <c r="E1655" s="3" t="s">
        <v>5</v>
      </c>
      <c r="F1655" s="3" t="s">
        <v>10</v>
      </c>
      <c r="G1655" s="3" t="s">
        <v>4031</v>
      </c>
      <c r="H1655" s="3" t="s">
        <v>4032</v>
      </c>
      <c r="I1655" s="4">
        <v>3704.05</v>
      </c>
      <c r="J1655" s="3" t="s">
        <v>11</v>
      </c>
      <c r="K1655" t="e">
        <f>MATCH(A1655,Database!$A$2:$A$948,0)</f>
        <v>#N/A</v>
      </c>
      <c r="L1655" t="e">
        <f>VLOOKUP(A1655,Database!$A$2:$I$948,4,0)</f>
        <v>#N/A</v>
      </c>
      <c r="M1655" t="e">
        <f t="shared" si="53"/>
        <v>#N/A</v>
      </c>
      <c r="N1655" t="e">
        <f>VLOOKUP(A1655,Database!$A$2:$I$948,5,0)</f>
        <v>#N/A</v>
      </c>
    </row>
    <row r="1656" spans="1:14" hidden="1" x14ac:dyDescent="0.35">
      <c r="A1656" s="3">
        <v>103404259</v>
      </c>
      <c r="B1656" s="3" t="s">
        <v>4033</v>
      </c>
      <c r="C1656" s="3" t="str">
        <f t="shared" si="52"/>
        <v>2022-07-05</v>
      </c>
      <c r="D1656" s="3" t="s">
        <v>9</v>
      </c>
      <c r="E1656" s="3" t="s">
        <v>5</v>
      </c>
      <c r="F1656" s="3" t="s">
        <v>10</v>
      </c>
      <c r="G1656" s="3" t="s">
        <v>4034</v>
      </c>
      <c r="H1656" s="3" t="s">
        <v>4035</v>
      </c>
      <c r="I1656" s="4">
        <v>1262.55</v>
      </c>
      <c r="J1656" s="3" t="s">
        <v>11</v>
      </c>
      <c r="K1656" t="e">
        <f>MATCH(A1656,Database!$A$2:$A$948,0)</f>
        <v>#N/A</v>
      </c>
      <c r="L1656" t="e">
        <f>VLOOKUP(A1656,Database!$A$2:$I$948,4,0)</f>
        <v>#N/A</v>
      </c>
      <c r="M1656" t="e">
        <f t="shared" si="53"/>
        <v>#N/A</v>
      </c>
      <c r="N1656" t="e">
        <f>VLOOKUP(A1656,Database!$A$2:$I$948,5,0)</f>
        <v>#N/A</v>
      </c>
    </row>
    <row r="1657" spans="1:14" hidden="1" x14ac:dyDescent="0.35">
      <c r="A1657" s="3">
        <v>103404148</v>
      </c>
      <c r="B1657" s="3" t="s">
        <v>4036</v>
      </c>
      <c r="C1657" s="3" t="str">
        <f t="shared" si="52"/>
        <v>2022-07-05</v>
      </c>
      <c r="D1657" s="3" t="s">
        <v>9</v>
      </c>
      <c r="E1657" s="3" t="s">
        <v>5</v>
      </c>
      <c r="F1657" s="3" t="s">
        <v>10</v>
      </c>
      <c r="G1657" s="3" t="s">
        <v>4037</v>
      </c>
      <c r="H1657" s="3" t="s">
        <v>4038</v>
      </c>
      <c r="I1657" s="5">
        <v>4799</v>
      </c>
      <c r="J1657" s="3" t="s">
        <v>11</v>
      </c>
      <c r="K1657" t="e">
        <f>MATCH(A1657,Database!$A$2:$A$948,0)</f>
        <v>#N/A</v>
      </c>
      <c r="L1657" t="e">
        <f>VLOOKUP(A1657,Database!$A$2:$I$948,4,0)</f>
        <v>#N/A</v>
      </c>
      <c r="M1657" t="e">
        <f t="shared" si="53"/>
        <v>#N/A</v>
      </c>
      <c r="N1657" t="e">
        <f>VLOOKUP(A1657,Database!$A$2:$I$948,5,0)</f>
        <v>#N/A</v>
      </c>
    </row>
    <row r="1658" spans="1:14" hidden="1" x14ac:dyDescent="0.35">
      <c r="A1658" s="3">
        <v>103404147</v>
      </c>
      <c r="B1658" s="3" t="s">
        <v>4039</v>
      </c>
      <c r="C1658" s="3" t="str">
        <f t="shared" si="52"/>
        <v>2022-07-05</v>
      </c>
      <c r="D1658" s="3" t="s">
        <v>9</v>
      </c>
      <c r="E1658" s="3" t="s">
        <v>5</v>
      </c>
      <c r="F1658" s="3" t="s">
        <v>10</v>
      </c>
      <c r="G1658" s="3" t="s">
        <v>4040</v>
      </c>
      <c r="H1658" s="3" t="s">
        <v>4041</v>
      </c>
      <c r="I1658" s="4">
        <v>3704.05</v>
      </c>
      <c r="J1658" s="3" t="s">
        <v>11</v>
      </c>
      <c r="K1658" t="e">
        <f>MATCH(A1658,Database!$A$2:$A$948,0)</f>
        <v>#N/A</v>
      </c>
      <c r="L1658" t="e">
        <f>VLOOKUP(A1658,Database!$A$2:$I$948,4,0)</f>
        <v>#N/A</v>
      </c>
      <c r="M1658" t="e">
        <f t="shared" si="53"/>
        <v>#N/A</v>
      </c>
      <c r="N1658" t="e">
        <f>VLOOKUP(A1658,Database!$A$2:$I$948,5,0)</f>
        <v>#N/A</v>
      </c>
    </row>
    <row r="1659" spans="1:14" hidden="1" x14ac:dyDescent="0.35">
      <c r="A1659" s="3">
        <v>103404254</v>
      </c>
      <c r="B1659" s="3" t="s">
        <v>4042</v>
      </c>
      <c r="C1659" s="3" t="str">
        <f t="shared" si="52"/>
        <v>2022-07-05</v>
      </c>
      <c r="D1659" s="3" t="s">
        <v>9</v>
      </c>
      <c r="E1659" s="3" t="s">
        <v>5</v>
      </c>
      <c r="F1659" s="3" t="s">
        <v>10</v>
      </c>
      <c r="G1659" s="3" t="s">
        <v>4043</v>
      </c>
      <c r="H1659" s="3" t="s">
        <v>4044</v>
      </c>
      <c r="I1659" s="4">
        <v>1055.02</v>
      </c>
      <c r="J1659" s="3" t="s">
        <v>11</v>
      </c>
      <c r="K1659" t="e">
        <f>MATCH(A1659,Database!$A$2:$A$948,0)</f>
        <v>#N/A</v>
      </c>
      <c r="L1659" t="e">
        <f>VLOOKUP(A1659,Database!$A$2:$I$948,4,0)</f>
        <v>#N/A</v>
      </c>
      <c r="M1659" t="e">
        <f t="shared" si="53"/>
        <v>#N/A</v>
      </c>
      <c r="N1659" t="e">
        <f>VLOOKUP(A1659,Database!$A$2:$I$948,5,0)</f>
        <v>#N/A</v>
      </c>
    </row>
    <row r="1660" spans="1:14" hidden="1" x14ac:dyDescent="0.35">
      <c r="A1660" s="3">
        <v>103404145</v>
      </c>
      <c r="B1660" s="3" t="s">
        <v>4045</v>
      </c>
      <c r="C1660" s="3" t="str">
        <f t="shared" si="52"/>
        <v>2022-07-05</v>
      </c>
      <c r="D1660" s="3" t="s">
        <v>9</v>
      </c>
      <c r="E1660" s="3" t="s">
        <v>5</v>
      </c>
      <c r="F1660" s="3" t="s">
        <v>10</v>
      </c>
      <c r="G1660" s="3" t="s">
        <v>4046</v>
      </c>
      <c r="H1660" s="3" t="s">
        <v>4047</v>
      </c>
      <c r="I1660" s="4">
        <v>1259.0999999999999</v>
      </c>
      <c r="J1660" s="3" t="s">
        <v>11</v>
      </c>
      <c r="K1660" t="e">
        <f>MATCH(A1660,Database!$A$2:$A$948,0)</f>
        <v>#N/A</v>
      </c>
      <c r="L1660" t="e">
        <f>VLOOKUP(A1660,Database!$A$2:$I$948,4,0)</f>
        <v>#N/A</v>
      </c>
      <c r="M1660" t="e">
        <f t="shared" si="53"/>
        <v>#N/A</v>
      </c>
      <c r="N1660" t="e">
        <f>VLOOKUP(A1660,Database!$A$2:$I$948,5,0)</f>
        <v>#N/A</v>
      </c>
    </row>
    <row r="1661" spans="1:14" hidden="1" x14ac:dyDescent="0.35">
      <c r="A1661" s="3">
        <v>103404249</v>
      </c>
      <c r="B1661" s="3" t="s">
        <v>4048</v>
      </c>
      <c r="C1661" s="3" t="str">
        <f t="shared" si="52"/>
        <v>2022-07-05</v>
      </c>
      <c r="D1661" s="3" t="s">
        <v>9</v>
      </c>
      <c r="E1661" s="3" t="s">
        <v>5</v>
      </c>
      <c r="F1661" s="3" t="s">
        <v>10</v>
      </c>
      <c r="G1661" s="3" t="s">
        <v>4049</v>
      </c>
      <c r="H1661" s="3" t="s">
        <v>4050</v>
      </c>
      <c r="I1661" s="3">
        <v>737.1</v>
      </c>
      <c r="J1661" s="3" t="s">
        <v>11</v>
      </c>
      <c r="K1661" t="e">
        <f>MATCH(A1661,Database!$A$2:$A$948,0)</f>
        <v>#N/A</v>
      </c>
      <c r="L1661" t="e">
        <f>VLOOKUP(A1661,Database!$A$2:$I$948,4,0)</f>
        <v>#N/A</v>
      </c>
      <c r="M1661" t="e">
        <f t="shared" si="53"/>
        <v>#N/A</v>
      </c>
      <c r="N1661" t="e">
        <f>VLOOKUP(A1661,Database!$A$2:$I$948,5,0)</f>
        <v>#N/A</v>
      </c>
    </row>
    <row r="1662" spans="1:14" hidden="1" x14ac:dyDescent="0.35">
      <c r="A1662" s="3">
        <v>103404243</v>
      </c>
      <c r="B1662" s="3" t="s">
        <v>4051</v>
      </c>
      <c r="C1662" s="3" t="str">
        <f t="shared" si="52"/>
        <v>2022-07-05</v>
      </c>
      <c r="D1662" s="3" t="s">
        <v>9</v>
      </c>
      <c r="E1662" s="3" t="s">
        <v>5</v>
      </c>
      <c r="F1662" s="3" t="s">
        <v>10</v>
      </c>
      <c r="G1662" s="3" t="s">
        <v>4052</v>
      </c>
      <c r="H1662" s="3" t="s">
        <v>4053</v>
      </c>
      <c r="I1662" s="4">
        <v>3842.75</v>
      </c>
      <c r="J1662" s="3" t="s">
        <v>11</v>
      </c>
      <c r="K1662" t="e">
        <f>MATCH(A1662,Database!$A$2:$A$948,0)</f>
        <v>#N/A</v>
      </c>
      <c r="L1662" t="e">
        <f>VLOOKUP(A1662,Database!$A$2:$I$948,4,0)</f>
        <v>#N/A</v>
      </c>
      <c r="M1662" t="e">
        <f t="shared" si="53"/>
        <v>#N/A</v>
      </c>
      <c r="N1662" t="e">
        <f>VLOOKUP(A1662,Database!$A$2:$I$948,5,0)</f>
        <v>#N/A</v>
      </c>
    </row>
    <row r="1663" spans="1:14" hidden="1" x14ac:dyDescent="0.35">
      <c r="A1663" s="3">
        <v>103404138</v>
      </c>
      <c r="B1663" s="3" t="s">
        <v>4054</v>
      </c>
      <c r="C1663" s="3" t="str">
        <f t="shared" si="52"/>
        <v>2022-07-05</v>
      </c>
      <c r="D1663" s="3" t="s">
        <v>9</v>
      </c>
      <c r="E1663" s="3" t="s">
        <v>5</v>
      </c>
      <c r="F1663" s="3" t="s">
        <v>10</v>
      </c>
      <c r="G1663" s="3" t="s">
        <v>4055</v>
      </c>
      <c r="H1663" s="3" t="s">
        <v>4056</v>
      </c>
      <c r="I1663" s="4">
        <v>2374.0500000000002</v>
      </c>
      <c r="J1663" s="3" t="s">
        <v>11</v>
      </c>
      <c r="K1663" t="e">
        <f>MATCH(A1663,Database!$A$2:$A$948,0)</f>
        <v>#N/A</v>
      </c>
      <c r="L1663" t="e">
        <f>VLOOKUP(A1663,Database!$A$2:$I$948,4,0)</f>
        <v>#N/A</v>
      </c>
      <c r="M1663" t="e">
        <f t="shared" si="53"/>
        <v>#N/A</v>
      </c>
      <c r="N1663" t="e">
        <f>VLOOKUP(A1663,Database!$A$2:$I$948,5,0)</f>
        <v>#N/A</v>
      </c>
    </row>
    <row r="1664" spans="1:14" hidden="1" x14ac:dyDescent="0.35">
      <c r="A1664" s="3">
        <v>103404239</v>
      </c>
      <c r="B1664" s="3" t="s">
        <v>4057</v>
      </c>
      <c r="C1664" s="3" t="str">
        <f t="shared" si="52"/>
        <v>2022-07-05</v>
      </c>
      <c r="D1664" s="3" t="s">
        <v>9</v>
      </c>
      <c r="E1664" s="3" t="s">
        <v>5</v>
      </c>
      <c r="F1664" s="3" t="s">
        <v>12</v>
      </c>
      <c r="G1664" s="3" t="s">
        <v>4058</v>
      </c>
      <c r="H1664" s="3" t="s">
        <v>4059</v>
      </c>
      <c r="I1664" s="3">
        <v>854.05</v>
      </c>
      <c r="J1664" s="3" t="s">
        <v>11</v>
      </c>
      <c r="K1664" t="e">
        <f>MATCH(A1664,Database!$A$2:$A$948,0)</f>
        <v>#N/A</v>
      </c>
      <c r="L1664" t="e">
        <f>VLOOKUP(A1664,Database!$A$2:$I$948,4,0)</f>
        <v>#N/A</v>
      </c>
      <c r="M1664" t="e">
        <f t="shared" si="53"/>
        <v>#N/A</v>
      </c>
      <c r="N1664" t="e">
        <f>VLOOKUP(A1664,Database!$A$2:$I$948,5,0)</f>
        <v>#N/A</v>
      </c>
    </row>
    <row r="1665" spans="1:14" hidden="1" x14ac:dyDescent="0.35">
      <c r="A1665" s="3">
        <v>103404133</v>
      </c>
      <c r="B1665" s="3" t="s">
        <v>4060</v>
      </c>
      <c r="C1665" s="3" t="str">
        <f t="shared" si="52"/>
        <v>2022-07-05</v>
      </c>
      <c r="D1665" s="3" t="s">
        <v>9</v>
      </c>
      <c r="E1665" s="3" t="s">
        <v>5</v>
      </c>
      <c r="F1665" s="3" t="s">
        <v>10</v>
      </c>
      <c r="G1665" s="3" t="s">
        <v>4061</v>
      </c>
      <c r="H1665" s="3" t="s">
        <v>4062</v>
      </c>
      <c r="I1665" s="4">
        <v>1994.05</v>
      </c>
      <c r="J1665" s="3" t="s">
        <v>11</v>
      </c>
      <c r="K1665" t="e">
        <f>MATCH(A1665,Database!$A$2:$A$948,0)</f>
        <v>#N/A</v>
      </c>
      <c r="L1665" t="e">
        <f>VLOOKUP(A1665,Database!$A$2:$I$948,4,0)</f>
        <v>#N/A</v>
      </c>
      <c r="M1665" t="e">
        <f t="shared" si="53"/>
        <v>#N/A</v>
      </c>
      <c r="N1665" t="e">
        <f>VLOOKUP(A1665,Database!$A$2:$I$948,5,0)</f>
        <v>#N/A</v>
      </c>
    </row>
    <row r="1673" spans="1:14" x14ac:dyDescent="0.35">
      <c r="H1673" t="s">
        <v>4070</v>
      </c>
      <c r="I1673" t="s">
        <v>4809</v>
      </c>
    </row>
    <row r="1674" spans="1:14" x14ac:dyDescent="0.35">
      <c r="H1674">
        <v>103409585</v>
      </c>
      <c r="I1674" t="s">
        <v>4812</v>
      </c>
      <c r="J1674" t="s">
        <v>4810</v>
      </c>
    </row>
    <row r="1675" spans="1:14" x14ac:dyDescent="0.35">
      <c r="H1675">
        <v>103409797</v>
      </c>
      <c r="I1675" t="s">
        <v>4812</v>
      </c>
    </row>
    <row r="1676" spans="1:14" x14ac:dyDescent="0.35">
      <c r="H1676">
        <v>103409805</v>
      </c>
      <c r="I1676" t="s">
        <v>4812</v>
      </c>
    </row>
    <row r="1677" spans="1:14" x14ac:dyDescent="0.35">
      <c r="H1677">
        <v>103410000</v>
      </c>
      <c r="I1677" t="s">
        <v>4812</v>
      </c>
    </row>
    <row r="1678" spans="1:14" x14ac:dyDescent="0.35">
      <c r="H1678">
        <v>103410303</v>
      </c>
      <c r="I1678" t="s">
        <v>4811</v>
      </c>
    </row>
    <row r="1679" spans="1:14" x14ac:dyDescent="0.35">
      <c r="H1679">
        <v>103410478</v>
      </c>
      <c r="I1679" t="s">
        <v>4812</v>
      </c>
    </row>
    <row r="1680" spans="1:14" x14ac:dyDescent="0.35">
      <c r="H1680">
        <v>103410683</v>
      </c>
      <c r="I1680" t="s">
        <v>4810</v>
      </c>
    </row>
    <row r="1681" spans="8:9" x14ac:dyDescent="0.35">
      <c r="H1681">
        <v>103410703</v>
      </c>
      <c r="I1681" t="s">
        <v>4811</v>
      </c>
    </row>
    <row r="1682" spans="8:9" x14ac:dyDescent="0.35">
      <c r="H1682">
        <v>103410858</v>
      </c>
      <c r="I1682" t="s">
        <v>4811</v>
      </c>
    </row>
    <row r="1683" spans="8:9" x14ac:dyDescent="0.35">
      <c r="H1683">
        <v>103411000</v>
      </c>
      <c r="I1683" t="s">
        <v>4813</v>
      </c>
    </row>
  </sheetData>
  <autoFilter ref="A1:N1665" xr:uid="{012FE543-1A6C-4A1F-8E03-D5663115D575}">
    <filterColumn colId="2">
      <filters>
        <filter val="2022-07-07"/>
      </filters>
    </filterColumn>
    <filterColumn colId="12">
      <filters>
        <filter val="FALSE"/>
        <filter val="#N/A"/>
      </filters>
    </filterColumn>
  </autoFilter>
  <sortState xmlns:xlrd2="http://schemas.microsoft.com/office/spreadsheetml/2017/richdata2" ref="A2:I136">
    <sortCondition ref="B2:B136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8DA6B-FCED-4044-9B84-B57C78E0B804}">
  <sheetPr codeName="Sheet1"/>
  <dimension ref="A1:H985"/>
  <sheetViews>
    <sheetView workbookViewId="0">
      <selection sqref="A1:H985"/>
    </sheetView>
  </sheetViews>
  <sheetFormatPr defaultRowHeight="14.5" x14ac:dyDescent="0.35"/>
  <sheetData>
    <row r="1" spans="1:8" x14ac:dyDescent="0.35">
      <c r="A1" t="s">
        <v>4070</v>
      </c>
      <c r="B1" t="s">
        <v>4071</v>
      </c>
      <c r="C1" t="s">
        <v>4072</v>
      </c>
      <c r="D1" t="s">
        <v>4073</v>
      </c>
      <c r="E1" t="s">
        <v>4074</v>
      </c>
      <c r="F1" t="s">
        <v>4075</v>
      </c>
      <c r="G1" t="s">
        <v>4069</v>
      </c>
      <c r="H1" t="s">
        <v>4077</v>
      </c>
    </row>
    <row r="2" spans="1:8" x14ac:dyDescent="0.35">
      <c r="A2">
        <v>103401658</v>
      </c>
      <c r="B2" t="s">
        <v>4076</v>
      </c>
      <c r="C2" s="2">
        <v>44747</v>
      </c>
      <c r="D2">
        <v>3799.05</v>
      </c>
      <c r="E2">
        <v>1</v>
      </c>
      <c r="F2">
        <v>1</v>
      </c>
      <c r="G2">
        <v>3799.05</v>
      </c>
      <c r="H2">
        <v>3799.05</v>
      </c>
    </row>
    <row r="3" spans="1:8" x14ac:dyDescent="0.35">
      <c r="A3">
        <v>103401843</v>
      </c>
      <c r="B3" t="s">
        <v>4076</v>
      </c>
      <c r="C3" s="2">
        <v>44747</v>
      </c>
      <c r="D3">
        <v>2136.5500000000002</v>
      </c>
      <c r="E3">
        <v>1</v>
      </c>
      <c r="F3">
        <v>1</v>
      </c>
      <c r="G3">
        <v>2136.5500000000002</v>
      </c>
      <c r="H3">
        <v>2136.5500000000002</v>
      </c>
    </row>
    <row r="4" spans="1:8" x14ac:dyDescent="0.35">
      <c r="A4">
        <v>103401893</v>
      </c>
      <c r="B4" t="s">
        <v>4076</v>
      </c>
      <c r="C4" s="2">
        <v>44747</v>
      </c>
      <c r="D4">
        <v>3419.05</v>
      </c>
      <c r="E4">
        <v>1</v>
      </c>
      <c r="F4">
        <v>1</v>
      </c>
      <c r="G4">
        <v>3419.05</v>
      </c>
      <c r="H4">
        <v>3419.05</v>
      </c>
    </row>
    <row r="5" spans="1:8" x14ac:dyDescent="0.35">
      <c r="A5">
        <v>103401922</v>
      </c>
      <c r="B5" t="s">
        <v>4076</v>
      </c>
      <c r="C5" s="2">
        <v>44747</v>
      </c>
      <c r="D5">
        <v>1281.55</v>
      </c>
      <c r="E5">
        <v>1</v>
      </c>
      <c r="F5">
        <v>1</v>
      </c>
      <c r="G5">
        <v>1281.55</v>
      </c>
      <c r="H5">
        <v>1281.55</v>
      </c>
    </row>
    <row r="6" spans="1:8" x14ac:dyDescent="0.35">
      <c r="A6">
        <v>103402075</v>
      </c>
      <c r="B6" t="s">
        <v>4076</v>
      </c>
      <c r="C6" s="2">
        <v>44747</v>
      </c>
      <c r="D6">
        <v>3419.05</v>
      </c>
      <c r="E6">
        <v>1</v>
      </c>
      <c r="F6">
        <v>1</v>
      </c>
      <c r="G6">
        <v>3419.05</v>
      </c>
      <c r="H6">
        <v>3419.05</v>
      </c>
    </row>
    <row r="7" spans="1:8" x14ac:dyDescent="0.35">
      <c r="A7">
        <v>103402362</v>
      </c>
      <c r="B7" t="s">
        <v>4076</v>
      </c>
      <c r="C7" s="2">
        <v>44747</v>
      </c>
      <c r="D7">
        <v>1538.05</v>
      </c>
      <c r="E7">
        <v>1</v>
      </c>
      <c r="F7">
        <v>1</v>
      </c>
      <c r="G7">
        <v>1538.05</v>
      </c>
      <c r="H7">
        <v>1538.05</v>
      </c>
    </row>
    <row r="8" spans="1:8" x14ac:dyDescent="0.35">
      <c r="A8">
        <v>103402414</v>
      </c>
      <c r="B8" t="s">
        <v>4076</v>
      </c>
      <c r="C8" s="2">
        <v>44747</v>
      </c>
      <c r="D8">
        <v>3704.05</v>
      </c>
      <c r="E8">
        <v>1</v>
      </c>
      <c r="F8">
        <v>1</v>
      </c>
      <c r="G8">
        <v>3704.05</v>
      </c>
      <c r="H8">
        <v>3704.05</v>
      </c>
    </row>
    <row r="9" spans="1:8" x14ac:dyDescent="0.35">
      <c r="A9">
        <v>103402498</v>
      </c>
      <c r="B9" t="s">
        <v>4076</v>
      </c>
      <c r="C9" s="2">
        <v>44747</v>
      </c>
      <c r="D9">
        <v>1196.1400000000001</v>
      </c>
      <c r="E9">
        <v>1</v>
      </c>
      <c r="F9">
        <v>1</v>
      </c>
      <c r="G9">
        <v>1196.1400000000001</v>
      </c>
      <c r="H9">
        <v>1196.1400000000001</v>
      </c>
    </row>
    <row r="10" spans="1:8" x14ac:dyDescent="0.35">
      <c r="A10">
        <v>103402675</v>
      </c>
      <c r="B10" t="s">
        <v>4076</v>
      </c>
      <c r="C10" s="2">
        <v>44747</v>
      </c>
      <c r="D10">
        <v>1538.14</v>
      </c>
      <c r="E10">
        <v>1</v>
      </c>
      <c r="F10">
        <v>1</v>
      </c>
      <c r="G10">
        <v>1538.14</v>
      </c>
      <c r="H10">
        <v>1538.14</v>
      </c>
    </row>
    <row r="11" spans="1:8" x14ac:dyDescent="0.35">
      <c r="A11">
        <v>103403822</v>
      </c>
      <c r="B11" t="s">
        <v>4076</v>
      </c>
      <c r="C11" s="2">
        <v>44747</v>
      </c>
      <c r="D11">
        <v>312.55</v>
      </c>
      <c r="E11">
        <v>1</v>
      </c>
      <c r="F11">
        <v>1</v>
      </c>
      <c r="G11">
        <v>312.55</v>
      </c>
      <c r="H11">
        <v>312.55</v>
      </c>
    </row>
    <row r="12" spans="1:8" x14ac:dyDescent="0.35">
      <c r="A12">
        <v>103404031</v>
      </c>
      <c r="B12" t="s">
        <v>4076</v>
      </c>
      <c r="C12" s="2">
        <v>44747</v>
      </c>
      <c r="D12">
        <v>2279.0500000000002</v>
      </c>
      <c r="E12">
        <v>1</v>
      </c>
      <c r="F12">
        <v>1</v>
      </c>
      <c r="G12">
        <v>2279.0500000000002</v>
      </c>
      <c r="H12">
        <v>2279.0500000000002</v>
      </c>
    </row>
    <row r="13" spans="1:8" x14ac:dyDescent="0.35">
      <c r="A13">
        <v>103404552</v>
      </c>
      <c r="B13" t="s">
        <v>4076</v>
      </c>
      <c r="C13" s="2">
        <v>44748</v>
      </c>
      <c r="D13">
        <v>865.5</v>
      </c>
      <c r="E13">
        <v>1</v>
      </c>
      <c r="F13">
        <v>1</v>
      </c>
      <c r="G13">
        <v>865.5</v>
      </c>
      <c r="H13">
        <v>865.5</v>
      </c>
    </row>
    <row r="14" spans="1:8" x14ac:dyDescent="0.35">
      <c r="A14">
        <v>103404993</v>
      </c>
      <c r="B14" t="s">
        <v>4076</v>
      </c>
      <c r="C14" s="2">
        <v>44748</v>
      </c>
      <c r="D14">
        <v>2279.0500000000002</v>
      </c>
      <c r="E14">
        <v>1</v>
      </c>
      <c r="F14">
        <v>1</v>
      </c>
      <c r="G14">
        <v>2279.0500000000002</v>
      </c>
      <c r="H14">
        <v>2279.0500000000002</v>
      </c>
    </row>
    <row r="15" spans="1:8" x14ac:dyDescent="0.35">
      <c r="A15">
        <v>103405104</v>
      </c>
      <c r="B15" t="s">
        <v>4076</v>
      </c>
      <c r="C15" s="2">
        <v>44748</v>
      </c>
      <c r="D15">
        <v>1804.1</v>
      </c>
      <c r="E15">
        <v>1</v>
      </c>
      <c r="F15">
        <v>1</v>
      </c>
      <c r="G15">
        <v>1804.1</v>
      </c>
      <c r="H15">
        <v>1804.1</v>
      </c>
    </row>
    <row r="16" spans="1:8" x14ac:dyDescent="0.35">
      <c r="A16">
        <v>103405130</v>
      </c>
      <c r="B16" t="s">
        <v>4076</v>
      </c>
      <c r="C16" s="2">
        <v>44748</v>
      </c>
      <c r="D16">
        <v>995.599999999999</v>
      </c>
      <c r="E16">
        <v>2</v>
      </c>
      <c r="F16">
        <v>1</v>
      </c>
      <c r="G16">
        <v>497.79999999999899</v>
      </c>
      <c r="H16">
        <v>995.599999999999</v>
      </c>
    </row>
    <row r="17" spans="1:8" x14ac:dyDescent="0.35">
      <c r="A17">
        <v>103405821</v>
      </c>
      <c r="B17" t="s">
        <v>4076</v>
      </c>
      <c r="C17" s="2">
        <v>44748</v>
      </c>
      <c r="D17">
        <v>1538.05</v>
      </c>
      <c r="E17">
        <v>1</v>
      </c>
      <c r="F17">
        <v>1</v>
      </c>
      <c r="G17">
        <v>1538.05</v>
      </c>
      <c r="H17">
        <v>1538.05</v>
      </c>
    </row>
    <row r="18" spans="1:8" x14ac:dyDescent="0.35">
      <c r="A18">
        <v>103406263</v>
      </c>
      <c r="B18" t="s">
        <v>4076</v>
      </c>
      <c r="C18" s="2">
        <v>44748</v>
      </c>
      <c r="D18">
        <v>6174.05</v>
      </c>
      <c r="E18">
        <v>1</v>
      </c>
      <c r="F18">
        <v>1</v>
      </c>
      <c r="G18">
        <v>6174.05</v>
      </c>
      <c r="H18">
        <v>6174.05</v>
      </c>
    </row>
    <row r="19" spans="1:8" x14ac:dyDescent="0.35">
      <c r="A19">
        <v>103406502</v>
      </c>
      <c r="B19" t="s">
        <v>4076</v>
      </c>
      <c r="C19" s="2">
        <v>44748</v>
      </c>
      <c r="D19">
        <v>2849.05</v>
      </c>
      <c r="E19">
        <v>1</v>
      </c>
      <c r="F19">
        <v>1</v>
      </c>
      <c r="G19">
        <v>2849.05</v>
      </c>
      <c r="H19">
        <v>2849.05</v>
      </c>
    </row>
    <row r="20" spans="1:8" x14ac:dyDescent="0.35">
      <c r="A20">
        <v>103406605</v>
      </c>
      <c r="B20" t="s">
        <v>4076</v>
      </c>
      <c r="C20" s="2">
        <v>44748</v>
      </c>
      <c r="D20">
        <v>1196.05</v>
      </c>
      <c r="E20">
        <v>1</v>
      </c>
      <c r="F20">
        <v>1</v>
      </c>
      <c r="G20">
        <v>1196.05</v>
      </c>
      <c r="H20">
        <v>1196.05</v>
      </c>
    </row>
    <row r="21" spans="1:8" x14ac:dyDescent="0.35">
      <c r="A21">
        <v>103406788</v>
      </c>
      <c r="B21" t="s">
        <v>4076</v>
      </c>
      <c r="C21" s="2">
        <v>44748</v>
      </c>
      <c r="D21">
        <v>2222.14</v>
      </c>
      <c r="E21">
        <v>1</v>
      </c>
      <c r="F21">
        <v>1</v>
      </c>
      <c r="G21">
        <v>2222.14</v>
      </c>
      <c r="H21">
        <v>2222.14</v>
      </c>
    </row>
    <row r="22" spans="1:8" x14ac:dyDescent="0.35">
      <c r="A22">
        <v>103406814</v>
      </c>
      <c r="B22" t="s">
        <v>4076</v>
      </c>
      <c r="C22" s="2">
        <v>44748</v>
      </c>
      <c r="D22">
        <v>1597.99</v>
      </c>
      <c r="E22">
        <v>1</v>
      </c>
      <c r="F22">
        <v>1</v>
      </c>
      <c r="G22">
        <v>1597.99</v>
      </c>
      <c r="H22">
        <v>1597.99</v>
      </c>
    </row>
    <row r="23" spans="1:8" x14ac:dyDescent="0.35">
      <c r="A23">
        <v>103407143</v>
      </c>
      <c r="B23" t="s">
        <v>4076</v>
      </c>
      <c r="C23" s="2">
        <v>44748</v>
      </c>
      <c r="D23">
        <v>1063.05</v>
      </c>
      <c r="E23">
        <v>1</v>
      </c>
      <c r="F23">
        <v>1</v>
      </c>
      <c r="G23">
        <v>1063.05</v>
      </c>
      <c r="H23">
        <v>1063.05</v>
      </c>
    </row>
    <row r="24" spans="1:8" x14ac:dyDescent="0.35">
      <c r="A24">
        <v>103407196</v>
      </c>
      <c r="B24" t="s">
        <v>4076</v>
      </c>
      <c r="C24" s="2">
        <v>44748</v>
      </c>
      <c r="D24">
        <v>4668</v>
      </c>
      <c r="E24">
        <v>2</v>
      </c>
      <c r="F24">
        <v>1</v>
      </c>
      <c r="G24">
        <v>2334</v>
      </c>
      <c r="H24">
        <v>4668</v>
      </c>
    </row>
    <row r="25" spans="1:8" x14ac:dyDescent="0.35">
      <c r="A25">
        <v>103407198</v>
      </c>
      <c r="B25" t="s">
        <v>4076</v>
      </c>
      <c r="C25" s="2">
        <v>44748</v>
      </c>
      <c r="D25">
        <v>854.14</v>
      </c>
      <c r="E25">
        <v>1</v>
      </c>
      <c r="F25">
        <v>1</v>
      </c>
      <c r="G25">
        <v>854.14</v>
      </c>
      <c r="H25">
        <v>854.14</v>
      </c>
    </row>
    <row r="26" spans="1:8" x14ac:dyDescent="0.35">
      <c r="A26">
        <v>103407202</v>
      </c>
      <c r="B26" t="s">
        <v>4076</v>
      </c>
      <c r="C26" s="2">
        <v>44748</v>
      </c>
      <c r="D26">
        <v>1196.05</v>
      </c>
      <c r="E26">
        <v>1</v>
      </c>
      <c r="F26">
        <v>1</v>
      </c>
      <c r="G26">
        <v>1196.05</v>
      </c>
      <c r="H26">
        <v>1196.05</v>
      </c>
    </row>
    <row r="27" spans="1:8" x14ac:dyDescent="0.35">
      <c r="A27">
        <v>103407204</v>
      </c>
      <c r="B27" t="s">
        <v>4076</v>
      </c>
      <c r="C27" s="2">
        <v>44748</v>
      </c>
      <c r="D27">
        <v>1329.05</v>
      </c>
      <c r="E27">
        <v>1</v>
      </c>
      <c r="F27">
        <v>1</v>
      </c>
      <c r="G27">
        <v>1329.05</v>
      </c>
      <c r="H27">
        <v>1329.05</v>
      </c>
    </row>
    <row r="28" spans="1:8" x14ac:dyDescent="0.35">
      <c r="A28">
        <v>103407209</v>
      </c>
      <c r="B28" t="s">
        <v>4076</v>
      </c>
      <c r="C28" s="2">
        <v>44748</v>
      </c>
      <c r="D28">
        <v>439</v>
      </c>
      <c r="E28">
        <v>1</v>
      </c>
      <c r="F28">
        <v>1</v>
      </c>
      <c r="G28">
        <v>439</v>
      </c>
      <c r="H28">
        <v>439</v>
      </c>
    </row>
    <row r="29" spans="1:8" x14ac:dyDescent="0.35">
      <c r="A29">
        <v>103407210</v>
      </c>
      <c r="B29" t="s">
        <v>4076</v>
      </c>
      <c r="C29" s="2">
        <v>44748</v>
      </c>
      <c r="D29">
        <v>1686.77</v>
      </c>
      <c r="E29">
        <v>1</v>
      </c>
      <c r="F29">
        <v>1</v>
      </c>
      <c r="G29">
        <v>1686.77</v>
      </c>
      <c r="H29">
        <v>1686.77</v>
      </c>
    </row>
    <row r="30" spans="1:8" x14ac:dyDescent="0.35">
      <c r="A30">
        <v>103407212</v>
      </c>
      <c r="B30" t="s">
        <v>4076</v>
      </c>
      <c r="C30" s="2">
        <v>44748</v>
      </c>
      <c r="D30">
        <v>2193.5500000000002</v>
      </c>
      <c r="E30">
        <v>1</v>
      </c>
      <c r="F30">
        <v>1</v>
      </c>
      <c r="G30">
        <v>2193.5500000000002</v>
      </c>
      <c r="H30">
        <v>2193.5500000000002</v>
      </c>
    </row>
    <row r="31" spans="1:8" x14ac:dyDescent="0.35">
      <c r="A31">
        <v>103407213</v>
      </c>
      <c r="B31" t="s">
        <v>4076</v>
      </c>
      <c r="C31" s="2">
        <v>44748</v>
      </c>
      <c r="D31">
        <v>2309</v>
      </c>
      <c r="E31">
        <v>1</v>
      </c>
      <c r="F31">
        <v>1</v>
      </c>
      <c r="G31">
        <v>2309</v>
      </c>
      <c r="H31">
        <v>2309</v>
      </c>
    </row>
    <row r="32" spans="1:8" x14ac:dyDescent="0.35">
      <c r="A32">
        <v>103407220</v>
      </c>
      <c r="B32" t="s">
        <v>4076</v>
      </c>
      <c r="C32" s="2">
        <v>44748</v>
      </c>
      <c r="D32">
        <v>3019</v>
      </c>
      <c r="E32">
        <v>1</v>
      </c>
      <c r="F32">
        <v>1</v>
      </c>
      <c r="G32">
        <v>3019</v>
      </c>
      <c r="H32">
        <v>3019</v>
      </c>
    </row>
    <row r="33" spans="1:8" x14ac:dyDescent="0.35">
      <c r="A33">
        <v>103407225</v>
      </c>
      <c r="B33" t="s">
        <v>4076</v>
      </c>
      <c r="C33" s="2">
        <v>44748</v>
      </c>
      <c r="D33">
        <v>559</v>
      </c>
      <c r="E33">
        <v>1</v>
      </c>
      <c r="F33">
        <v>1</v>
      </c>
      <c r="G33">
        <v>559</v>
      </c>
      <c r="H33">
        <v>559</v>
      </c>
    </row>
    <row r="34" spans="1:8" x14ac:dyDescent="0.35">
      <c r="A34">
        <v>103407226</v>
      </c>
      <c r="B34" t="s">
        <v>4076</v>
      </c>
      <c r="C34" s="2">
        <v>44748</v>
      </c>
      <c r="D34">
        <v>1869</v>
      </c>
      <c r="E34">
        <v>1</v>
      </c>
      <c r="F34">
        <v>1</v>
      </c>
      <c r="G34">
        <v>1869</v>
      </c>
      <c r="H34">
        <v>1869</v>
      </c>
    </row>
    <row r="35" spans="1:8" x14ac:dyDescent="0.35">
      <c r="A35">
        <v>103407228</v>
      </c>
      <c r="B35" t="s">
        <v>4076</v>
      </c>
      <c r="C35" s="2">
        <v>44748</v>
      </c>
      <c r="D35">
        <v>1039</v>
      </c>
      <c r="E35">
        <v>1</v>
      </c>
      <c r="F35">
        <v>1</v>
      </c>
      <c r="G35">
        <v>1039</v>
      </c>
      <c r="H35">
        <v>1039</v>
      </c>
    </row>
    <row r="36" spans="1:8" x14ac:dyDescent="0.35">
      <c r="A36">
        <v>103407234</v>
      </c>
      <c r="B36" t="s">
        <v>4076</v>
      </c>
      <c r="C36" s="2">
        <v>44748</v>
      </c>
      <c r="D36">
        <v>1007.1</v>
      </c>
      <c r="E36">
        <v>1</v>
      </c>
      <c r="F36">
        <v>1</v>
      </c>
      <c r="G36">
        <v>1007.1</v>
      </c>
      <c r="H36">
        <v>1007.1</v>
      </c>
    </row>
    <row r="37" spans="1:8" x14ac:dyDescent="0.35">
      <c r="A37">
        <v>103407240</v>
      </c>
      <c r="B37" t="s">
        <v>4076</v>
      </c>
      <c r="C37" s="2">
        <v>44748</v>
      </c>
      <c r="D37">
        <v>3419.14</v>
      </c>
      <c r="E37">
        <v>1</v>
      </c>
      <c r="F37">
        <v>1</v>
      </c>
      <c r="G37">
        <v>3419.14</v>
      </c>
      <c r="H37">
        <v>3419.14</v>
      </c>
    </row>
    <row r="38" spans="1:8" x14ac:dyDescent="0.35">
      <c r="A38">
        <v>103407245</v>
      </c>
      <c r="B38" t="s">
        <v>4076</v>
      </c>
      <c r="C38" s="2">
        <v>44748</v>
      </c>
      <c r="D38">
        <v>1959</v>
      </c>
      <c r="E38">
        <v>1</v>
      </c>
      <c r="F38">
        <v>1</v>
      </c>
      <c r="G38">
        <v>1959</v>
      </c>
      <c r="H38">
        <v>1959</v>
      </c>
    </row>
    <row r="39" spans="1:8" x14ac:dyDescent="0.35">
      <c r="A39">
        <v>103407248</v>
      </c>
      <c r="B39" t="s">
        <v>4076</v>
      </c>
      <c r="C39" s="2">
        <v>44748</v>
      </c>
      <c r="D39">
        <v>2706.6</v>
      </c>
      <c r="E39">
        <v>1</v>
      </c>
      <c r="F39">
        <v>1</v>
      </c>
      <c r="G39">
        <v>2706.6</v>
      </c>
      <c r="H39">
        <v>2706.6</v>
      </c>
    </row>
    <row r="40" spans="1:8" x14ac:dyDescent="0.35">
      <c r="A40">
        <v>103407251</v>
      </c>
      <c r="B40" t="s">
        <v>4076</v>
      </c>
      <c r="C40" s="2">
        <v>44748</v>
      </c>
      <c r="D40">
        <v>3133.1</v>
      </c>
      <c r="E40">
        <v>2</v>
      </c>
      <c r="F40">
        <v>1</v>
      </c>
      <c r="G40">
        <v>1566.55</v>
      </c>
      <c r="H40">
        <v>3133.1</v>
      </c>
    </row>
    <row r="41" spans="1:8" x14ac:dyDescent="0.35">
      <c r="A41">
        <v>103407253</v>
      </c>
      <c r="B41" t="s">
        <v>4076</v>
      </c>
      <c r="C41" s="2">
        <v>44748</v>
      </c>
      <c r="D41">
        <v>329</v>
      </c>
      <c r="E41">
        <v>1</v>
      </c>
      <c r="F41">
        <v>1</v>
      </c>
      <c r="G41">
        <v>329</v>
      </c>
      <c r="H41">
        <v>329</v>
      </c>
    </row>
    <row r="42" spans="1:8" x14ac:dyDescent="0.35">
      <c r="A42">
        <v>103407264</v>
      </c>
      <c r="B42" t="s">
        <v>4076</v>
      </c>
      <c r="C42" s="2">
        <v>44748</v>
      </c>
      <c r="D42">
        <v>1406.09</v>
      </c>
      <c r="E42">
        <v>2</v>
      </c>
      <c r="F42">
        <v>1</v>
      </c>
      <c r="G42">
        <v>703.04499999999996</v>
      </c>
      <c r="H42">
        <v>1406.09</v>
      </c>
    </row>
    <row r="43" spans="1:8" x14ac:dyDescent="0.35">
      <c r="A43">
        <v>103407274</v>
      </c>
      <c r="B43" t="s">
        <v>4076</v>
      </c>
      <c r="C43" s="2">
        <v>44748</v>
      </c>
      <c r="D43">
        <v>4199</v>
      </c>
      <c r="E43">
        <v>1</v>
      </c>
      <c r="F43">
        <v>1</v>
      </c>
      <c r="G43">
        <v>4199</v>
      </c>
      <c r="H43">
        <v>4199</v>
      </c>
    </row>
    <row r="44" spans="1:8" x14ac:dyDescent="0.35">
      <c r="A44">
        <v>103407275</v>
      </c>
      <c r="B44" t="s">
        <v>4076</v>
      </c>
      <c r="C44" s="2">
        <v>44748</v>
      </c>
      <c r="D44">
        <v>1259</v>
      </c>
      <c r="E44">
        <v>1</v>
      </c>
      <c r="F44">
        <v>1</v>
      </c>
      <c r="G44">
        <v>1259</v>
      </c>
      <c r="H44">
        <v>1259</v>
      </c>
    </row>
    <row r="45" spans="1:8" x14ac:dyDescent="0.35">
      <c r="A45">
        <v>103407276</v>
      </c>
      <c r="B45" t="s">
        <v>4076</v>
      </c>
      <c r="C45" s="2">
        <v>44748</v>
      </c>
      <c r="D45">
        <v>3704.05</v>
      </c>
      <c r="E45">
        <v>1</v>
      </c>
      <c r="F45">
        <v>1</v>
      </c>
      <c r="G45">
        <v>3704.05</v>
      </c>
      <c r="H45">
        <v>3704.05</v>
      </c>
    </row>
    <row r="46" spans="1:8" x14ac:dyDescent="0.35">
      <c r="A46">
        <v>103407278</v>
      </c>
      <c r="B46" t="s">
        <v>4076</v>
      </c>
      <c r="C46" s="2">
        <v>44748</v>
      </c>
      <c r="D46">
        <v>1424.05</v>
      </c>
      <c r="E46">
        <v>1</v>
      </c>
      <c r="F46">
        <v>1</v>
      </c>
      <c r="G46">
        <v>1424.05</v>
      </c>
      <c r="H46">
        <v>1424.05</v>
      </c>
    </row>
    <row r="47" spans="1:8" x14ac:dyDescent="0.35">
      <c r="A47">
        <v>103407280</v>
      </c>
      <c r="B47" t="s">
        <v>4076</v>
      </c>
      <c r="C47" s="2">
        <v>44748</v>
      </c>
      <c r="D47">
        <v>1199</v>
      </c>
      <c r="E47">
        <v>1</v>
      </c>
      <c r="F47">
        <v>1</v>
      </c>
      <c r="G47">
        <v>1199</v>
      </c>
      <c r="H47">
        <v>1199</v>
      </c>
    </row>
    <row r="48" spans="1:8" x14ac:dyDescent="0.35">
      <c r="A48">
        <v>103407281</v>
      </c>
      <c r="B48" t="s">
        <v>4076</v>
      </c>
      <c r="C48" s="2">
        <v>44748</v>
      </c>
      <c r="D48">
        <v>2155.5500000000002</v>
      </c>
      <c r="E48">
        <v>1</v>
      </c>
      <c r="F48">
        <v>1</v>
      </c>
      <c r="G48">
        <v>2155.5500000000002</v>
      </c>
      <c r="H48">
        <v>2155.5500000000002</v>
      </c>
    </row>
    <row r="49" spans="1:8" x14ac:dyDescent="0.35">
      <c r="A49">
        <v>103407283</v>
      </c>
      <c r="B49" t="s">
        <v>4076</v>
      </c>
      <c r="C49" s="2">
        <v>44748</v>
      </c>
      <c r="D49">
        <v>3599</v>
      </c>
      <c r="E49">
        <v>1</v>
      </c>
      <c r="F49">
        <v>1</v>
      </c>
      <c r="G49">
        <v>3599</v>
      </c>
      <c r="H49">
        <v>3599</v>
      </c>
    </row>
    <row r="50" spans="1:8" x14ac:dyDescent="0.35">
      <c r="A50">
        <v>103407288</v>
      </c>
      <c r="B50" t="s">
        <v>4076</v>
      </c>
      <c r="C50" s="2">
        <v>44748</v>
      </c>
      <c r="D50">
        <v>2999</v>
      </c>
      <c r="E50">
        <v>1</v>
      </c>
      <c r="F50">
        <v>1</v>
      </c>
      <c r="G50">
        <v>2999</v>
      </c>
      <c r="H50">
        <v>2999</v>
      </c>
    </row>
    <row r="51" spans="1:8" x14ac:dyDescent="0.35">
      <c r="A51">
        <v>103407289</v>
      </c>
      <c r="B51" t="s">
        <v>4076</v>
      </c>
      <c r="C51" s="2">
        <v>44748</v>
      </c>
      <c r="D51">
        <v>809</v>
      </c>
      <c r="E51">
        <v>1</v>
      </c>
      <c r="F51">
        <v>1</v>
      </c>
      <c r="G51">
        <v>809</v>
      </c>
      <c r="H51">
        <v>809</v>
      </c>
    </row>
    <row r="52" spans="1:8" x14ac:dyDescent="0.35">
      <c r="A52">
        <v>103407291</v>
      </c>
      <c r="B52" t="s">
        <v>4076</v>
      </c>
      <c r="C52" s="2">
        <v>44748</v>
      </c>
      <c r="D52">
        <v>2249</v>
      </c>
      <c r="E52">
        <v>1</v>
      </c>
      <c r="F52">
        <v>1</v>
      </c>
      <c r="G52">
        <v>2249</v>
      </c>
      <c r="H52">
        <v>2249</v>
      </c>
    </row>
    <row r="53" spans="1:8" x14ac:dyDescent="0.35">
      <c r="A53">
        <v>103407305</v>
      </c>
      <c r="B53" t="s">
        <v>4076</v>
      </c>
      <c r="C53" s="2">
        <v>44748</v>
      </c>
      <c r="D53">
        <v>3899</v>
      </c>
      <c r="E53">
        <v>1</v>
      </c>
      <c r="F53">
        <v>1</v>
      </c>
      <c r="G53">
        <v>3899</v>
      </c>
      <c r="H53">
        <v>3899</v>
      </c>
    </row>
    <row r="54" spans="1:8" x14ac:dyDescent="0.35">
      <c r="A54">
        <v>103407309</v>
      </c>
      <c r="B54" t="s">
        <v>4076</v>
      </c>
      <c r="C54" s="2">
        <v>44748</v>
      </c>
      <c r="D54">
        <v>3588</v>
      </c>
      <c r="E54">
        <v>2</v>
      </c>
      <c r="F54">
        <v>1</v>
      </c>
      <c r="G54">
        <v>1794</v>
      </c>
      <c r="H54">
        <v>3588</v>
      </c>
    </row>
    <row r="55" spans="1:8" x14ac:dyDescent="0.35">
      <c r="A55">
        <v>103407310</v>
      </c>
      <c r="B55" t="s">
        <v>4076</v>
      </c>
      <c r="C55" s="2">
        <v>44748</v>
      </c>
      <c r="D55">
        <v>2136.5500000000002</v>
      </c>
      <c r="E55">
        <v>1</v>
      </c>
      <c r="F55">
        <v>1</v>
      </c>
      <c r="G55">
        <v>2136.5500000000002</v>
      </c>
      <c r="H55">
        <v>2136.5500000000002</v>
      </c>
    </row>
    <row r="56" spans="1:8" x14ac:dyDescent="0.35">
      <c r="A56">
        <v>103407311</v>
      </c>
      <c r="B56" t="s">
        <v>4076</v>
      </c>
      <c r="C56" s="2">
        <v>44748</v>
      </c>
      <c r="D56">
        <v>2241.0500000000002</v>
      </c>
      <c r="E56">
        <v>1</v>
      </c>
      <c r="F56">
        <v>1</v>
      </c>
      <c r="G56">
        <v>2241.0500000000002</v>
      </c>
      <c r="H56">
        <v>2241.0500000000002</v>
      </c>
    </row>
    <row r="57" spans="1:8" x14ac:dyDescent="0.35">
      <c r="A57">
        <v>103407312</v>
      </c>
      <c r="B57" t="s">
        <v>4076</v>
      </c>
      <c r="C57" s="2">
        <v>44748</v>
      </c>
      <c r="D57">
        <v>759.05</v>
      </c>
      <c r="E57">
        <v>1</v>
      </c>
      <c r="F57">
        <v>1</v>
      </c>
      <c r="G57">
        <v>759.05</v>
      </c>
      <c r="H57">
        <v>759.05</v>
      </c>
    </row>
    <row r="58" spans="1:8" x14ac:dyDescent="0.35">
      <c r="A58">
        <v>103407313</v>
      </c>
      <c r="B58" t="s">
        <v>4076</v>
      </c>
      <c r="C58" s="2">
        <v>44748</v>
      </c>
      <c r="D58">
        <v>2089.0500000000002</v>
      </c>
      <c r="E58">
        <v>1</v>
      </c>
      <c r="F58">
        <v>1</v>
      </c>
      <c r="G58">
        <v>2089.0500000000002</v>
      </c>
      <c r="H58">
        <v>2089.0500000000002</v>
      </c>
    </row>
    <row r="59" spans="1:8" x14ac:dyDescent="0.35">
      <c r="A59">
        <v>103407328</v>
      </c>
      <c r="B59" t="s">
        <v>4076</v>
      </c>
      <c r="C59" s="2">
        <v>44748</v>
      </c>
      <c r="D59">
        <v>3499</v>
      </c>
      <c r="E59">
        <v>1</v>
      </c>
      <c r="F59">
        <v>1</v>
      </c>
      <c r="G59">
        <v>3499</v>
      </c>
      <c r="H59">
        <v>3499</v>
      </c>
    </row>
    <row r="60" spans="1:8" x14ac:dyDescent="0.35">
      <c r="A60">
        <v>103407349</v>
      </c>
      <c r="B60" t="s">
        <v>4076</v>
      </c>
      <c r="C60" s="2">
        <v>44748</v>
      </c>
      <c r="D60">
        <v>797.05</v>
      </c>
      <c r="E60">
        <v>1</v>
      </c>
      <c r="F60">
        <v>1</v>
      </c>
      <c r="G60">
        <v>797.05</v>
      </c>
      <c r="H60">
        <v>797.05</v>
      </c>
    </row>
    <row r="61" spans="1:8" x14ac:dyDescent="0.35">
      <c r="A61">
        <v>103407360</v>
      </c>
      <c r="B61" t="s">
        <v>4076</v>
      </c>
      <c r="C61" s="2">
        <v>44748</v>
      </c>
      <c r="D61">
        <v>2999</v>
      </c>
      <c r="E61">
        <v>1</v>
      </c>
      <c r="F61">
        <v>1</v>
      </c>
      <c r="G61">
        <v>2999</v>
      </c>
      <c r="H61">
        <v>2999</v>
      </c>
    </row>
    <row r="62" spans="1:8" x14ac:dyDescent="0.35">
      <c r="A62">
        <v>103407361</v>
      </c>
      <c r="B62" t="s">
        <v>4076</v>
      </c>
      <c r="C62" s="2">
        <v>44748</v>
      </c>
      <c r="D62">
        <v>3499</v>
      </c>
      <c r="E62">
        <v>1</v>
      </c>
      <c r="F62">
        <v>1</v>
      </c>
      <c r="G62">
        <v>3499</v>
      </c>
      <c r="H62">
        <v>3499</v>
      </c>
    </row>
    <row r="63" spans="1:8" x14ac:dyDescent="0.35">
      <c r="A63">
        <v>103407363</v>
      </c>
      <c r="B63" t="s">
        <v>4076</v>
      </c>
      <c r="C63" s="2">
        <v>44748</v>
      </c>
      <c r="D63">
        <v>1599</v>
      </c>
      <c r="E63">
        <v>1</v>
      </c>
      <c r="F63">
        <v>1</v>
      </c>
      <c r="G63">
        <v>1599</v>
      </c>
      <c r="H63">
        <v>1599</v>
      </c>
    </row>
    <row r="64" spans="1:8" x14ac:dyDescent="0.35">
      <c r="A64">
        <v>103407365</v>
      </c>
      <c r="B64" t="s">
        <v>4076</v>
      </c>
      <c r="C64" s="2">
        <v>44748</v>
      </c>
      <c r="D64">
        <v>2307.69</v>
      </c>
      <c r="E64">
        <v>3</v>
      </c>
      <c r="F64">
        <v>1</v>
      </c>
      <c r="G64">
        <v>769.23</v>
      </c>
      <c r="H64">
        <v>2307.69</v>
      </c>
    </row>
    <row r="65" spans="1:8" x14ac:dyDescent="0.35">
      <c r="A65">
        <v>103407367</v>
      </c>
      <c r="B65" t="s">
        <v>4076</v>
      </c>
      <c r="C65" s="2">
        <v>44748</v>
      </c>
      <c r="D65">
        <v>9999</v>
      </c>
      <c r="E65">
        <v>1</v>
      </c>
      <c r="F65">
        <v>1</v>
      </c>
      <c r="G65">
        <v>9999</v>
      </c>
      <c r="H65">
        <v>9999</v>
      </c>
    </row>
    <row r="66" spans="1:8" x14ac:dyDescent="0.35">
      <c r="A66">
        <v>103407374</v>
      </c>
      <c r="B66" t="s">
        <v>4076</v>
      </c>
      <c r="C66" s="2">
        <v>44748</v>
      </c>
      <c r="D66">
        <v>1300.55</v>
      </c>
      <c r="E66">
        <v>1</v>
      </c>
      <c r="F66">
        <v>1</v>
      </c>
      <c r="G66">
        <v>1300.55</v>
      </c>
      <c r="H66">
        <v>1300.55</v>
      </c>
    </row>
    <row r="67" spans="1:8" x14ac:dyDescent="0.35">
      <c r="A67">
        <v>103407376</v>
      </c>
      <c r="B67" t="s">
        <v>4076</v>
      </c>
      <c r="C67" s="2">
        <v>44748</v>
      </c>
      <c r="D67">
        <v>1984.55</v>
      </c>
      <c r="E67">
        <v>1</v>
      </c>
      <c r="F67">
        <v>1</v>
      </c>
      <c r="G67">
        <v>1984.55</v>
      </c>
      <c r="H67">
        <v>1984.55</v>
      </c>
    </row>
    <row r="68" spans="1:8" x14ac:dyDescent="0.35">
      <c r="A68">
        <v>103407377</v>
      </c>
      <c r="B68" t="s">
        <v>4076</v>
      </c>
      <c r="C68" s="2">
        <v>44748</v>
      </c>
      <c r="D68">
        <v>4321.55</v>
      </c>
      <c r="E68">
        <v>1</v>
      </c>
      <c r="F68">
        <v>1</v>
      </c>
      <c r="G68">
        <v>4321.55</v>
      </c>
      <c r="H68">
        <v>4321.55</v>
      </c>
    </row>
    <row r="69" spans="1:8" x14ac:dyDescent="0.35">
      <c r="A69">
        <v>103407381</v>
      </c>
      <c r="B69" t="s">
        <v>4076</v>
      </c>
      <c r="C69" s="2">
        <v>44748</v>
      </c>
      <c r="D69">
        <v>675.97</v>
      </c>
      <c r="E69">
        <v>1</v>
      </c>
      <c r="F69">
        <v>1</v>
      </c>
      <c r="G69">
        <v>675.97</v>
      </c>
      <c r="H69">
        <v>675.97</v>
      </c>
    </row>
    <row r="70" spans="1:8" x14ac:dyDescent="0.35">
      <c r="A70">
        <v>103407392</v>
      </c>
      <c r="B70" t="s">
        <v>4076</v>
      </c>
      <c r="C70" s="2">
        <v>44748</v>
      </c>
      <c r="D70">
        <v>2309</v>
      </c>
      <c r="E70">
        <v>1</v>
      </c>
      <c r="F70">
        <v>1</v>
      </c>
      <c r="G70">
        <v>2309</v>
      </c>
      <c r="H70">
        <v>2309</v>
      </c>
    </row>
    <row r="71" spans="1:8" x14ac:dyDescent="0.35">
      <c r="A71">
        <v>103407402</v>
      </c>
      <c r="B71" t="s">
        <v>4076</v>
      </c>
      <c r="C71" s="2">
        <v>44748</v>
      </c>
      <c r="D71">
        <v>626.04999999999995</v>
      </c>
      <c r="E71">
        <v>1</v>
      </c>
      <c r="F71">
        <v>1</v>
      </c>
      <c r="G71">
        <v>626.04999999999995</v>
      </c>
      <c r="H71">
        <v>626.04999999999995</v>
      </c>
    </row>
    <row r="72" spans="1:8" x14ac:dyDescent="0.35">
      <c r="A72">
        <v>103407405</v>
      </c>
      <c r="B72" t="s">
        <v>4076</v>
      </c>
      <c r="C72" s="2">
        <v>44748</v>
      </c>
      <c r="D72">
        <v>3499</v>
      </c>
      <c r="E72">
        <v>1</v>
      </c>
      <c r="F72">
        <v>1</v>
      </c>
      <c r="G72">
        <v>3499</v>
      </c>
      <c r="H72">
        <v>3499</v>
      </c>
    </row>
    <row r="73" spans="1:8" x14ac:dyDescent="0.35">
      <c r="A73">
        <v>103407406</v>
      </c>
      <c r="B73" t="s">
        <v>4076</v>
      </c>
      <c r="C73" s="2">
        <v>44748</v>
      </c>
      <c r="D73">
        <v>673.55</v>
      </c>
      <c r="E73">
        <v>1</v>
      </c>
      <c r="F73">
        <v>1</v>
      </c>
      <c r="G73">
        <v>673.55</v>
      </c>
      <c r="H73">
        <v>673.55</v>
      </c>
    </row>
    <row r="74" spans="1:8" x14ac:dyDescent="0.35">
      <c r="A74">
        <v>103407408</v>
      </c>
      <c r="B74" t="s">
        <v>4076</v>
      </c>
      <c r="C74" s="2">
        <v>44748</v>
      </c>
      <c r="D74">
        <v>4549</v>
      </c>
      <c r="E74">
        <v>1</v>
      </c>
      <c r="F74">
        <v>1</v>
      </c>
      <c r="G74">
        <v>4549</v>
      </c>
      <c r="H74">
        <v>4549</v>
      </c>
    </row>
    <row r="75" spans="1:8" x14ac:dyDescent="0.35">
      <c r="A75">
        <v>103407410</v>
      </c>
      <c r="B75" t="s">
        <v>4076</v>
      </c>
      <c r="C75" s="2">
        <v>44748</v>
      </c>
      <c r="D75">
        <v>1269</v>
      </c>
      <c r="E75">
        <v>1</v>
      </c>
      <c r="F75">
        <v>1</v>
      </c>
      <c r="G75">
        <v>1269</v>
      </c>
      <c r="H75">
        <v>1269</v>
      </c>
    </row>
    <row r="76" spans="1:8" x14ac:dyDescent="0.35">
      <c r="A76">
        <v>103407422</v>
      </c>
      <c r="B76" t="s">
        <v>4076</v>
      </c>
      <c r="C76" s="2">
        <v>44748</v>
      </c>
      <c r="D76">
        <v>839</v>
      </c>
      <c r="E76">
        <v>1</v>
      </c>
      <c r="F76">
        <v>1</v>
      </c>
      <c r="G76">
        <v>839</v>
      </c>
      <c r="H76">
        <v>839</v>
      </c>
    </row>
    <row r="77" spans="1:8" x14ac:dyDescent="0.35">
      <c r="A77">
        <v>103407425</v>
      </c>
      <c r="B77" t="s">
        <v>4076</v>
      </c>
      <c r="C77" s="2">
        <v>44748</v>
      </c>
      <c r="D77">
        <v>4767.1000000000004</v>
      </c>
      <c r="E77">
        <v>2</v>
      </c>
      <c r="F77">
        <v>1</v>
      </c>
      <c r="G77">
        <v>2383.5500000000002</v>
      </c>
      <c r="H77">
        <v>4767.1000000000004</v>
      </c>
    </row>
    <row r="78" spans="1:8" x14ac:dyDescent="0.35">
      <c r="A78">
        <v>103407426</v>
      </c>
      <c r="B78" t="s">
        <v>4076</v>
      </c>
      <c r="C78" s="2">
        <v>44748</v>
      </c>
      <c r="D78">
        <v>1428</v>
      </c>
      <c r="E78">
        <v>2</v>
      </c>
      <c r="F78">
        <v>1</v>
      </c>
      <c r="G78">
        <v>714</v>
      </c>
      <c r="H78">
        <v>1428</v>
      </c>
    </row>
    <row r="79" spans="1:8" x14ac:dyDescent="0.35">
      <c r="A79">
        <v>103407428</v>
      </c>
      <c r="B79" t="s">
        <v>4076</v>
      </c>
      <c r="C79" s="2">
        <v>44748</v>
      </c>
      <c r="D79">
        <v>2399</v>
      </c>
      <c r="E79">
        <v>1</v>
      </c>
      <c r="F79">
        <v>1</v>
      </c>
      <c r="G79">
        <v>2399</v>
      </c>
      <c r="H79">
        <v>2399</v>
      </c>
    </row>
    <row r="80" spans="1:8" x14ac:dyDescent="0.35">
      <c r="A80">
        <v>103407431</v>
      </c>
      <c r="B80" t="s">
        <v>4076</v>
      </c>
      <c r="C80" s="2">
        <v>44748</v>
      </c>
      <c r="D80">
        <v>1136.25</v>
      </c>
      <c r="E80">
        <v>1</v>
      </c>
      <c r="F80">
        <v>1</v>
      </c>
      <c r="G80">
        <v>1136.25</v>
      </c>
      <c r="H80">
        <v>1136.25</v>
      </c>
    </row>
    <row r="81" spans="1:8" x14ac:dyDescent="0.35">
      <c r="A81">
        <v>103407434</v>
      </c>
      <c r="B81" t="s">
        <v>4076</v>
      </c>
      <c r="C81" s="2">
        <v>44748</v>
      </c>
      <c r="D81">
        <v>3899</v>
      </c>
      <c r="E81">
        <v>1</v>
      </c>
      <c r="F81">
        <v>1</v>
      </c>
      <c r="G81">
        <v>3899</v>
      </c>
      <c r="H81">
        <v>3899</v>
      </c>
    </row>
    <row r="82" spans="1:8" x14ac:dyDescent="0.35">
      <c r="A82">
        <v>103407459</v>
      </c>
      <c r="B82" t="s">
        <v>4076</v>
      </c>
      <c r="C82" s="2">
        <v>44748</v>
      </c>
      <c r="D82">
        <v>417.05</v>
      </c>
      <c r="E82">
        <v>1</v>
      </c>
      <c r="F82">
        <v>1</v>
      </c>
      <c r="G82">
        <v>417.05</v>
      </c>
      <c r="H82">
        <v>417.05</v>
      </c>
    </row>
    <row r="83" spans="1:8" x14ac:dyDescent="0.35">
      <c r="A83">
        <v>103407466</v>
      </c>
      <c r="B83" t="s">
        <v>4076</v>
      </c>
      <c r="C83" s="2">
        <v>44748</v>
      </c>
      <c r="D83">
        <v>4199</v>
      </c>
      <c r="E83">
        <v>1</v>
      </c>
      <c r="F83">
        <v>1</v>
      </c>
      <c r="G83">
        <v>4199</v>
      </c>
      <c r="H83">
        <v>4199</v>
      </c>
    </row>
    <row r="84" spans="1:8" x14ac:dyDescent="0.35">
      <c r="A84">
        <v>103407474</v>
      </c>
      <c r="B84" t="s">
        <v>4076</v>
      </c>
      <c r="C84" s="2">
        <v>44748</v>
      </c>
      <c r="D84">
        <v>1259</v>
      </c>
      <c r="E84">
        <v>1</v>
      </c>
      <c r="F84">
        <v>1</v>
      </c>
      <c r="G84">
        <v>1259</v>
      </c>
      <c r="H84">
        <v>1259</v>
      </c>
    </row>
    <row r="85" spans="1:8" x14ac:dyDescent="0.35">
      <c r="A85">
        <v>103407475</v>
      </c>
      <c r="B85" t="s">
        <v>4076</v>
      </c>
      <c r="C85" s="2">
        <v>44748</v>
      </c>
      <c r="D85">
        <v>489</v>
      </c>
      <c r="E85">
        <v>1</v>
      </c>
      <c r="F85">
        <v>1</v>
      </c>
      <c r="G85">
        <v>489</v>
      </c>
      <c r="H85">
        <v>489</v>
      </c>
    </row>
    <row r="86" spans="1:8" x14ac:dyDescent="0.35">
      <c r="A86">
        <v>103407478</v>
      </c>
      <c r="B86" t="s">
        <v>4076</v>
      </c>
      <c r="C86" s="2">
        <v>44748</v>
      </c>
      <c r="D86">
        <v>2549</v>
      </c>
      <c r="E86">
        <v>1</v>
      </c>
      <c r="F86">
        <v>1</v>
      </c>
      <c r="G86">
        <v>2549</v>
      </c>
      <c r="H86">
        <v>2549</v>
      </c>
    </row>
    <row r="87" spans="1:8" x14ac:dyDescent="0.35">
      <c r="A87">
        <v>103407480</v>
      </c>
      <c r="B87" t="s">
        <v>4076</v>
      </c>
      <c r="C87" s="2">
        <v>44748</v>
      </c>
      <c r="D87">
        <v>2199</v>
      </c>
      <c r="E87">
        <v>1</v>
      </c>
      <c r="F87">
        <v>1</v>
      </c>
      <c r="G87">
        <v>2199</v>
      </c>
      <c r="H87">
        <v>2199</v>
      </c>
    </row>
    <row r="88" spans="1:8" x14ac:dyDescent="0.35">
      <c r="A88">
        <v>103407482</v>
      </c>
      <c r="B88" t="s">
        <v>4076</v>
      </c>
      <c r="C88" s="2">
        <v>44748</v>
      </c>
      <c r="D88">
        <v>2241.0500000000002</v>
      </c>
      <c r="E88">
        <v>1</v>
      </c>
      <c r="F88">
        <v>1</v>
      </c>
      <c r="G88">
        <v>2241.0500000000002</v>
      </c>
      <c r="H88">
        <v>2241.0500000000002</v>
      </c>
    </row>
    <row r="89" spans="1:8" x14ac:dyDescent="0.35">
      <c r="A89">
        <v>103407483</v>
      </c>
      <c r="B89" t="s">
        <v>4076</v>
      </c>
      <c r="C89" s="2">
        <v>44748</v>
      </c>
      <c r="D89">
        <v>3590.14</v>
      </c>
      <c r="E89">
        <v>1</v>
      </c>
      <c r="F89">
        <v>1</v>
      </c>
      <c r="G89">
        <v>3590.14</v>
      </c>
      <c r="H89">
        <v>3590.14</v>
      </c>
    </row>
    <row r="90" spans="1:8" x14ac:dyDescent="0.35">
      <c r="A90">
        <v>103407488</v>
      </c>
      <c r="B90" t="s">
        <v>4076</v>
      </c>
      <c r="C90" s="2">
        <v>44748</v>
      </c>
      <c r="D90">
        <v>3999</v>
      </c>
      <c r="E90">
        <v>1</v>
      </c>
      <c r="F90">
        <v>1</v>
      </c>
      <c r="G90">
        <v>3999</v>
      </c>
      <c r="H90">
        <v>3999</v>
      </c>
    </row>
    <row r="91" spans="1:8" x14ac:dyDescent="0.35">
      <c r="A91">
        <v>103407489</v>
      </c>
      <c r="B91" t="s">
        <v>4076</v>
      </c>
      <c r="C91" s="2">
        <v>44748</v>
      </c>
      <c r="D91">
        <v>1551.4</v>
      </c>
      <c r="E91">
        <v>1</v>
      </c>
      <c r="F91">
        <v>1</v>
      </c>
      <c r="G91">
        <v>1551.4</v>
      </c>
      <c r="H91">
        <v>1551.4</v>
      </c>
    </row>
    <row r="92" spans="1:8" x14ac:dyDescent="0.35">
      <c r="A92">
        <v>103407491</v>
      </c>
      <c r="B92" t="s">
        <v>4076</v>
      </c>
      <c r="C92" s="2">
        <v>44748</v>
      </c>
      <c r="D92">
        <v>2399</v>
      </c>
      <c r="E92">
        <v>1</v>
      </c>
      <c r="F92">
        <v>1</v>
      </c>
      <c r="G92">
        <v>2399</v>
      </c>
      <c r="H92">
        <v>2399</v>
      </c>
    </row>
    <row r="93" spans="1:8" x14ac:dyDescent="0.35">
      <c r="A93">
        <v>103407494</v>
      </c>
      <c r="B93" t="s">
        <v>4076</v>
      </c>
      <c r="C93" s="2">
        <v>44748</v>
      </c>
      <c r="D93">
        <v>3324.05</v>
      </c>
      <c r="E93">
        <v>1</v>
      </c>
      <c r="F93">
        <v>1</v>
      </c>
      <c r="G93">
        <v>3324.05</v>
      </c>
      <c r="H93">
        <v>3324.05</v>
      </c>
    </row>
    <row r="94" spans="1:8" x14ac:dyDescent="0.35">
      <c r="A94">
        <v>103407503</v>
      </c>
      <c r="B94" t="s">
        <v>4076</v>
      </c>
      <c r="C94" s="2">
        <v>44748</v>
      </c>
      <c r="D94">
        <v>2279.0500000000002</v>
      </c>
      <c r="E94">
        <v>1</v>
      </c>
      <c r="F94">
        <v>1</v>
      </c>
      <c r="G94">
        <v>2279.0500000000002</v>
      </c>
      <c r="H94">
        <v>2279.0500000000002</v>
      </c>
    </row>
    <row r="95" spans="1:8" x14ac:dyDescent="0.35">
      <c r="A95">
        <v>103407505</v>
      </c>
      <c r="B95" t="s">
        <v>4076</v>
      </c>
      <c r="C95" s="2">
        <v>44748</v>
      </c>
      <c r="D95">
        <v>540.6</v>
      </c>
      <c r="E95">
        <v>1</v>
      </c>
      <c r="F95">
        <v>1</v>
      </c>
      <c r="G95">
        <v>540.6</v>
      </c>
      <c r="H95">
        <v>540.6</v>
      </c>
    </row>
    <row r="96" spans="1:8" x14ac:dyDescent="0.35">
      <c r="A96">
        <v>103407506</v>
      </c>
      <c r="B96" t="s">
        <v>4076</v>
      </c>
      <c r="C96" s="2">
        <v>44748</v>
      </c>
      <c r="D96">
        <v>2051.14</v>
      </c>
      <c r="E96">
        <v>1</v>
      </c>
      <c r="F96">
        <v>1</v>
      </c>
      <c r="G96">
        <v>2051.14</v>
      </c>
      <c r="H96">
        <v>2051.14</v>
      </c>
    </row>
    <row r="97" spans="1:8" x14ac:dyDescent="0.35">
      <c r="A97">
        <v>103407508</v>
      </c>
      <c r="B97" t="s">
        <v>4076</v>
      </c>
      <c r="C97" s="2">
        <v>44748</v>
      </c>
      <c r="D97">
        <v>2089.0500000000002</v>
      </c>
      <c r="E97">
        <v>1</v>
      </c>
      <c r="F97">
        <v>1</v>
      </c>
      <c r="G97">
        <v>2089.0500000000002</v>
      </c>
      <c r="H97">
        <v>2089.0500000000002</v>
      </c>
    </row>
    <row r="98" spans="1:8" x14ac:dyDescent="0.35">
      <c r="A98">
        <v>103407511</v>
      </c>
      <c r="B98" t="s">
        <v>4076</v>
      </c>
      <c r="C98" s="2">
        <v>44748</v>
      </c>
      <c r="D98">
        <v>1079</v>
      </c>
      <c r="E98">
        <v>1</v>
      </c>
      <c r="F98">
        <v>1</v>
      </c>
      <c r="G98">
        <v>1079</v>
      </c>
      <c r="H98">
        <v>1079</v>
      </c>
    </row>
    <row r="99" spans="1:8" x14ac:dyDescent="0.35">
      <c r="A99">
        <v>103407514</v>
      </c>
      <c r="B99" t="s">
        <v>4076</v>
      </c>
      <c r="C99" s="2">
        <v>44748</v>
      </c>
      <c r="D99">
        <v>3149</v>
      </c>
      <c r="E99">
        <v>1</v>
      </c>
      <c r="F99">
        <v>1</v>
      </c>
      <c r="G99">
        <v>3149</v>
      </c>
      <c r="H99">
        <v>3149</v>
      </c>
    </row>
    <row r="100" spans="1:8" x14ac:dyDescent="0.35">
      <c r="A100">
        <v>103407518</v>
      </c>
      <c r="B100" t="s">
        <v>4076</v>
      </c>
      <c r="C100" s="2">
        <v>44748</v>
      </c>
      <c r="D100">
        <v>3656.55</v>
      </c>
      <c r="E100">
        <v>1</v>
      </c>
      <c r="F100">
        <v>1</v>
      </c>
      <c r="G100">
        <v>3656.55</v>
      </c>
      <c r="H100">
        <v>3656.55</v>
      </c>
    </row>
    <row r="101" spans="1:8" x14ac:dyDescent="0.35">
      <c r="A101">
        <v>103407523</v>
      </c>
      <c r="B101" t="s">
        <v>4076</v>
      </c>
      <c r="C101" s="2">
        <v>44748</v>
      </c>
      <c r="D101">
        <v>2393.14</v>
      </c>
      <c r="E101">
        <v>1</v>
      </c>
      <c r="F101">
        <v>1</v>
      </c>
      <c r="G101">
        <v>2393.14</v>
      </c>
      <c r="H101">
        <v>2393.14</v>
      </c>
    </row>
    <row r="102" spans="1:8" x14ac:dyDescent="0.35">
      <c r="A102">
        <v>103407526</v>
      </c>
      <c r="B102" t="s">
        <v>4076</v>
      </c>
      <c r="C102" s="2">
        <v>44748</v>
      </c>
      <c r="D102">
        <v>2098.5</v>
      </c>
      <c r="E102">
        <v>2</v>
      </c>
      <c r="F102">
        <v>1</v>
      </c>
      <c r="G102">
        <v>1049.25</v>
      </c>
      <c r="H102">
        <v>2098.5</v>
      </c>
    </row>
    <row r="103" spans="1:8" x14ac:dyDescent="0.35">
      <c r="A103">
        <v>103407532</v>
      </c>
      <c r="B103" t="s">
        <v>4076</v>
      </c>
      <c r="C103" s="2">
        <v>44748</v>
      </c>
      <c r="D103">
        <v>4008.05</v>
      </c>
      <c r="E103">
        <v>1</v>
      </c>
      <c r="F103">
        <v>1</v>
      </c>
      <c r="G103">
        <v>4008.05</v>
      </c>
      <c r="H103">
        <v>4008.05</v>
      </c>
    </row>
    <row r="104" spans="1:8" x14ac:dyDescent="0.35">
      <c r="A104">
        <v>103407533</v>
      </c>
      <c r="B104" t="s">
        <v>4076</v>
      </c>
      <c r="C104" s="2">
        <v>44748</v>
      </c>
      <c r="D104">
        <v>1259</v>
      </c>
      <c r="E104">
        <v>1</v>
      </c>
      <c r="F104">
        <v>1</v>
      </c>
      <c r="G104">
        <v>1259</v>
      </c>
      <c r="H104">
        <v>1259</v>
      </c>
    </row>
    <row r="105" spans="1:8" x14ac:dyDescent="0.35">
      <c r="A105">
        <v>103407538</v>
      </c>
      <c r="B105" t="s">
        <v>4076</v>
      </c>
      <c r="C105" s="2">
        <v>44748</v>
      </c>
      <c r="D105">
        <v>4962.8500000000004</v>
      </c>
      <c r="E105">
        <v>1</v>
      </c>
      <c r="F105">
        <v>1</v>
      </c>
      <c r="G105">
        <v>4962.8500000000004</v>
      </c>
      <c r="H105">
        <v>4962.8500000000004</v>
      </c>
    </row>
    <row r="106" spans="1:8" x14ac:dyDescent="0.35">
      <c r="A106">
        <v>103407539</v>
      </c>
      <c r="B106" t="s">
        <v>4076</v>
      </c>
      <c r="C106" s="2">
        <v>44748</v>
      </c>
      <c r="D106">
        <v>1499</v>
      </c>
      <c r="E106">
        <v>1</v>
      </c>
      <c r="F106">
        <v>1</v>
      </c>
      <c r="G106">
        <v>1499</v>
      </c>
      <c r="H106">
        <v>1499</v>
      </c>
    </row>
    <row r="107" spans="1:8" x14ac:dyDescent="0.35">
      <c r="A107">
        <v>103407544</v>
      </c>
      <c r="B107" t="s">
        <v>4076</v>
      </c>
      <c r="C107" s="2">
        <v>44748</v>
      </c>
      <c r="D107">
        <v>1259</v>
      </c>
      <c r="E107">
        <v>1</v>
      </c>
      <c r="F107">
        <v>1</v>
      </c>
      <c r="G107">
        <v>1259</v>
      </c>
      <c r="H107">
        <v>1259</v>
      </c>
    </row>
    <row r="108" spans="1:8" x14ac:dyDescent="0.35">
      <c r="A108">
        <v>103407547</v>
      </c>
      <c r="B108" t="s">
        <v>4076</v>
      </c>
      <c r="C108" s="2">
        <v>44748</v>
      </c>
      <c r="D108">
        <v>649</v>
      </c>
      <c r="E108">
        <v>1</v>
      </c>
      <c r="F108">
        <v>1</v>
      </c>
      <c r="G108">
        <v>649</v>
      </c>
      <c r="H108">
        <v>649</v>
      </c>
    </row>
    <row r="109" spans="1:8" x14ac:dyDescent="0.35">
      <c r="A109">
        <v>103407550</v>
      </c>
      <c r="B109" t="s">
        <v>4076</v>
      </c>
      <c r="C109" s="2">
        <v>44748</v>
      </c>
      <c r="D109">
        <v>4499</v>
      </c>
      <c r="E109">
        <v>1</v>
      </c>
      <c r="F109">
        <v>1</v>
      </c>
      <c r="G109">
        <v>4499</v>
      </c>
      <c r="H109">
        <v>4499</v>
      </c>
    </row>
    <row r="110" spans="1:8" x14ac:dyDescent="0.35">
      <c r="A110">
        <v>103407555</v>
      </c>
      <c r="B110" t="s">
        <v>4076</v>
      </c>
      <c r="C110" s="2">
        <v>44748</v>
      </c>
      <c r="D110">
        <v>2699</v>
      </c>
      <c r="E110">
        <v>1</v>
      </c>
      <c r="F110">
        <v>1</v>
      </c>
      <c r="G110">
        <v>2699</v>
      </c>
      <c r="H110">
        <v>2699</v>
      </c>
    </row>
    <row r="111" spans="1:8" x14ac:dyDescent="0.35">
      <c r="A111">
        <v>103407556</v>
      </c>
      <c r="B111" t="s">
        <v>4076</v>
      </c>
      <c r="C111" s="2">
        <v>44748</v>
      </c>
      <c r="D111">
        <v>2715.1</v>
      </c>
      <c r="E111">
        <v>2</v>
      </c>
      <c r="F111">
        <v>1</v>
      </c>
      <c r="G111">
        <v>1357.55</v>
      </c>
      <c r="H111">
        <v>2715.1</v>
      </c>
    </row>
    <row r="112" spans="1:8" x14ac:dyDescent="0.35">
      <c r="A112">
        <v>103407557</v>
      </c>
      <c r="B112" t="s">
        <v>4076</v>
      </c>
      <c r="C112" s="2">
        <v>44748</v>
      </c>
      <c r="D112">
        <v>759.05</v>
      </c>
      <c r="E112">
        <v>1</v>
      </c>
      <c r="F112">
        <v>1</v>
      </c>
      <c r="G112">
        <v>759.05</v>
      </c>
      <c r="H112">
        <v>759.05</v>
      </c>
    </row>
    <row r="113" spans="1:8" x14ac:dyDescent="0.35">
      <c r="A113">
        <v>103407558</v>
      </c>
      <c r="B113" t="s">
        <v>4076</v>
      </c>
      <c r="C113" s="2">
        <v>44748</v>
      </c>
      <c r="D113">
        <v>3116</v>
      </c>
      <c r="E113">
        <v>4</v>
      </c>
      <c r="F113">
        <v>1</v>
      </c>
      <c r="G113">
        <v>779</v>
      </c>
      <c r="H113">
        <v>3116</v>
      </c>
    </row>
    <row r="114" spans="1:8" x14ac:dyDescent="0.35">
      <c r="A114">
        <v>103407559</v>
      </c>
      <c r="B114" t="s">
        <v>4076</v>
      </c>
      <c r="C114" s="2">
        <v>44748</v>
      </c>
      <c r="D114">
        <v>899</v>
      </c>
      <c r="E114">
        <v>1</v>
      </c>
      <c r="F114">
        <v>1</v>
      </c>
      <c r="G114">
        <v>899</v>
      </c>
      <c r="H114">
        <v>899</v>
      </c>
    </row>
    <row r="115" spans="1:8" x14ac:dyDescent="0.35">
      <c r="A115">
        <v>103407566</v>
      </c>
      <c r="B115" t="s">
        <v>4076</v>
      </c>
      <c r="C115" s="2">
        <v>44748</v>
      </c>
      <c r="D115">
        <v>1119</v>
      </c>
      <c r="E115">
        <v>1</v>
      </c>
      <c r="F115">
        <v>1</v>
      </c>
      <c r="G115">
        <v>1119</v>
      </c>
      <c r="H115">
        <v>1119</v>
      </c>
    </row>
    <row r="116" spans="1:8" x14ac:dyDescent="0.35">
      <c r="A116">
        <v>103407568</v>
      </c>
      <c r="B116" t="s">
        <v>4076</v>
      </c>
      <c r="C116" s="2">
        <v>44748</v>
      </c>
      <c r="D116">
        <v>4799</v>
      </c>
      <c r="E116">
        <v>1</v>
      </c>
      <c r="F116">
        <v>1</v>
      </c>
      <c r="G116">
        <v>4799</v>
      </c>
      <c r="H116">
        <v>4799</v>
      </c>
    </row>
    <row r="117" spans="1:8" x14ac:dyDescent="0.35">
      <c r="A117">
        <v>103407571</v>
      </c>
      <c r="B117" t="s">
        <v>4076</v>
      </c>
      <c r="C117" s="2">
        <v>44748</v>
      </c>
      <c r="D117">
        <v>3797.1499999999901</v>
      </c>
      <c r="E117">
        <v>3</v>
      </c>
      <c r="F117">
        <v>1</v>
      </c>
      <c r="G117">
        <v>1265.7166666666601</v>
      </c>
      <c r="H117">
        <v>3797.1499999999901</v>
      </c>
    </row>
    <row r="118" spans="1:8" x14ac:dyDescent="0.35">
      <c r="A118">
        <v>103407573</v>
      </c>
      <c r="B118" t="s">
        <v>4076</v>
      </c>
      <c r="C118" s="2">
        <v>44748</v>
      </c>
      <c r="D118">
        <v>1499</v>
      </c>
      <c r="E118">
        <v>1</v>
      </c>
      <c r="F118">
        <v>1</v>
      </c>
      <c r="G118">
        <v>1499</v>
      </c>
      <c r="H118">
        <v>1499</v>
      </c>
    </row>
    <row r="119" spans="1:8" x14ac:dyDescent="0.35">
      <c r="A119">
        <v>103407575</v>
      </c>
      <c r="B119" t="s">
        <v>4076</v>
      </c>
      <c r="C119" s="2">
        <v>44748</v>
      </c>
      <c r="D119">
        <v>521.54999999999995</v>
      </c>
      <c r="E119">
        <v>1</v>
      </c>
      <c r="F119">
        <v>1</v>
      </c>
      <c r="G119">
        <v>521.54999999999995</v>
      </c>
      <c r="H119">
        <v>521.54999999999995</v>
      </c>
    </row>
    <row r="120" spans="1:8" x14ac:dyDescent="0.35">
      <c r="A120">
        <v>103407577</v>
      </c>
      <c r="B120" t="s">
        <v>4076</v>
      </c>
      <c r="C120" s="2">
        <v>44748</v>
      </c>
      <c r="D120">
        <v>2999</v>
      </c>
      <c r="E120">
        <v>1</v>
      </c>
      <c r="F120">
        <v>1</v>
      </c>
      <c r="G120">
        <v>2999</v>
      </c>
      <c r="H120">
        <v>2999</v>
      </c>
    </row>
    <row r="121" spans="1:8" x14ac:dyDescent="0.35">
      <c r="A121">
        <v>103407580</v>
      </c>
      <c r="B121" t="s">
        <v>4076</v>
      </c>
      <c r="C121" s="2">
        <v>44748</v>
      </c>
      <c r="D121">
        <v>2469.0500000000002</v>
      </c>
      <c r="E121">
        <v>1</v>
      </c>
      <c r="F121">
        <v>1</v>
      </c>
      <c r="G121">
        <v>2469.0500000000002</v>
      </c>
      <c r="H121">
        <v>2469.0500000000002</v>
      </c>
    </row>
    <row r="122" spans="1:8" x14ac:dyDescent="0.35">
      <c r="A122">
        <v>103407583</v>
      </c>
      <c r="B122" t="s">
        <v>4076</v>
      </c>
      <c r="C122" s="2">
        <v>44748</v>
      </c>
      <c r="D122">
        <v>2309</v>
      </c>
      <c r="E122">
        <v>1</v>
      </c>
      <c r="F122">
        <v>1</v>
      </c>
      <c r="G122">
        <v>2309</v>
      </c>
      <c r="H122">
        <v>2309</v>
      </c>
    </row>
    <row r="123" spans="1:8" x14ac:dyDescent="0.35">
      <c r="A123">
        <v>103407593</v>
      </c>
      <c r="B123" t="s">
        <v>4076</v>
      </c>
      <c r="C123" s="2">
        <v>44748</v>
      </c>
      <c r="D123">
        <v>1899.05</v>
      </c>
      <c r="E123">
        <v>1</v>
      </c>
      <c r="F123">
        <v>1</v>
      </c>
      <c r="G123">
        <v>1899.05</v>
      </c>
      <c r="H123">
        <v>1899.05</v>
      </c>
    </row>
    <row r="124" spans="1:8" x14ac:dyDescent="0.35">
      <c r="A124">
        <v>103407598</v>
      </c>
      <c r="B124" t="s">
        <v>4076</v>
      </c>
      <c r="C124" s="2">
        <v>44748</v>
      </c>
      <c r="D124">
        <v>920.55</v>
      </c>
      <c r="E124">
        <v>1</v>
      </c>
      <c r="F124">
        <v>1</v>
      </c>
      <c r="G124">
        <v>920.55</v>
      </c>
      <c r="H124">
        <v>920.55</v>
      </c>
    </row>
    <row r="125" spans="1:8" x14ac:dyDescent="0.35">
      <c r="A125">
        <v>103407603</v>
      </c>
      <c r="B125" t="s">
        <v>4076</v>
      </c>
      <c r="C125" s="2">
        <v>44748</v>
      </c>
      <c r="D125">
        <v>1110.55</v>
      </c>
      <c r="E125">
        <v>1</v>
      </c>
      <c r="F125">
        <v>1</v>
      </c>
      <c r="G125">
        <v>1110.55</v>
      </c>
      <c r="H125">
        <v>1110.55</v>
      </c>
    </row>
    <row r="126" spans="1:8" x14ac:dyDescent="0.35">
      <c r="A126">
        <v>103407607</v>
      </c>
      <c r="B126" t="s">
        <v>4076</v>
      </c>
      <c r="C126" s="2">
        <v>44748</v>
      </c>
      <c r="D126">
        <v>4787.1400000000003</v>
      </c>
      <c r="E126">
        <v>1</v>
      </c>
      <c r="F126">
        <v>1</v>
      </c>
      <c r="G126">
        <v>4787.1400000000003</v>
      </c>
      <c r="H126">
        <v>4787.1400000000003</v>
      </c>
    </row>
    <row r="127" spans="1:8" x14ac:dyDescent="0.35">
      <c r="A127">
        <v>103407613</v>
      </c>
      <c r="B127" t="s">
        <v>4076</v>
      </c>
      <c r="C127" s="2">
        <v>44748</v>
      </c>
      <c r="D127">
        <v>2849.05</v>
      </c>
      <c r="E127">
        <v>1</v>
      </c>
      <c r="F127">
        <v>1</v>
      </c>
      <c r="G127">
        <v>2849.05</v>
      </c>
      <c r="H127">
        <v>2849.05</v>
      </c>
    </row>
    <row r="128" spans="1:8" x14ac:dyDescent="0.35">
      <c r="A128">
        <v>103407621</v>
      </c>
      <c r="B128" t="s">
        <v>4076</v>
      </c>
      <c r="C128" s="2">
        <v>44748</v>
      </c>
      <c r="D128">
        <v>2799</v>
      </c>
      <c r="E128">
        <v>1</v>
      </c>
      <c r="F128">
        <v>1</v>
      </c>
      <c r="G128">
        <v>2799</v>
      </c>
      <c r="H128">
        <v>2799</v>
      </c>
    </row>
    <row r="129" spans="1:8" x14ac:dyDescent="0.35">
      <c r="A129">
        <v>103407622</v>
      </c>
      <c r="B129" t="s">
        <v>4076</v>
      </c>
      <c r="C129" s="2">
        <v>44748</v>
      </c>
      <c r="D129">
        <v>2469.0500000000002</v>
      </c>
      <c r="E129">
        <v>1</v>
      </c>
      <c r="F129">
        <v>1</v>
      </c>
      <c r="G129">
        <v>2469.0500000000002</v>
      </c>
      <c r="H129">
        <v>2469.0500000000002</v>
      </c>
    </row>
    <row r="130" spans="1:8" x14ac:dyDescent="0.35">
      <c r="A130">
        <v>103407623</v>
      </c>
      <c r="B130" t="s">
        <v>4076</v>
      </c>
      <c r="C130" s="2">
        <v>44748</v>
      </c>
      <c r="D130">
        <v>2436.75</v>
      </c>
      <c r="E130">
        <v>1</v>
      </c>
      <c r="F130">
        <v>1</v>
      </c>
      <c r="G130">
        <v>2436.75</v>
      </c>
      <c r="H130">
        <v>2436.75</v>
      </c>
    </row>
    <row r="131" spans="1:8" x14ac:dyDescent="0.35">
      <c r="A131">
        <v>103407625</v>
      </c>
      <c r="B131" t="s">
        <v>4076</v>
      </c>
      <c r="C131" s="2">
        <v>44748</v>
      </c>
      <c r="D131">
        <v>1749</v>
      </c>
      <c r="E131">
        <v>1</v>
      </c>
      <c r="F131">
        <v>1</v>
      </c>
      <c r="G131">
        <v>1749</v>
      </c>
      <c r="H131">
        <v>1749</v>
      </c>
    </row>
    <row r="132" spans="1:8" x14ac:dyDescent="0.35">
      <c r="A132">
        <v>103407628</v>
      </c>
      <c r="B132" t="s">
        <v>4076</v>
      </c>
      <c r="C132" s="2">
        <v>44748</v>
      </c>
      <c r="D132">
        <v>3989.05</v>
      </c>
      <c r="E132">
        <v>1</v>
      </c>
      <c r="F132">
        <v>1</v>
      </c>
      <c r="G132">
        <v>3989.05</v>
      </c>
      <c r="H132">
        <v>3989.05</v>
      </c>
    </row>
    <row r="133" spans="1:8" x14ac:dyDescent="0.35">
      <c r="A133">
        <v>103407631</v>
      </c>
      <c r="B133" t="s">
        <v>4076</v>
      </c>
      <c r="C133" s="2">
        <v>44748</v>
      </c>
      <c r="D133">
        <v>7999</v>
      </c>
      <c r="E133">
        <v>1</v>
      </c>
      <c r="F133">
        <v>1</v>
      </c>
      <c r="G133">
        <v>7999</v>
      </c>
      <c r="H133">
        <v>7999</v>
      </c>
    </row>
    <row r="134" spans="1:8" x14ac:dyDescent="0.35">
      <c r="A134">
        <v>103407650</v>
      </c>
      <c r="B134" t="s">
        <v>4076</v>
      </c>
      <c r="C134" s="2">
        <v>44748</v>
      </c>
      <c r="D134">
        <v>5699.05</v>
      </c>
      <c r="E134">
        <v>1</v>
      </c>
      <c r="F134">
        <v>1</v>
      </c>
      <c r="G134">
        <v>5699.05</v>
      </c>
      <c r="H134">
        <v>5699.05</v>
      </c>
    </row>
    <row r="135" spans="1:8" x14ac:dyDescent="0.35">
      <c r="A135">
        <v>103407656</v>
      </c>
      <c r="B135" t="s">
        <v>4076</v>
      </c>
      <c r="C135" s="2">
        <v>44748</v>
      </c>
      <c r="D135">
        <v>2999</v>
      </c>
      <c r="E135">
        <v>1</v>
      </c>
      <c r="F135">
        <v>1</v>
      </c>
      <c r="G135">
        <v>2999</v>
      </c>
      <c r="H135">
        <v>2999</v>
      </c>
    </row>
    <row r="136" spans="1:8" x14ac:dyDescent="0.35">
      <c r="A136">
        <v>103407661</v>
      </c>
      <c r="B136" t="s">
        <v>4076</v>
      </c>
      <c r="C136" s="2">
        <v>44748</v>
      </c>
      <c r="D136">
        <v>1388.95</v>
      </c>
      <c r="E136">
        <v>1</v>
      </c>
      <c r="F136">
        <v>1</v>
      </c>
      <c r="G136">
        <v>1388.95</v>
      </c>
      <c r="H136">
        <v>1388.95</v>
      </c>
    </row>
    <row r="137" spans="1:8" x14ac:dyDescent="0.35">
      <c r="A137">
        <v>103407665</v>
      </c>
      <c r="B137" t="s">
        <v>4076</v>
      </c>
      <c r="C137" s="2">
        <v>44748</v>
      </c>
      <c r="D137">
        <v>2991.55</v>
      </c>
      <c r="E137">
        <v>1</v>
      </c>
      <c r="F137">
        <v>1</v>
      </c>
      <c r="G137">
        <v>2991.55</v>
      </c>
      <c r="H137">
        <v>2991.55</v>
      </c>
    </row>
    <row r="138" spans="1:8" x14ac:dyDescent="0.35">
      <c r="A138">
        <v>103407675</v>
      </c>
      <c r="B138" t="s">
        <v>4076</v>
      </c>
      <c r="C138" s="2">
        <v>44748</v>
      </c>
      <c r="D138">
        <v>1259</v>
      </c>
      <c r="E138">
        <v>1</v>
      </c>
      <c r="F138">
        <v>1</v>
      </c>
      <c r="G138">
        <v>1259</v>
      </c>
      <c r="H138">
        <v>1259</v>
      </c>
    </row>
    <row r="139" spans="1:8" x14ac:dyDescent="0.35">
      <c r="A139">
        <v>103407680</v>
      </c>
      <c r="B139" t="s">
        <v>4076</v>
      </c>
      <c r="C139" s="2">
        <v>44748</v>
      </c>
      <c r="D139">
        <v>740.05</v>
      </c>
      <c r="E139">
        <v>1</v>
      </c>
      <c r="F139">
        <v>1</v>
      </c>
      <c r="G139">
        <v>740.05</v>
      </c>
      <c r="H139">
        <v>740.05</v>
      </c>
    </row>
    <row r="140" spans="1:8" x14ac:dyDescent="0.35">
      <c r="A140">
        <v>103407685</v>
      </c>
      <c r="B140" t="s">
        <v>4076</v>
      </c>
      <c r="C140" s="2">
        <v>44748</v>
      </c>
      <c r="D140">
        <v>959</v>
      </c>
      <c r="E140">
        <v>1</v>
      </c>
      <c r="F140">
        <v>1</v>
      </c>
      <c r="G140">
        <v>959</v>
      </c>
      <c r="H140">
        <v>959</v>
      </c>
    </row>
    <row r="141" spans="1:8" x14ac:dyDescent="0.35">
      <c r="A141">
        <v>103407690</v>
      </c>
      <c r="B141" t="s">
        <v>4076</v>
      </c>
      <c r="C141" s="2">
        <v>44748</v>
      </c>
      <c r="D141">
        <v>2474.1</v>
      </c>
      <c r="E141">
        <v>1</v>
      </c>
      <c r="F141">
        <v>1</v>
      </c>
      <c r="G141">
        <v>2474.1</v>
      </c>
      <c r="H141">
        <v>2474.1</v>
      </c>
    </row>
    <row r="142" spans="1:8" x14ac:dyDescent="0.35">
      <c r="A142">
        <v>103407698</v>
      </c>
      <c r="B142" t="s">
        <v>4076</v>
      </c>
      <c r="C142" s="2">
        <v>44748</v>
      </c>
      <c r="D142">
        <v>5188.1399999999903</v>
      </c>
      <c r="E142">
        <v>2</v>
      </c>
      <c r="F142">
        <v>1</v>
      </c>
      <c r="G142">
        <v>2594.0699999999902</v>
      </c>
      <c r="H142">
        <v>5188.1399999999903</v>
      </c>
    </row>
    <row r="143" spans="1:8" x14ac:dyDescent="0.35">
      <c r="A143">
        <v>103407700</v>
      </c>
      <c r="B143" t="s">
        <v>4076</v>
      </c>
      <c r="C143" s="2">
        <v>44748</v>
      </c>
      <c r="D143">
        <v>2469.0500000000002</v>
      </c>
      <c r="E143">
        <v>1</v>
      </c>
      <c r="F143">
        <v>1</v>
      </c>
      <c r="G143">
        <v>2469.0500000000002</v>
      </c>
      <c r="H143">
        <v>2469.0500000000002</v>
      </c>
    </row>
    <row r="144" spans="1:8" x14ac:dyDescent="0.35">
      <c r="A144">
        <v>103407701</v>
      </c>
      <c r="B144" t="s">
        <v>4076</v>
      </c>
      <c r="C144" s="2">
        <v>44748</v>
      </c>
      <c r="D144">
        <v>799</v>
      </c>
      <c r="E144">
        <v>1</v>
      </c>
      <c r="F144">
        <v>1</v>
      </c>
      <c r="G144">
        <v>799</v>
      </c>
      <c r="H144">
        <v>799</v>
      </c>
    </row>
    <row r="145" spans="1:8" x14ac:dyDescent="0.35">
      <c r="A145">
        <v>103407711</v>
      </c>
      <c r="B145" t="s">
        <v>4076</v>
      </c>
      <c r="C145" s="2">
        <v>44748</v>
      </c>
      <c r="D145">
        <v>3899</v>
      </c>
      <c r="E145">
        <v>1</v>
      </c>
      <c r="F145">
        <v>1</v>
      </c>
      <c r="G145">
        <v>3899</v>
      </c>
      <c r="H145">
        <v>3899</v>
      </c>
    </row>
    <row r="146" spans="1:8" x14ac:dyDescent="0.35">
      <c r="A146">
        <v>103407712</v>
      </c>
      <c r="B146" t="s">
        <v>4076</v>
      </c>
      <c r="C146" s="2">
        <v>44748</v>
      </c>
      <c r="D146">
        <v>2307.64</v>
      </c>
      <c r="E146">
        <v>1</v>
      </c>
      <c r="F146">
        <v>1</v>
      </c>
      <c r="G146">
        <v>2307.64</v>
      </c>
      <c r="H146">
        <v>2307.64</v>
      </c>
    </row>
    <row r="147" spans="1:8" x14ac:dyDescent="0.35">
      <c r="A147">
        <v>103407717</v>
      </c>
      <c r="B147" t="s">
        <v>4076</v>
      </c>
      <c r="C147" s="2">
        <v>44748</v>
      </c>
      <c r="D147">
        <v>2307.64</v>
      </c>
      <c r="E147">
        <v>1</v>
      </c>
      <c r="F147">
        <v>1</v>
      </c>
      <c r="G147">
        <v>2307.64</v>
      </c>
      <c r="H147">
        <v>2307.64</v>
      </c>
    </row>
    <row r="148" spans="1:8" x14ac:dyDescent="0.35">
      <c r="A148">
        <v>103407720</v>
      </c>
      <c r="B148" t="s">
        <v>4076</v>
      </c>
      <c r="C148" s="2">
        <v>44748</v>
      </c>
      <c r="D148">
        <v>599</v>
      </c>
      <c r="E148">
        <v>1</v>
      </c>
      <c r="F148">
        <v>1</v>
      </c>
      <c r="G148">
        <v>599</v>
      </c>
      <c r="H148">
        <v>599</v>
      </c>
    </row>
    <row r="149" spans="1:8" x14ac:dyDescent="0.35">
      <c r="A149">
        <v>103407723</v>
      </c>
      <c r="B149" t="s">
        <v>4076</v>
      </c>
      <c r="C149" s="2">
        <v>44748</v>
      </c>
      <c r="D149">
        <v>626.04999999999995</v>
      </c>
      <c r="E149">
        <v>1</v>
      </c>
      <c r="F149">
        <v>1</v>
      </c>
      <c r="G149">
        <v>626.04999999999995</v>
      </c>
      <c r="H149">
        <v>626.04999999999995</v>
      </c>
    </row>
    <row r="150" spans="1:8" x14ac:dyDescent="0.35">
      <c r="A150">
        <v>103407728</v>
      </c>
      <c r="B150" t="s">
        <v>4076</v>
      </c>
      <c r="C150" s="2">
        <v>44748</v>
      </c>
      <c r="D150">
        <v>5865.35</v>
      </c>
      <c r="E150">
        <v>1</v>
      </c>
      <c r="F150">
        <v>1</v>
      </c>
      <c r="G150">
        <v>5865.35</v>
      </c>
      <c r="H150">
        <v>5865.35</v>
      </c>
    </row>
    <row r="151" spans="1:8" x14ac:dyDescent="0.35">
      <c r="A151">
        <v>103407730</v>
      </c>
      <c r="B151" t="s">
        <v>4076</v>
      </c>
      <c r="C151" s="2">
        <v>44748</v>
      </c>
      <c r="D151">
        <v>2999</v>
      </c>
      <c r="E151">
        <v>1</v>
      </c>
      <c r="F151">
        <v>1</v>
      </c>
      <c r="G151">
        <v>2999</v>
      </c>
      <c r="H151">
        <v>2999</v>
      </c>
    </row>
    <row r="152" spans="1:8" x14ac:dyDescent="0.35">
      <c r="A152">
        <v>103407735</v>
      </c>
      <c r="B152" t="s">
        <v>4076</v>
      </c>
      <c r="C152" s="2">
        <v>44748</v>
      </c>
      <c r="D152">
        <v>1758.97</v>
      </c>
      <c r="E152">
        <v>1</v>
      </c>
      <c r="F152">
        <v>1</v>
      </c>
      <c r="G152">
        <v>1758.97</v>
      </c>
      <c r="H152">
        <v>1758.97</v>
      </c>
    </row>
    <row r="153" spans="1:8" x14ac:dyDescent="0.35">
      <c r="A153">
        <v>103407742</v>
      </c>
      <c r="B153" t="s">
        <v>4076</v>
      </c>
      <c r="C153" s="2">
        <v>44748</v>
      </c>
      <c r="D153">
        <v>2309</v>
      </c>
      <c r="E153">
        <v>1</v>
      </c>
      <c r="F153">
        <v>1</v>
      </c>
      <c r="G153">
        <v>2309</v>
      </c>
      <c r="H153">
        <v>2309</v>
      </c>
    </row>
    <row r="154" spans="1:8" x14ac:dyDescent="0.35">
      <c r="A154">
        <v>103407743</v>
      </c>
      <c r="B154" t="s">
        <v>4076</v>
      </c>
      <c r="C154" s="2">
        <v>44748</v>
      </c>
      <c r="D154">
        <v>3375.54</v>
      </c>
      <c r="E154">
        <v>2</v>
      </c>
      <c r="F154">
        <v>1</v>
      </c>
      <c r="G154">
        <v>1687.77</v>
      </c>
      <c r="H154">
        <v>3375.54</v>
      </c>
    </row>
    <row r="155" spans="1:8" x14ac:dyDescent="0.35">
      <c r="A155">
        <v>103407746</v>
      </c>
      <c r="B155" t="s">
        <v>4076</v>
      </c>
      <c r="C155" s="2">
        <v>44748</v>
      </c>
      <c r="D155">
        <v>2611.5500000000002</v>
      </c>
      <c r="E155">
        <v>1</v>
      </c>
      <c r="F155">
        <v>1</v>
      </c>
      <c r="G155">
        <v>2611.5500000000002</v>
      </c>
      <c r="H155">
        <v>2611.5500000000002</v>
      </c>
    </row>
    <row r="156" spans="1:8" x14ac:dyDescent="0.35">
      <c r="A156">
        <v>103407747</v>
      </c>
      <c r="B156" t="s">
        <v>4076</v>
      </c>
      <c r="C156" s="2">
        <v>44748</v>
      </c>
      <c r="D156">
        <v>3889.39</v>
      </c>
      <c r="E156">
        <v>1</v>
      </c>
      <c r="F156">
        <v>1</v>
      </c>
      <c r="G156">
        <v>3889.39</v>
      </c>
      <c r="H156">
        <v>3889.39</v>
      </c>
    </row>
    <row r="157" spans="1:8" x14ac:dyDescent="0.35">
      <c r="A157">
        <v>103407752</v>
      </c>
      <c r="B157" t="s">
        <v>4076</v>
      </c>
      <c r="C157" s="2">
        <v>44748</v>
      </c>
      <c r="D157">
        <v>5129.05</v>
      </c>
      <c r="E157">
        <v>1</v>
      </c>
      <c r="F157">
        <v>1</v>
      </c>
      <c r="G157">
        <v>5129.05</v>
      </c>
      <c r="H157">
        <v>5129.05</v>
      </c>
    </row>
    <row r="158" spans="1:8" x14ac:dyDescent="0.35">
      <c r="A158">
        <v>103407760</v>
      </c>
      <c r="B158" t="s">
        <v>4076</v>
      </c>
      <c r="C158" s="2">
        <v>44748</v>
      </c>
      <c r="D158">
        <v>5048</v>
      </c>
      <c r="E158">
        <v>2</v>
      </c>
      <c r="F158">
        <v>1</v>
      </c>
      <c r="G158">
        <v>2524</v>
      </c>
      <c r="H158">
        <v>5048</v>
      </c>
    </row>
    <row r="159" spans="1:8" x14ac:dyDescent="0.35">
      <c r="A159">
        <v>103407766</v>
      </c>
      <c r="B159" t="s">
        <v>4076</v>
      </c>
      <c r="C159" s="2">
        <v>44748</v>
      </c>
      <c r="D159">
        <v>4559.05</v>
      </c>
      <c r="E159">
        <v>1</v>
      </c>
      <c r="F159">
        <v>1</v>
      </c>
      <c r="G159">
        <v>4559.05</v>
      </c>
      <c r="H159">
        <v>4559.05</v>
      </c>
    </row>
    <row r="160" spans="1:8" x14ac:dyDescent="0.35">
      <c r="A160">
        <v>103407767</v>
      </c>
      <c r="B160" t="s">
        <v>4076</v>
      </c>
      <c r="C160" s="2">
        <v>44748</v>
      </c>
      <c r="D160">
        <v>1939.99</v>
      </c>
      <c r="E160">
        <v>1</v>
      </c>
      <c r="F160">
        <v>1</v>
      </c>
      <c r="G160">
        <v>1939.99</v>
      </c>
      <c r="H160">
        <v>1939.99</v>
      </c>
    </row>
    <row r="161" spans="1:8" x14ac:dyDescent="0.35">
      <c r="A161">
        <v>103407776</v>
      </c>
      <c r="B161" t="s">
        <v>4076</v>
      </c>
      <c r="C161" s="2">
        <v>44748</v>
      </c>
      <c r="D161">
        <v>329</v>
      </c>
      <c r="E161">
        <v>1</v>
      </c>
      <c r="F161">
        <v>1</v>
      </c>
      <c r="G161">
        <v>329</v>
      </c>
      <c r="H161">
        <v>329</v>
      </c>
    </row>
    <row r="162" spans="1:8" x14ac:dyDescent="0.35">
      <c r="A162">
        <v>103407779</v>
      </c>
      <c r="B162" t="s">
        <v>4076</v>
      </c>
      <c r="C162" s="2">
        <v>44748</v>
      </c>
      <c r="D162">
        <v>3419.05</v>
      </c>
      <c r="E162">
        <v>1</v>
      </c>
      <c r="F162">
        <v>1</v>
      </c>
      <c r="G162">
        <v>3419.05</v>
      </c>
      <c r="H162">
        <v>3419.05</v>
      </c>
    </row>
    <row r="163" spans="1:8" x14ac:dyDescent="0.35">
      <c r="A163">
        <v>103407784</v>
      </c>
      <c r="B163" t="s">
        <v>4076</v>
      </c>
      <c r="C163" s="2">
        <v>44748</v>
      </c>
      <c r="D163">
        <v>540.6</v>
      </c>
      <c r="E163">
        <v>1</v>
      </c>
      <c r="F163">
        <v>1</v>
      </c>
      <c r="G163">
        <v>540.6</v>
      </c>
      <c r="H163">
        <v>540.6</v>
      </c>
    </row>
    <row r="164" spans="1:8" x14ac:dyDescent="0.35">
      <c r="A164">
        <v>103407786</v>
      </c>
      <c r="B164" t="s">
        <v>4076</v>
      </c>
      <c r="C164" s="2">
        <v>44748</v>
      </c>
      <c r="D164">
        <v>1349</v>
      </c>
      <c r="E164">
        <v>1</v>
      </c>
      <c r="F164">
        <v>1</v>
      </c>
      <c r="G164">
        <v>1349</v>
      </c>
      <c r="H164">
        <v>1349</v>
      </c>
    </row>
    <row r="165" spans="1:8" x14ac:dyDescent="0.35">
      <c r="A165">
        <v>103407790</v>
      </c>
      <c r="B165" t="s">
        <v>4076</v>
      </c>
      <c r="C165" s="2">
        <v>44748</v>
      </c>
      <c r="D165">
        <v>580.54</v>
      </c>
      <c r="E165">
        <v>1</v>
      </c>
      <c r="F165">
        <v>1</v>
      </c>
      <c r="G165">
        <v>580.54</v>
      </c>
      <c r="H165">
        <v>580.54</v>
      </c>
    </row>
    <row r="166" spans="1:8" x14ac:dyDescent="0.35">
      <c r="A166">
        <v>103407797</v>
      </c>
      <c r="B166" t="s">
        <v>4076</v>
      </c>
      <c r="C166" s="2">
        <v>44748</v>
      </c>
      <c r="D166">
        <v>1129.55</v>
      </c>
      <c r="E166">
        <v>1</v>
      </c>
      <c r="F166">
        <v>1</v>
      </c>
      <c r="G166">
        <v>1129.55</v>
      </c>
      <c r="H166">
        <v>1129.55</v>
      </c>
    </row>
    <row r="167" spans="1:8" x14ac:dyDescent="0.35">
      <c r="A167">
        <v>103407798</v>
      </c>
      <c r="B167" t="s">
        <v>4076</v>
      </c>
      <c r="C167" s="2">
        <v>44748</v>
      </c>
      <c r="D167">
        <v>1994.05</v>
      </c>
      <c r="E167">
        <v>1</v>
      </c>
      <c r="F167">
        <v>1</v>
      </c>
      <c r="G167">
        <v>1994.05</v>
      </c>
      <c r="H167">
        <v>1994.05</v>
      </c>
    </row>
    <row r="168" spans="1:8" x14ac:dyDescent="0.35">
      <c r="A168">
        <v>103407799</v>
      </c>
      <c r="B168" t="s">
        <v>4076</v>
      </c>
      <c r="C168" s="2">
        <v>44748</v>
      </c>
      <c r="D168">
        <v>3846.64</v>
      </c>
      <c r="E168">
        <v>1</v>
      </c>
      <c r="F168">
        <v>1</v>
      </c>
      <c r="G168">
        <v>3846.64</v>
      </c>
      <c r="H168">
        <v>3846.64</v>
      </c>
    </row>
    <row r="169" spans="1:8" x14ac:dyDescent="0.35">
      <c r="A169">
        <v>103407802</v>
      </c>
      <c r="B169" t="s">
        <v>4076</v>
      </c>
      <c r="C169" s="2">
        <v>44748</v>
      </c>
      <c r="D169">
        <v>4499</v>
      </c>
      <c r="E169">
        <v>1</v>
      </c>
      <c r="F169">
        <v>1</v>
      </c>
      <c r="G169">
        <v>4499</v>
      </c>
      <c r="H169">
        <v>4499</v>
      </c>
    </row>
    <row r="170" spans="1:8" x14ac:dyDescent="0.35">
      <c r="A170">
        <v>103407803</v>
      </c>
      <c r="B170" t="s">
        <v>4076</v>
      </c>
      <c r="C170" s="2">
        <v>44748</v>
      </c>
      <c r="D170">
        <v>1281.55</v>
      </c>
      <c r="E170">
        <v>1</v>
      </c>
      <c r="F170">
        <v>1</v>
      </c>
      <c r="G170">
        <v>1281.55</v>
      </c>
      <c r="H170">
        <v>1281.55</v>
      </c>
    </row>
    <row r="171" spans="1:8" x14ac:dyDescent="0.35">
      <c r="A171">
        <v>103407805</v>
      </c>
      <c r="B171" t="s">
        <v>4076</v>
      </c>
      <c r="C171" s="2">
        <v>44748</v>
      </c>
      <c r="D171">
        <v>369</v>
      </c>
      <c r="E171">
        <v>1</v>
      </c>
      <c r="F171">
        <v>1</v>
      </c>
      <c r="G171">
        <v>369</v>
      </c>
      <c r="H171">
        <v>369</v>
      </c>
    </row>
    <row r="172" spans="1:8" x14ac:dyDescent="0.35">
      <c r="A172">
        <v>103407817</v>
      </c>
      <c r="B172" t="s">
        <v>4076</v>
      </c>
      <c r="C172" s="2">
        <v>44748</v>
      </c>
      <c r="D172">
        <v>758</v>
      </c>
      <c r="E172">
        <v>2</v>
      </c>
      <c r="F172">
        <v>1</v>
      </c>
      <c r="G172">
        <v>379</v>
      </c>
      <c r="H172">
        <v>758</v>
      </c>
    </row>
    <row r="173" spans="1:8" x14ac:dyDescent="0.35">
      <c r="A173">
        <v>103407823</v>
      </c>
      <c r="B173" t="s">
        <v>4076</v>
      </c>
      <c r="C173" s="2">
        <v>44748</v>
      </c>
      <c r="D173">
        <v>350.55</v>
      </c>
      <c r="E173">
        <v>1</v>
      </c>
      <c r="F173">
        <v>1</v>
      </c>
      <c r="G173">
        <v>350.55</v>
      </c>
      <c r="H173">
        <v>350.55</v>
      </c>
    </row>
    <row r="174" spans="1:8" x14ac:dyDescent="0.35">
      <c r="A174">
        <v>103407828</v>
      </c>
      <c r="B174" t="s">
        <v>4076</v>
      </c>
      <c r="C174" s="2">
        <v>44748</v>
      </c>
      <c r="D174">
        <v>5129.05</v>
      </c>
      <c r="E174">
        <v>1</v>
      </c>
      <c r="F174">
        <v>1</v>
      </c>
      <c r="G174">
        <v>5129.05</v>
      </c>
      <c r="H174">
        <v>5129.05</v>
      </c>
    </row>
    <row r="175" spans="1:8" x14ac:dyDescent="0.35">
      <c r="A175">
        <v>103407829</v>
      </c>
      <c r="B175" t="s">
        <v>4076</v>
      </c>
      <c r="C175" s="2">
        <v>44748</v>
      </c>
      <c r="D175">
        <v>359</v>
      </c>
      <c r="E175">
        <v>1</v>
      </c>
      <c r="F175">
        <v>1</v>
      </c>
      <c r="G175">
        <v>359</v>
      </c>
      <c r="H175">
        <v>359</v>
      </c>
    </row>
    <row r="176" spans="1:8" x14ac:dyDescent="0.35">
      <c r="A176">
        <v>103407832</v>
      </c>
      <c r="B176" t="s">
        <v>4076</v>
      </c>
      <c r="C176" s="2">
        <v>44748</v>
      </c>
      <c r="D176">
        <v>3040.52</v>
      </c>
      <c r="E176">
        <v>1</v>
      </c>
      <c r="F176">
        <v>1</v>
      </c>
      <c r="G176">
        <v>3040.52</v>
      </c>
      <c r="H176">
        <v>3040.52</v>
      </c>
    </row>
    <row r="177" spans="1:8" x14ac:dyDescent="0.35">
      <c r="A177">
        <v>103407836</v>
      </c>
      <c r="B177" t="s">
        <v>4076</v>
      </c>
      <c r="C177" s="2">
        <v>44748</v>
      </c>
      <c r="D177">
        <v>3989.05</v>
      </c>
      <c r="E177">
        <v>1</v>
      </c>
      <c r="F177">
        <v>1</v>
      </c>
      <c r="G177">
        <v>3989.05</v>
      </c>
      <c r="H177">
        <v>3989.05</v>
      </c>
    </row>
    <row r="178" spans="1:8" x14ac:dyDescent="0.35">
      <c r="A178">
        <v>103407843</v>
      </c>
      <c r="B178" t="s">
        <v>4076</v>
      </c>
      <c r="C178" s="2">
        <v>44748</v>
      </c>
      <c r="D178">
        <v>2919</v>
      </c>
      <c r="E178">
        <v>1</v>
      </c>
      <c r="F178">
        <v>1</v>
      </c>
      <c r="G178">
        <v>2919</v>
      </c>
      <c r="H178">
        <v>2919</v>
      </c>
    </row>
    <row r="179" spans="1:8" x14ac:dyDescent="0.35">
      <c r="A179">
        <v>103407846</v>
      </c>
      <c r="B179" t="s">
        <v>4076</v>
      </c>
      <c r="C179" s="2">
        <v>44748</v>
      </c>
      <c r="D179">
        <v>1424.05</v>
      </c>
      <c r="E179">
        <v>1</v>
      </c>
      <c r="F179">
        <v>1</v>
      </c>
      <c r="G179">
        <v>1424.05</v>
      </c>
      <c r="H179">
        <v>1424.05</v>
      </c>
    </row>
    <row r="180" spans="1:8" x14ac:dyDescent="0.35">
      <c r="A180">
        <v>103407848</v>
      </c>
      <c r="B180" t="s">
        <v>4076</v>
      </c>
      <c r="C180" s="2">
        <v>44748</v>
      </c>
      <c r="D180">
        <v>2469.0500000000002</v>
      </c>
      <c r="E180">
        <v>1</v>
      </c>
      <c r="F180">
        <v>1</v>
      </c>
      <c r="G180">
        <v>2469.0500000000002</v>
      </c>
      <c r="H180">
        <v>2469.0500000000002</v>
      </c>
    </row>
    <row r="181" spans="1:8" x14ac:dyDescent="0.35">
      <c r="A181">
        <v>103407849</v>
      </c>
      <c r="B181" t="s">
        <v>4076</v>
      </c>
      <c r="C181" s="2">
        <v>44748</v>
      </c>
      <c r="D181">
        <v>369.55</v>
      </c>
      <c r="E181">
        <v>1</v>
      </c>
      <c r="F181">
        <v>1</v>
      </c>
      <c r="G181">
        <v>369.55</v>
      </c>
      <c r="H181">
        <v>369.55</v>
      </c>
    </row>
    <row r="182" spans="1:8" x14ac:dyDescent="0.35">
      <c r="A182">
        <v>103407861</v>
      </c>
      <c r="B182" t="s">
        <v>4076</v>
      </c>
      <c r="C182" s="2">
        <v>44748</v>
      </c>
      <c r="D182">
        <v>4691.1000000000004</v>
      </c>
      <c r="E182">
        <v>2</v>
      </c>
      <c r="F182">
        <v>1</v>
      </c>
      <c r="G182">
        <v>2345.5500000000002</v>
      </c>
      <c r="H182">
        <v>4691.1000000000004</v>
      </c>
    </row>
    <row r="183" spans="1:8" x14ac:dyDescent="0.35">
      <c r="A183">
        <v>103407867</v>
      </c>
      <c r="B183" t="s">
        <v>4076</v>
      </c>
      <c r="C183" s="2">
        <v>44748</v>
      </c>
      <c r="D183">
        <v>1578.47</v>
      </c>
      <c r="E183">
        <v>1</v>
      </c>
      <c r="F183">
        <v>1</v>
      </c>
      <c r="G183">
        <v>1578.47</v>
      </c>
      <c r="H183">
        <v>1578.47</v>
      </c>
    </row>
    <row r="184" spans="1:8" x14ac:dyDescent="0.35">
      <c r="A184">
        <v>103407874</v>
      </c>
      <c r="B184" t="s">
        <v>4076</v>
      </c>
      <c r="C184" s="2">
        <v>44748</v>
      </c>
      <c r="D184">
        <v>2249</v>
      </c>
      <c r="E184">
        <v>1</v>
      </c>
      <c r="F184">
        <v>1</v>
      </c>
      <c r="G184">
        <v>2249</v>
      </c>
      <c r="H184">
        <v>2249</v>
      </c>
    </row>
    <row r="185" spans="1:8" x14ac:dyDescent="0.35">
      <c r="A185">
        <v>103407876</v>
      </c>
      <c r="B185" t="s">
        <v>4076</v>
      </c>
      <c r="C185" s="2">
        <v>44748</v>
      </c>
      <c r="D185">
        <v>5849</v>
      </c>
      <c r="E185">
        <v>1</v>
      </c>
      <c r="F185">
        <v>1</v>
      </c>
      <c r="G185">
        <v>5849</v>
      </c>
      <c r="H185">
        <v>5849</v>
      </c>
    </row>
    <row r="186" spans="1:8" x14ac:dyDescent="0.35">
      <c r="A186">
        <v>103407890</v>
      </c>
      <c r="B186" t="s">
        <v>4076</v>
      </c>
      <c r="C186" s="2">
        <v>44748</v>
      </c>
      <c r="D186">
        <v>2666.74</v>
      </c>
      <c r="E186">
        <v>1</v>
      </c>
      <c r="F186">
        <v>1</v>
      </c>
      <c r="G186">
        <v>2666.74</v>
      </c>
      <c r="H186">
        <v>2666.74</v>
      </c>
    </row>
    <row r="187" spans="1:8" x14ac:dyDescent="0.35">
      <c r="A187">
        <v>103407891</v>
      </c>
      <c r="B187" t="s">
        <v>4076</v>
      </c>
      <c r="C187" s="2">
        <v>44748</v>
      </c>
      <c r="D187">
        <v>4939.05</v>
      </c>
      <c r="E187">
        <v>1</v>
      </c>
      <c r="F187">
        <v>1</v>
      </c>
      <c r="G187">
        <v>4939.05</v>
      </c>
      <c r="H187">
        <v>4939.05</v>
      </c>
    </row>
    <row r="188" spans="1:8" x14ac:dyDescent="0.35">
      <c r="A188">
        <v>103407897</v>
      </c>
      <c r="B188" t="s">
        <v>4076</v>
      </c>
      <c r="C188" s="2">
        <v>44748</v>
      </c>
      <c r="D188">
        <v>1119</v>
      </c>
      <c r="E188">
        <v>1</v>
      </c>
      <c r="F188">
        <v>1</v>
      </c>
      <c r="G188">
        <v>1119</v>
      </c>
      <c r="H188">
        <v>1119</v>
      </c>
    </row>
    <row r="189" spans="1:8" x14ac:dyDescent="0.35">
      <c r="A189">
        <v>103407898</v>
      </c>
      <c r="B189" t="s">
        <v>4076</v>
      </c>
      <c r="C189" s="2">
        <v>44748</v>
      </c>
      <c r="D189">
        <v>2199</v>
      </c>
      <c r="E189">
        <v>1</v>
      </c>
      <c r="F189">
        <v>1</v>
      </c>
      <c r="G189">
        <v>2199</v>
      </c>
      <c r="H189">
        <v>2199</v>
      </c>
    </row>
    <row r="190" spans="1:8" x14ac:dyDescent="0.35">
      <c r="A190">
        <v>103407905</v>
      </c>
      <c r="B190" t="s">
        <v>4076</v>
      </c>
      <c r="C190" s="2">
        <v>44748</v>
      </c>
      <c r="D190">
        <v>1599</v>
      </c>
      <c r="E190">
        <v>1</v>
      </c>
      <c r="F190">
        <v>1</v>
      </c>
      <c r="G190">
        <v>1599</v>
      </c>
      <c r="H190">
        <v>1599</v>
      </c>
    </row>
    <row r="191" spans="1:8" x14ac:dyDescent="0.35">
      <c r="A191">
        <v>103407906</v>
      </c>
      <c r="B191" t="s">
        <v>4076</v>
      </c>
      <c r="C191" s="2">
        <v>44748</v>
      </c>
      <c r="D191">
        <v>2339.1</v>
      </c>
      <c r="E191">
        <v>1</v>
      </c>
      <c r="F191">
        <v>1</v>
      </c>
      <c r="G191">
        <v>2339.1</v>
      </c>
      <c r="H191">
        <v>2339.1</v>
      </c>
    </row>
    <row r="192" spans="1:8" x14ac:dyDescent="0.35">
      <c r="A192">
        <v>103407908</v>
      </c>
      <c r="B192" t="s">
        <v>4076</v>
      </c>
      <c r="C192" s="2">
        <v>44748</v>
      </c>
      <c r="D192">
        <v>2773.05</v>
      </c>
      <c r="E192">
        <v>1</v>
      </c>
      <c r="F192">
        <v>1</v>
      </c>
      <c r="G192">
        <v>2773.05</v>
      </c>
      <c r="H192">
        <v>2773.05</v>
      </c>
    </row>
    <row r="193" spans="1:8" x14ac:dyDescent="0.35">
      <c r="A193">
        <v>103407909</v>
      </c>
      <c r="B193" t="s">
        <v>4076</v>
      </c>
      <c r="C193" s="2">
        <v>44748</v>
      </c>
      <c r="D193">
        <v>669</v>
      </c>
      <c r="E193">
        <v>1</v>
      </c>
      <c r="F193">
        <v>1</v>
      </c>
      <c r="G193">
        <v>669</v>
      </c>
      <c r="H193">
        <v>669</v>
      </c>
    </row>
    <row r="194" spans="1:8" x14ac:dyDescent="0.35">
      <c r="A194">
        <v>103407910</v>
      </c>
      <c r="B194" t="s">
        <v>4076</v>
      </c>
      <c r="C194" s="2">
        <v>44748</v>
      </c>
      <c r="D194">
        <v>2991.55</v>
      </c>
      <c r="E194">
        <v>1</v>
      </c>
      <c r="F194">
        <v>1</v>
      </c>
      <c r="G194">
        <v>2991.55</v>
      </c>
      <c r="H194">
        <v>2991.55</v>
      </c>
    </row>
    <row r="195" spans="1:8" x14ac:dyDescent="0.35">
      <c r="A195">
        <v>103407913</v>
      </c>
      <c r="B195" t="s">
        <v>4076</v>
      </c>
      <c r="C195" s="2">
        <v>44748</v>
      </c>
      <c r="D195">
        <v>2659.05</v>
      </c>
      <c r="E195">
        <v>1</v>
      </c>
      <c r="F195">
        <v>1</v>
      </c>
      <c r="G195">
        <v>2659.05</v>
      </c>
      <c r="H195">
        <v>2659.05</v>
      </c>
    </row>
    <row r="196" spans="1:8" x14ac:dyDescent="0.35">
      <c r="A196">
        <v>103407914</v>
      </c>
      <c r="B196" t="s">
        <v>4076</v>
      </c>
      <c r="C196" s="2">
        <v>44748</v>
      </c>
      <c r="D196">
        <v>2399</v>
      </c>
      <c r="E196">
        <v>1</v>
      </c>
      <c r="F196">
        <v>1</v>
      </c>
      <c r="G196">
        <v>2399</v>
      </c>
      <c r="H196">
        <v>2399</v>
      </c>
    </row>
    <row r="197" spans="1:8" x14ac:dyDescent="0.35">
      <c r="A197">
        <v>103407918</v>
      </c>
      <c r="B197" t="s">
        <v>4076</v>
      </c>
      <c r="C197" s="2">
        <v>44748</v>
      </c>
      <c r="D197">
        <v>629</v>
      </c>
      <c r="E197">
        <v>1</v>
      </c>
      <c r="F197">
        <v>1</v>
      </c>
      <c r="G197">
        <v>629</v>
      </c>
      <c r="H197">
        <v>629</v>
      </c>
    </row>
    <row r="198" spans="1:8" x14ac:dyDescent="0.35">
      <c r="A198">
        <v>103407923</v>
      </c>
      <c r="B198" t="s">
        <v>4076</v>
      </c>
      <c r="C198" s="2">
        <v>44748</v>
      </c>
      <c r="D198">
        <v>2279</v>
      </c>
      <c r="E198">
        <v>1</v>
      </c>
      <c r="F198">
        <v>1</v>
      </c>
      <c r="G198">
        <v>2279</v>
      </c>
      <c r="H198">
        <v>2279</v>
      </c>
    </row>
    <row r="199" spans="1:8" x14ac:dyDescent="0.35">
      <c r="A199">
        <v>103407925</v>
      </c>
      <c r="B199" t="s">
        <v>4076</v>
      </c>
      <c r="C199" s="2">
        <v>44748</v>
      </c>
      <c r="D199">
        <v>3632.94</v>
      </c>
      <c r="E199">
        <v>1</v>
      </c>
      <c r="F199">
        <v>1</v>
      </c>
      <c r="G199">
        <v>3632.94</v>
      </c>
      <c r="H199">
        <v>3632.94</v>
      </c>
    </row>
    <row r="200" spans="1:8" x14ac:dyDescent="0.35">
      <c r="A200">
        <v>103407927</v>
      </c>
      <c r="B200" t="s">
        <v>4076</v>
      </c>
      <c r="C200" s="2">
        <v>44748</v>
      </c>
      <c r="D200">
        <v>4274.05</v>
      </c>
      <c r="E200">
        <v>1</v>
      </c>
      <c r="F200">
        <v>1</v>
      </c>
      <c r="G200">
        <v>4274.05</v>
      </c>
      <c r="H200">
        <v>4274.05</v>
      </c>
    </row>
    <row r="201" spans="1:8" x14ac:dyDescent="0.35">
      <c r="A201">
        <v>103407928</v>
      </c>
      <c r="B201" t="s">
        <v>4076</v>
      </c>
      <c r="C201" s="2">
        <v>44748</v>
      </c>
      <c r="D201">
        <v>2999</v>
      </c>
      <c r="E201">
        <v>1</v>
      </c>
      <c r="F201">
        <v>1</v>
      </c>
      <c r="G201">
        <v>2999</v>
      </c>
      <c r="H201">
        <v>2999</v>
      </c>
    </row>
    <row r="202" spans="1:8" x14ac:dyDescent="0.35">
      <c r="A202">
        <v>103407931</v>
      </c>
      <c r="B202" t="s">
        <v>4076</v>
      </c>
      <c r="C202" s="2">
        <v>44748</v>
      </c>
      <c r="D202">
        <v>549</v>
      </c>
      <c r="E202">
        <v>1</v>
      </c>
      <c r="F202">
        <v>1</v>
      </c>
      <c r="G202">
        <v>549</v>
      </c>
      <c r="H202">
        <v>549</v>
      </c>
    </row>
    <row r="203" spans="1:8" x14ac:dyDescent="0.35">
      <c r="A203">
        <v>103407934</v>
      </c>
      <c r="B203" t="s">
        <v>4076</v>
      </c>
      <c r="C203" s="2">
        <v>44748</v>
      </c>
      <c r="D203">
        <v>1169</v>
      </c>
      <c r="E203">
        <v>1</v>
      </c>
      <c r="F203">
        <v>1</v>
      </c>
      <c r="G203">
        <v>1169</v>
      </c>
      <c r="H203">
        <v>1169</v>
      </c>
    </row>
    <row r="204" spans="1:8" x14ac:dyDescent="0.35">
      <c r="A204">
        <v>103407938</v>
      </c>
      <c r="B204" t="s">
        <v>4076</v>
      </c>
      <c r="C204" s="2">
        <v>44748</v>
      </c>
      <c r="D204">
        <v>1949</v>
      </c>
      <c r="E204">
        <v>1</v>
      </c>
      <c r="F204">
        <v>1</v>
      </c>
      <c r="G204">
        <v>1949</v>
      </c>
      <c r="H204">
        <v>1949</v>
      </c>
    </row>
    <row r="205" spans="1:8" x14ac:dyDescent="0.35">
      <c r="A205">
        <v>103407939</v>
      </c>
      <c r="B205" t="s">
        <v>4076</v>
      </c>
      <c r="C205" s="2">
        <v>44748</v>
      </c>
      <c r="D205">
        <v>3989.05</v>
      </c>
      <c r="E205">
        <v>1</v>
      </c>
      <c r="F205">
        <v>1</v>
      </c>
      <c r="G205">
        <v>3989.05</v>
      </c>
      <c r="H205">
        <v>3989.05</v>
      </c>
    </row>
    <row r="206" spans="1:8" x14ac:dyDescent="0.35">
      <c r="A206">
        <v>103407940</v>
      </c>
      <c r="B206" t="s">
        <v>4076</v>
      </c>
      <c r="C206" s="2">
        <v>44748</v>
      </c>
      <c r="D206">
        <v>1499</v>
      </c>
      <c r="E206">
        <v>1</v>
      </c>
      <c r="F206">
        <v>1</v>
      </c>
      <c r="G206">
        <v>1499</v>
      </c>
      <c r="H206">
        <v>1499</v>
      </c>
    </row>
    <row r="207" spans="1:8" x14ac:dyDescent="0.35">
      <c r="A207">
        <v>103407947</v>
      </c>
      <c r="B207" t="s">
        <v>4076</v>
      </c>
      <c r="C207" s="2">
        <v>44748</v>
      </c>
      <c r="D207">
        <v>669</v>
      </c>
      <c r="E207">
        <v>1</v>
      </c>
      <c r="F207">
        <v>1</v>
      </c>
      <c r="G207">
        <v>669</v>
      </c>
      <c r="H207">
        <v>669</v>
      </c>
    </row>
    <row r="208" spans="1:8" x14ac:dyDescent="0.35">
      <c r="A208">
        <v>103407952</v>
      </c>
      <c r="B208" t="s">
        <v>4076</v>
      </c>
      <c r="C208" s="2">
        <v>44748</v>
      </c>
      <c r="D208">
        <v>691.69</v>
      </c>
      <c r="E208">
        <v>1</v>
      </c>
      <c r="F208">
        <v>1</v>
      </c>
      <c r="G208">
        <v>691.69</v>
      </c>
      <c r="H208">
        <v>691.69</v>
      </c>
    </row>
    <row r="209" spans="1:8" x14ac:dyDescent="0.35">
      <c r="A209">
        <v>103407955</v>
      </c>
      <c r="B209" t="s">
        <v>4076</v>
      </c>
      <c r="C209" s="2">
        <v>44748</v>
      </c>
      <c r="D209">
        <v>979</v>
      </c>
      <c r="E209">
        <v>1</v>
      </c>
      <c r="F209">
        <v>1</v>
      </c>
      <c r="G209">
        <v>979</v>
      </c>
      <c r="H209">
        <v>979</v>
      </c>
    </row>
    <row r="210" spans="1:8" x14ac:dyDescent="0.35">
      <c r="A210">
        <v>103407957</v>
      </c>
      <c r="B210" t="s">
        <v>4076</v>
      </c>
      <c r="C210" s="2">
        <v>44748</v>
      </c>
      <c r="D210">
        <v>3999</v>
      </c>
      <c r="E210">
        <v>1</v>
      </c>
      <c r="F210">
        <v>1</v>
      </c>
      <c r="G210">
        <v>3999</v>
      </c>
      <c r="H210">
        <v>3999</v>
      </c>
    </row>
    <row r="211" spans="1:8" x14ac:dyDescent="0.35">
      <c r="A211">
        <v>103407963</v>
      </c>
      <c r="B211" t="s">
        <v>4076</v>
      </c>
      <c r="C211" s="2">
        <v>44748</v>
      </c>
      <c r="D211">
        <v>1999</v>
      </c>
      <c r="E211">
        <v>1</v>
      </c>
      <c r="F211">
        <v>1</v>
      </c>
      <c r="G211">
        <v>1999</v>
      </c>
      <c r="H211">
        <v>1999</v>
      </c>
    </row>
    <row r="212" spans="1:8" x14ac:dyDescent="0.35">
      <c r="A212">
        <v>103407964</v>
      </c>
      <c r="B212" t="s">
        <v>4076</v>
      </c>
      <c r="C212" s="2">
        <v>44748</v>
      </c>
      <c r="D212">
        <v>969</v>
      </c>
      <c r="E212">
        <v>1</v>
      </c>
      <c r="F212">
        <v>1</v>
      </c>
      <c r="G212">
        <v>969</v>
      </c>
      <c r="H212">
        <v>969</v>
      </c>
    </row>
    <row r="213" spans="1:8" x14ac:dyDescent="0.35">
      <c r="A213">
        <v>103407969</v>
      </c>
      <c r="B213" t="s">
        <v>4076</v>
      </c>
      <c r="C213" s="2">
        <v>44748</v>
      </c>
      <c r="D213">
        <v>389</v>
      </c>
      <c r="E213">
        <v>1</v>
      </c>
      <c r="F213">
        <v>1</v>
      </c>
      <c r="G213">
        <v>389</v>
      </c>
      <c r="H213">
        <v>389</v>
      </c>
    </row>
    <row r="214" spans="1:8" x14ac:dyDescent="0.35">
      <c r="A214">
        <v>103407978</v>
      </c>
      <c r="B214" t="s">
        <v>4076</v>
      </c>
      <c r="C214" s="2">
        <v>44748</v>
      </c>
      <c r="D214">
        <v>999.49</v>
      </c>
      <c r="E214">
        <v>1</v>
      </c>
      <c r="F214">
        <v>1</v>
      </c>
      <c r="G214">
        <v>999.49</v>
      </c>
      <c r="H214">
        <v>999.49</v>
      </c>
    </row>
    <row r="215" spans="1:8" x14ac:dyDescent="0.35">
      <c r="A215">
        <v>103407979</v>
      </c>
      <c r="B215" t="s">
        <v>4076</v>
      </c>
      <c r="C215" s="2">
        <v>44748</v>
      </c>
      <c r="D215">
        <v>3761.14</v>
      </c>
      <c r="E215">
        <v>1</v>
      </c>
      <c r="F215">
        <v>1</v>
      </c>
      <c r="G215">
        <v>3761.14</v>
      </c>
      <c r="H215">
        <v>3761.14</v>
      </c>
    </row>
    <row r="216" spans="1:8" x14ac:dyDescent="0.35">
      <c r="A216">
        <v>103407980</v>
      </c>
      <c r="B216" t="s">
        <v>4076</v>
      </c>
      <c r="C216" s="2">
        <v>44748</v>
      </c>
      <c r="D216">
        <v>1399</v>
      </c>
      <c r="E216">
        <v>1</v>
      </c>
      <c r="F216">
        <v>1</v>
      </c>
      <c r="G216">
        <v>1399</v>
      </c>
      <c r="H216">
        <v>1399</v>
      </c>
    </row>
    <row r="217" spans="1:8" x14ac:dyDescent="0.35">
      <c r="A217">
        <v>103407982</v>
      </c>
      <c r="B217" t="s">
        <v>4076</v>
      </c>
      <c r="C217" s="2">
        <v>44748</v>
      </c>
      <c r="D217">
        <v>629</v>
      </c>
      <c r="E217">
        <v>1</v>
      </c>
      <c r="F217">
        <v>1</v>
      </c>
      <c r="G217">
        <v>629</v>
      </c>
      <c r="H217">
        <v>629</v>
      </c>
    </row>
    <row r="218" spans="1:8" x14ac:dyDescent="0.35">
      <c r="A218">
        <v>103408006</v>
      </c>
      <c r="B218" t="s">
        <v>4076</v>
      </c>
      <c r="C218" s="2">
        <v>44748</v>
      </c>
      <c r="D218">
        <v>1528</v>
      </c>
      <c r="E218">
        <v>2</v>
      </c>
      <c r="F218">
        <v>1</v>
      </c>
      <c r="G218">
        <v>764</v>
      </c>
      <c r="H218">
        <v>1528</v>
      </c>
    </row>
    <row r="219" spans="1:8" x14ac:dyDescent="0.35">
      <c r="A219">
        <v>103408015</v>
      </c>
      <c r="B219" t="s">
        <v>4076</v>
      </c>
      <c r="C219" s="2">
        <v>44748</v>
      </c>
      <c r="D219">
        <v>2469.0500000000002</v>
      </c>
      <c r="E219">
        <v>1</v>
      </c>
      <c r="F219">
        <v>1</v>
      </c>
      <c r="G219">
        <v>2469.0500000000002</v>
      </c>
      <c r="H219">
        <v>2469.0500000000002</v>
      </c>
    </row>
    <row r="220" spans="1:8" x14ac:dyDescent="0.35">
      <c r="A220">
        <v>103408018</v>
      </c>
      <c r="B220" t="s">
        <v>4076</v>
      </c>
      <c r="C220" s="2">
        <v>44748</v>
      </c>
      <c r="D220">
        <v>5984.05</v>
      </c>
      <c r="E220">
        <v>1</v>
      </c>
      <c r="F220">
        <v>1</v>
      </c>
      <c r="G220">
        <v>5984.05</v>
      </c>
      <c r="H220">
        <v>5984.05</v>
      </c>
    </row>
    <row r="221" spans="1:8" x14ac:dyDescent="0.35">
      <c r="A221">
        <v>103408019</v>
      </c>
      <c r="B221" t="s">
        <v>4076</v>
      </c>
      <c r="C221" s="2">
        <v>44748</v>
      </c>
      <c r="D221">
        <v>1136.25</v>
      </c>
      <c r="E221">
        <v>1</v>
      </c>
      <c r="F221">
        <v>1</v>
      </c>
      <c r="G221">
        <v>1136.25</v>
      </c>
      <c r="H221">
        <v>1136.25</v>
      </c>
    </row>
    <row r="222" spans="1:8" x14ac:dyDescent="0.35">
      <c r="A222">
        <v>103408034</v>
      </c>
      <c r="B222" t="s">
        <v>4076</v>
      </c>
      <c r="C222" s="2">
        <v>44748</v>
      </c>
      <c r="D222">
        <v>5999</v>
      </c>
      <c r="E222">
        <v>1</v>
      </c>
      <c r="F222">
        <v>1</v>
      </c>
      <c r="G222">
        <v>5999</v>
      </c>
      <c r="H222">
        <v>5999</v>
      </c>
    </row>
    <row r="223" spans="1:8" x14ac:dyDescent="0.35">
      <c r="A223">
        <v>103408035</v>
      </c>
      <c r="B223" t="s">
        <v>4076</v>
      </c>
      <c r="C223" s="2">
        <v>44748</v>
      </c>
      <c r="D223">
        <v>2326.5500000000002</v>
      </c>
      <c r="E223">
        <v>1</v>
      </c>
      <c r="F223">
        <v>1</v>
      </c>
      <c r="G223">
        <v>2326.5500000000002</v>
      </c>
      <c r="H223">
        <v>2326.5500000000002</v>
      </c>
    </row>
    <row r="224" spans="1:8" x14ac:dyDescent="0.35">
      <c r="A224">
        <v>103408039</v>
      </c>
      <c r="B224" t="s">
        <v>4076</v>
      </c>
      <c r="C224" s="2">
        <v>44748</v>
      </c>
      <c r="D224">
        <v>3390.55</v>
      </c>
      <c r="E224">
        <v>1</v>
      </c>
      <c r="F224">
        <v>1</v>
      </c>
      <c r="G224">
        <v>3390.55</v>
      </c>
      <c r="H224">
        <v>3390.55</v>
      </c>
    </row>
    <row r="225" spans="1:8" x14ac:dyDescent="0.35">
      <c r="A225">
        <v>103408041</v>
      </c>
      <c r="B225" t="s">
        <v>4076</v>
      </c>
      <c r="C225" s="2">
        <v>44748</v>
      </c>
      <c r="D225">
        <v>3038</v>
      </c>
      <c r="E225">
        <v>2</v>
      </c>
      <c r="F225">
        <v>1</v>
      </c>
      <c r="G225">
        <v>1519</v>
      </c>
      <c r="H225">
        <v>3038</v>
      </c>
    </row>
    <row r="226" spans="1:8" x14ac:dyDescent="0.35">
      <c r="A226">
        <v>103408044</v>
      </c>
      <c r="B226" t="s">
        <v>4076</v>
      </c>
      <c r="C226" s="2">
        <v>44748</v>
      </c>
      <c r="D226">
        <v>1349</v>
      </c>
      <c r="E226">
        <v>1</v>
      </c>
      <c r="F226">
        <v>1</v>
      </c>
      <c r="G226">
        <v>1349</v>
      </c>
      <c r="H226">
        <v>1349</v>
      </c>
    </row>
    <row r="227" spans="1:8" x14ac:dyDescent="0.35">
      <c r="A227">
        <v>103408045</v>
      </c>
      <c r="B227" t="s">
        <v>4076</v>
      </c>
      <c r="C227" s="2">
        <v>44748</v>
      </c>
      <c r="D227">
        <v>1775.55</v>
      </c>
      <c r="E227">
        <v>1</v>
      </c>
      <c r="F227">
        <v>1</v>
      </c>
      <c r="G227">
        <v>1775.55</v>
      </c>
      <c r="H227">
        <v>1775.55</v>
      </c>
    </row>
    <row r="228" spans="1:8" x14ac:dyDescent="0.35">
      <c r="A228">
        <v>103408049</v>
      </c>
      <c r="B228" t="s">
        <v>4076</v>
      </c>
      <c r="C228" s="2">
        <v>44748</v>
      </c>
      <c r="D228">
        <v>455.05</v>
      </c>
      <c r="E228">
        <v>1</v>
      </c>
      <c r="F228">
        <v>1</v>
      </c>
      <c r="G228">
        <v>455.05</v>
      </c>
      <c r="H228">
        <v>455.05</v>
      </c>
    </row>
    <row r="229" spans="1:8" x14ac:dyDescent="0.35">
      <c r="A229">
        <v>103408055</v>
      </c>
      <c r="B229" t="s">
        <v>4076</v>
      </c>
      <c r="C229" s="2">
        <v>44748</v>
      </c>
      <c r="D229">
        <v>1888.6</v>
      </c>
      <c r="E229">
        <v>2</v>
      </c>
      <c r="F229">
        <v>1</v>
      </c>
      <c r="G229">
        <v>944.3</v>
      </c>
      <c r="H229">
        <v>1888.6</v>
      </c>
    </row>
    <row r="230" spans="1:8" x14ac:dyDescent="0.35">
      <c r="A230">
        <v>103408065</v>
      </c>
      <c r="B230" t="s">
        <v>4076</v>
      </c>
      <c r="C230" s="2">
        <v>44748</v>
      </c>
      <c r="D230">
        <v>1670.1</v>
      </c>
      <c r="E230">
        <v>2</v>
      </c>
      <c r="F230">
        <v>1</v>
      </c>
      <c r="G230">
        <v>835.05</v>
      </c>
      <c r="H230">
        <v>1670.1</v>
      </c>
    </row>
    <row r="231" spans="1:8" x14ac:dyDescent="0.35">
      <c r="A231">
        <v>103408070</v>
      </c>
      <c r="B231" t="s">
        <v>4076</v>
      </c>
      <c r="C231" s="2">
        <v>44748</v>
      </c>
      <c r="D231">
        <v>2279.0500000000002</v>
      </c>
      <c r="E231">
        <v>1</v>
      </c>
      <c r="F231">
        <v>1</v>
      </c>
      <c r="G231">
        <v>2279.0500000000002</v>
      </c>
      <c r="H231">
        <v>2279.0500000000002</v>
      </c>
    </row>
    <row r="232" spans="1:8" x14ac:dyDescent="0.35">
      <c r="A232">
        <v>103408073</v>
      </c>
      <c r="B232" t="s">
        <v>4076</v>
      </c>
      <c r="C232" s="2">
        <v>44748</v>
      </c>
      <c r="D232">
        <v>1994.05</v>
      </c>
      <c r="E232">
        <v>1</v>
      </c>
      <c r="F232">
        <v>1</v>
      </c>
      <c r="G232">
        <v>1994.05</v>
      </c>
      <c r="H232">
        <v>1994.05</v>
      </c>
    </row>
    <row r="233" spans="1:8" x14ac:dyDescent="0.35">
      <c r="A233">
        <v>103408078</v>
      </c>
      <c r="B233" t="s">
        <v>4076</v>
      </c>
      <c r="C233" s="2">
        <v>44748</v>
      </c>
      <c r="D233">
        <v>1775.55</v>
      </c>
      <c r="E233">
        <v>1</v>
      </c>
      <c r="F233">
        <v>1</v>
      </c>
      <c r="G233">
        <v>1775.55</v>
      </c>
      <c r="H233">
        <v>1775.55</v>
      </c>
    </row>
    <row r="234" spans="1:8" x14ac:dyDescent="0.35">
      <c r="A234">
        <v>103408080</v>
      </c>
      <c r="B234" t="s">
        <v>4076</v>
      </c>
      <c r="C234" s="2">
        <v>44748</v>
      </c>
      <c r="D234">
        <v>3207</v>
      </c>
      <c r="E234">
        <v>3</v>
      </c>
      <c r="F234">
        <v>1</v>
      </c>
      <c r="G234">
        <v>1069</v>
      </c>
      <c r="H234">
        <v>3207</v>
      </c>
    </row>
    <row r="235" spans="1:8" x14ac:dyDescent="0.35">
      <c r="A235">
        <v>103408096</v>
      </c>
      <c r="B235" t="s">
        <v>4076</v>
      </c>
      <c r="C235" s="2">
        <v>44748</v>
      </c>
      <c r="D235">
        <v>521.54999999999995</v>
      </c>
      <c r="E235">
        <v>1</v>
      </c>
      <c r="F235">
        <v>1</v>
      </c>
      <c r="G235">
        <v>521.54999999999995</v>
      </c>
      <c r="H235">
        <v>521.54999999999995</v>
      </c>
    </row>
    <row r="236" spans="1:8" x14ac:dyDescent="0.35">
      <c r="A236">
        <v>103408104</v>
      </c>
      <c r="B236" t="s">
        <v>4076</v>
      </c>
      <c r="C236" s="2">
        <v>44748</v>
      </c>
      <c r="D236">
        <v>455.05</v>
      </c>
      <c r="E236">
        <v>1</v>
      </c>
      <c r="F236">
        <v>1</v>
      </c>
      <c r="G236">
        <v>455.05</v>
      </c>
      <c r="H236">
        <v>455.05</v>
      </c>
    </row>
    <row r="237" spans="1:8" x14ac:dyDescent="0.35">
      <c r="A237">
        <v>103408113</v>
      </c>
      <c r="B237" t="s">
        <v>4076</v>
      </c>
      <c r="C237" s="2">
        <v>44748</v>
      </c>
      <c r="D237">
        <v>3704.05</v>
      </c>
      <c r="E237">
        <v>1</v>
      </c>
      <c r="F237">
        <v>1</v>
      </c>
      <c r="G237">
        <v>3704.05</v>
      </c>
      <c r="H237">
        <v>3704.05</v>
      </c>
    </row>
    <row r="238" spans="1:8" x14ac:dyDescent="0.35">
      <c r="A238">
        <v>103408115</v>
      </c>
      <c r="B238" t="s">
        <v>4076</v>
      </c>
      <c r="C238" s="2">
        <v>44748</v>
      </c>
      <c r="D238">
        <v>1216.57</v>
      </c>
      <c r="E238">
        <v>2</v>
      </c>
      <c r="F238">
        <v>1</v>
      </c>
      <c r="G238">
        <v>608.28499999999997</v>
      </c>
      <c r="H238">
        <v>1216.57</v>
      </c>
    </row>
    <row r="239" spans="1:8" x14ac:dyDescent="0.35">
      <c r="A239">
        <v>103408119</v>
      </c>
      <c r="B239" t="s">
        <v>4076</v>
      </c>
      <c r="C239" s="2">
        <v>44748</v>
      </c>
      <c r="D239">
        <v>1499</v>
      </c>
      <c r="E239">
        <v>1</v>
      </c>
      <c r="F239">
        <v>1</v>
      </c>
      <c r="G239">
        <v>1499</v>
      </c>
      <c r="H239">
        <v>1499</v>
      </c>
    </row>
    <row r="240" spans="1:8" x14ac:dyDescent="0.35">
      <c r="A240">
        <v>103408122</v>
      </c>
      <c r="B240" t="s">
        <v>4076</v>
      </c>
      <c r="C240" s="2">
        <v>44748</v>
      </c>
      <c r="D240">
        <v>4094.1</v>
      </c>
      <c r="E240">
        <v>1</v>
      </c>
      <c r="F240">
        <v>1</v>
      </c>
      <c r="G240">
        <v>4094.1</v>
      </c>
      <c r="H240">
        <v>4094.1</v>
      </c>
    </row>
    <row r="241" spans="1:8" x14ac:dyDescent="0.35">
      <c r="A241">
        <v>103408123</v>
      </c>
      <c r="B241" t="s">
        <v>4076</v>
      </c>
      <c r="C241" s="2">
        <v>44748</v>
      </c>
      <c r="D241">
        <v>2849.05</v>
      </c>
      <c r="E241">
        <v>1</v>
      </c>
      <c r="F241">
        <v>1</v>
      </c>
      <c r="G241">
        <v>2849.05</v>
      </c>
      <c r="H241">
        <v>2849.05</v>
      </c>
    </row>
    <row r="242" spans="1:8" x14ac:dyDescent="0.35">
      <c r="A242">
        <v>103408124</v>
      </c>
      <c r="B242" t="s">
        <v>4076</v>
      </c>
      <c r="C242" s="2">
        <v>44748</v>
      </c>
      <c r="D242">
        <v>2526.0500000000002</v>
      </c>
      <c r="E242">
        <v>1</v>
      </c>
      <c r="F242">
        <v>1</v>
      </c>
      <c r="G242">
        <v>2526.0500000000002</v>
      </c>
      <c r="H242">
        <v>2526.0500000000002</v>
      </c>
    </row>
    <row r="243" spans="1:8" x14ac:dyDescent="0.35">
      <c r="A243">
        <v>103408125</v>
      </c>
      <c r="B243" t="s">
        <v>4076</v>
      </c>
      <c r="C243" s="2">
        <v>44748</v>
      </c>
      <c r="D243">
        <v>468.4</v>
      </c>
      <c r="E243">
        <v>1</v>
      </c>
      <c r="F243">
        <v>1</v>
      </c>
      <c r="G243">
        <v>468.4</v>
      </c>
      <c r="H243">
        <v>468.4</v>
      </c>
    </row>
    <row r="244" spans="1:8" x14ac:dyDescent="0.35">
      <c r="A244">
        <v>103408133</v>
      </c>
      <c r="B244" t="s">
        <v>4076</v>
      </c>
      <c r="C244" s="2">
        <v>44748</v>
      </c>
      <c r="D244">
        <v>2398</v>
      </c>
      <c r="E244">
        <v>2</v>
      </c>
      <c r="F244">
        <v>1</v>
      </c>
      <c r="G244">
        <v>1199</v>
      </c>
      <c r="H244">
        <v>2398</v>
      </c>
    </row>
    <row r="245" spans="1:8" x14ac:dyDescent="0.35">
      <c r="A245">
        <v>103408137</v>
      </c>
      <c r="B245" t="s">
        <v>4076</v>
      </c>
      <c r="C245" s="2">
        <v>44748</v>
      </c>
      <c r="D245">
        <v>2099</v>
      </c>
      <c r="E245">
        <v>1</v>
      </c>
      <c r="F245">
        <v>1</v>
      </c>
      <c r="G245">
        <v>2099</v>
      </c>
      <c r="H245">
        <v>2099</v>
      </c>
    </row>
    <row r="246" spans="1:8" x14ac:dyDescent="0.35">
      <c r="A246">
        <v>103408138</v>
      </c>
      <c r="B246" t="s">
        <v>4076</v>
      </c>
      <c r="C246" s="2">
        <v>44748</v>
      </c>
      <c r="D246">
        <v>5556.55</v>
      </c>
      <c r="E246">
        <v>1</v>
      </c>
      <c r="F246">
        <v>1</v>
      </c>
      <c r="G246">
        <v>5556.55</v>
      </c>
      <c r="H246">
        <v>5556.55</v>
      </c>
    </row>
    <row r="247" spans="1:8" x14ac:dyDescent="0.35">
      <c r="A247">
        <v>103408139</v>
      </c>
      <c r="B247" t="s">
        <v>4076</v>
      </c>
      <c r="C247" s="2">
        <v>44748</v>
      </c>
      <c r="D247">
        <v>768.55</v>
      </c>
      <c r="E247">
        <v>1</v>
      </c>
      <c r="F247">
        <v>1</v>
      </c>
      <c r="G247">
        <v>768.55</v>
      </c>
      <c r="H247">
        <v>768.55</v>
      </c>
    </row>
    <row r="248" spans="1:8" x14ac:dyDescent="0.35">
      <c r="A248">
        <v>103408140</v>
      </c>
      <c r="B248" t="s">
        <v>4076</v>
      </c>
      <c r="C248" s="2">
        <v>44748</v>
      </c>
      <c r="D248">
        <v>899</v>
      </c>
      <c r="E248">
        <v>1</v>
      </c>
      <c r="F248">
        <v>1</v>
      </c>
      <c r="G248">
        <v>899</v>
      </c>
      <c r="H248">
        <v>899</v>
      </c>
    </row>
    <row r="249" spans="1:8" x14ac:dyDescent="0.35">
      <c r="A249">
        <v>103408143</v>
      </c>
      <c r="B249" t="s">
        <v>4076</v>
      </c>
      <c r="C249" s="2">
        <v>44748</v>
      </c>
      <c r="D249">
        <v>4799</v>
      </c>
      <c r="E249">
        <v>1</v>
      </c>
      <c r="F249">
        <v>1</v>
      </c>
      <c r="G249">
        <v>4799</v>
      </c>
      <c r="H249">
        <v>4799</v>
      </c>
    </row>
    <row r="250" spans="1:8" x14ac:dyDescent="0.35">
      <c r="A250">
        <v>103408144</v>
      </c>
      <c r="B250" t="s">
        <v>4076</v>
      </c>
      <c r="C250" s="2">
        <v>44748</v>
      </c>
      <c r="D250">
        <v>3411.75</v>
      </c>
      <c r="E250">
        <v>1</v>
      </c>
      <c r="F250">
        <v>1</v>
      </c>
      <c r="G250">
        <v>3411.75</v>
      </c>
      <c r="H250">
        <v>3411.75</v>
      </c>
    </row>
    <row r="251" spans="1:8" x14ac:dyDescent="0.35">
      <c r="A251">
        <v>103408148</v>
      </c>
      <c r="B251" t="s">
        <v>4076</v>
      </c>
      <c r="C251" s="2">
        <v>44748</v>
      </c>
      <c r="D251">
        <v>3599</v>
      </c>
      <c r="E251">
        <v>1</v>
      </c>
      <c r="F251">
        <v>1</v>
      </c>
      <c r="G251">
        <v>3599</v>
      </c>
      <c r="H251">
        <v>3599</v>
      </c>
    </row>
    <row r="252" spans="1:8" x14ac:dyDescent="0.35">
      <c r="A252">
        <v>103408153</v>
      </c>
      <c r="B252" t="s">
        <v>4076</v>
      </c>
      <c r="C252" s="2">
        <v>44748</v>
      </c>
      <c r="D252">
        <v>1799.1</v>
      </c>
      <c r="E252">
        <v>1</v>
      </c>
      <c r="F252">
        <v>1</v>
      </c>
      <c r="G252">
        <v>1799.1</v>
      </c>
      <c r="H252">
        <v>1799.1</v>
      </c>
    </row>
    <row r="253" spans="1:8" x14ac:dyDescent="0.35">
      <c r="A253">
        <v>103408154</v>
      </c>
      <c r="B253" t="s">
        <v>4076</v>
      </c>
      <c r="C253" s="2">
        <v>44748</v>
      </c>
      <c r="D253">
        <v>2488.0500000000002</v>
      </c>
      <c r="E253">
        <v>1</v>
      </c>
      <c r="F253">
        <v>1</v>
      </c>
      <c r="G253">
        <v>2488.0500000000002</v>
      </c>
      <c r="H253">
        <v>2488.0500000000002</v>
      </c>
    </row>
    <row r="254" spans="1:8" x14ac:dyDescent="0.35">
      <c r="A254">
        <v>103408157</v>
      </c>
      <c r="B254" t="s">
        <v>4076</v>
      </c>
      <c r="C254" s="2">
        <v>44748</v>
      </c>
      <c r="D254">
        <v>1569</v>
      </c>
      <c r="E254">
        <v>1</v>
      </c>
      <c r="F254">
        <v>1</v>
      </c>
      <c r="G254">
        <v>1569</v>
      </c>
      <c r="H254">
        <v>1569</v>
      </c>
    </row>
    <row r="255" spans="1:8" x14ac:dyDescent="0.35">
      <c r="A255">
        <v>103408166</v>
      </c>
      <c r="B255" t="s">
        <v>4076</v>
      </c>
      <c r="C255" s="2">
        <v>44748</v>
      </c>
      <c r="D255">
        <v>999.49</v>
      </c>
      <c r="E255">
        <v>1</v>
      </c>
      <c r="F255">
        <v>1</v>
      </c>
      <c r="G255">
        <v>999.49</v>
      </c>
      <c r="H255">
        <v>999.49</v>
      </c>
    </row>
    <row r="256" spans="1:8" x14ac:dyDescent="0.35">
      <c r="A256">
        <v>103408168</v>
      </c>
      <c r="B256" t="s">
        <v>4076</v>
      </c>
      <c r="C256" s="2">
        <v>44748</v>
      </c>
      <c r="D256">
        <v>742.99</v>
      </c>
      <c r="E256">
        <v>1</v>
      </c>
      <c r="F256">
        <v>1</v>
      </c>
      <c r="G256">
        <v>742.99</v>
      </c>
      <c r="H256">
        <v>742.99</v>
      </c>
    </row>
    <row r="257" spans="1:8" x14ac:dyDescent="0.35">
      <c r="A257">
        <v>103408169</v>
      </c>
      <c r="B257" t="s">
        <v>4076</v>
      </c>
      <c r="C257" s="2">
        <v>44748</v>
      </c>
      <c r="D257">
        <v>479</v>
      </c>
      <c r="E257">
        <v>1</v>
      </c>
      <c r="F257">
        <v>1</v>
      </c>
      <c r="G257">
        <v>479</v>
      </c>
      <c r="H257">
        <v>479</v>
      </c>
    </row>
    <row r="258" spans="1:8" x14ac:dyDescent="0.35">
      <c r="A258">
        <v>103408170</v>
      </c>
      <c r="B258" t="s">
        <v>4076</v>
      </c>
      <c r="C258" s="2">
        <v>44748</v>
      </c>
      <c r="D258">
        <v>2469.0500000000002</v>
      </c>
      <c r="E258">
        <v>1</v>
      </c>
      <c r="F258">
        <v>1</v>
      </c>
      <c r="G258">
        <v>2469.0500000000002</v>
      </c>
      <c r="H258">
        <v>2469.0500000000002</v>
      </c>
    </row>
    <row r="259" spans="1:8" x14ac:dyDescent="0.35">
      <c r="A259">
        <v>103408173</v>
      </c>
      <c r="B259" t="s">
        <v>4076</v>
      </c>
      <c r="C259" s="2">
        <v>44748</v>
      </c>
      <c r="D259">
        <v>2849.05</v>
      </c>
      <c r="E259">
        <v>1</v>
      </c>
      <c r="F259">
        <v>1</v>
      </c>
      <c r="G259">
        <v>2849.05</v>
      </c>
      <c r="H259">
        <v>2849.05</v>
      </c>
    </row>
    <row r="260" spans="1:8" x14ac:dyDescent="0.35">
      <c r="A260">
        <v>103408175</v>
      </c>
      <c r="B260" t="s">
        <v>4076</v>
      </c>
      <c r="C260" s="2">
        <v>44748</v>
      </c>
      <c r="D260">
        <v>3419.05</v>
      </c>
      <c r="E260">
        <v>1</v>
      </c>
      <c r="F260">
        <v>1</v>
      </c>
      <c r="G260">
        <v>3419.05</v>
      </c>
      <c r="H260">
        <v>3419.05</v>
      </c>
    </row>
    <row r="261" spans="1:8" x14ac:dyDescent="0.35">
      <c r="A261">
        <v>103408176</v>
      </c>
      <c r="B261" t="s">
        <v>4076</v>
      </c>
      <c r="C261" s="2">
        <v>44748</v>
      </c>
      <c r="D261">
        <v>4511.6000000000004</v>
      </c>
      <c r="E261">
        <v>1</v>
      </c>
      <c r="F261">
        <v>1</v>
      </c>
      <c r="G261">
        <v>4511.6000000000004</v>
      </c>
      <c r="H261">
        <v>4511.6000000000004</v>
      </c>
    </row>
    <row r="262" spans="1:8" x14ac:dyDescent="0.35">
      <c r="A262">
        <v>103408178</v>
      </c>
      <c r="B262" t="s">
        <v>4076</v>
      </c>
      <c r="C262" s="2">
        <v>44748</v>
      </c>
      <c r="D262">
        <v>1196.05</v>
      </c>
      <c r="E262">
        <v>1</v>
      </c>
      <c r="F262">
        <v>1</v>
      </c>
      <c r="G262">
        <v>1196.05</v>
      </c>
      <c r="H262">
        <v>1196.05</v>
      </c>
    </row>
    <row r="263" spans="1:8" x14ac:dyDescent="0.35">
      <c r="A263">
        <v>103408179</v>
      </c>
      <c r="B263" t="s">
        <v>4076</v>
      </c>
      <c r="C263" s="2">
        <v>44748</v>
      </c>
      <c r="D263">
        <v>2099</v>
      </c>
      <c r="E263">
        <v>1</v>
      </c>
      <c r="F263">
        <v>1</v>
      </c>
      <c r="G263">
        <v>2099</v>
      </c>
      <c r="H263">
        <v>2099</v>
      </c>
    </row>
    <row r="264" spans="1:8" x14ac:dyDescent="0.35">
      <c r="A264">
        <v>103408183</v>
      </c>
      <c r="B264" t="s">
        <v>4076</v>
      </c>
      <c r="C264" s="2">
        <v>44748</v>
      </c>
      <c r="D264">
        <v>1640.74</v>
      </c>
      <c r="E264">
        <v>1</v>
      </c>
      <c r="F264">
        <v>1</v>
      </c>
      <c r="G264">
        <v>1640.74</v>
      </c>
      <c r="H264">
        <v>1640.74</v>
      </c>
    </row>
    <row r="265" spans="1:8" x14ac:dyDescent="0.35">
      <c r="A265">
        <v>103408184</v>
      </c>
      <c r="B265" t="s">
        <v>4076</v>
      </c>
      <c r="C265" s="2">
        <v>44748</v>
      </c>
      <c r="D265">
        <v>1329.05</v>
      </c>
      <c r="E265">
        <v>1</v>
      </c>
      <c r="F265">
        <v>1</v>
      </c>
      <c r="G265">
        <v>1329.05</v>
      </c>
      <c r="H265">
        <v>1329.05</v>
      </c>
    </row>
    <row r="266" spans="1:8" x14ac:dyDescent="0.35">
      <c r="A266">
        <v>103408198</v>
      </c>
      <c r="B266" t="s">
        <v>4076</v>
      </c>
      <c r="C266" s="2">
        <v>44748</v>
      </c>
      <c r="D266">
        <v>2099</v>
      </c>
      <c r="E266">
        <v>1</v>
      </c>
      <c r="F266">
        <v>1</v>
      </c>
      <c r="G266">
        <v>2099</v>
      </c>
      <c r="H266">
        <v>2099</v>
      </c>
    </row>
    <row r="267" spans="1:8" x14ac:dyDescent="0.35">
      <c r="A267">
        <v>103408201</v>
      </c>
      <c r="B267" t="s">
        <v>4076</v>
      </c>
      <c r="C267" s="2">
        <v>44748</v>
      </c>
      <c r="D267">
        <v>2495.7399999999998</v>
      </c>
      <c r="E267">
        <v>1</v>
      </c>
      <c r="F267">
        <v>1</v>
      </c>
      <c r="G267">
        <v>2495.7399999999998</v>
      </c>
      <c r="H267">
        <v>2495.7399999999998</v>
      </c>
    </row>
    <row r="268" spans="1:8" x14ac:dyDescent="0.35">
      <c r="A268">
        <v>103408202</v>
      </c>
      <c r="B268" t="s">
        <v>4076</v>
      </c>
      <c r="C268" s="2">
        <v>44748</v>
      </c>
      <c r="D268">
        <v>2611.5500000000002</v>
      </c>
      <c r="E268">
        <v>1</v>
      </c>
      <c r="F268">
        <v>1</v>
      </c>
      <c r="G268">
        <v>2611.5500000000002</v>
      </c>
      <c r="H268">
        <v>2611.5500000000002</v>
      </c>
    </row>
    <row r="269" spans="1:8" x14ac:dyDescent="0.35">
      <c r="A269">
        <v>103408215</v>
      </c>
      <c r="B269" t="s">
        <v>4076</v>
      </c>
      <c r="C269" s="2">
        <v>44748</v>
      </c>
      <c r="D269">
        <v>2960.2</v>
      </c>
      <c r="E269">
        <v>4</v>
      </c>
      <c r="F269">
        <v>1</v>
      </c>
      <c r="G269">
        <v>740.05</v>
      </c>
      <c r="H269">
        <v>2960.2</v>
      </c>
    </row>
    <row r="270" spans="1:8" x14ac:dyDescent="0.35">
      <c r="A270">
        <v>103408217</v>
      </c>
      <c r="B270" t="s">
        <v>4076</v>
      </c>
      <c r="C270" s="2">
        <v>44748</v>
      </c>
      <c r="D270">
        <v>571.99</v>
      </c>
      <c r="E270">
        <v>1</v>
      </c>
      <c r="F270">
        <v>1</v>
      </c>
      <c r="G270">
        <v>571.99</v>
      </c>
      <c r="H270">
        <v>571.99</v>
      </c>
    </row>
    <row r="271" spans="1:8" x14ac:dyDescent="0.35">
      <c r="A271">
        <v>103408225</v>
      </c>
      <c r="B271" t="s">
        <v>4076</v>
      </c>
      <c r="C271" s="2">
        <v>44748</v>
      </c>
      <c r="D271">
        <v>2350.39</v>
      </c>
      <c r="E271">
        <v>1</v>
      </c>
      <c r="F271">
        <v>1</v>
      </c>
      <c r="G271">
        <v>2350.39</v>
      </c>
      <c r="H271">
        <v>2350.39</v>
      </c>
    </row>
    <row r="272" spans="1:8" x14ac:dyDescent="0.35">
      <c r="A272">
        <v>103408226</v>
      </c>
      <c r="B272" t="s">
        <v>4076</v>
      </c>
      <c r="C272" s="2">
        <v>44748</v>
      </c>
      <c r="D272">
        <v>1558</v>
      </c>
      <c r="E272">
        <v>2</v>
      </c>
      <c r="F272">
        <v>1</v>
      </c>
      <c r="G272">
        <v>779</v>
      </c>
      <c r="H272">
        <v>1558</v>
      </c>
    </row>
    <row r="273" spans="1:8" x14ac:dyDescent="0.35">
      <c r="A273">
        <v>103408227</v>
      </c>
      <c r="B273" t="s">
        <v>4076</v>
      </c>
      <c r="C273" s="2">
        <v>44748</v>
      </c>
      <c r="D273">
        <v>1110.55</v>
      </c>
      <c r="E273">
        <v>1</v>
      </c>
      <c r="F273">
        <v>1</v>
      </c>
      <c r="G273">
        <v>1110.55</v>
      </c>
      <c r="H273">
        <v>1110.55</v>
      </c>
    </row>
    <row r="274" spans="1:8" x14ac:dyDescent="0.35">
      <c r="A274">
        <v>103408228</v>
      </c>
      <c r="B274" t="s">
        <v>4076</v>
      </c>
      <c r="C274" s="2">
        <v>44748</v>
      </c>
      <c r="D274">
        <v>4799</v>
      </c>
      <c r="E274">
        <v>1</v>
      </c>
      <c r="F274">
        <v>1</v>
      </c>
      <c r="G274">
        <v>4799</v>
      </c>
      <c r="H274">
        <v>4799</v>
      </c>
    </row>
    <row r="275" spans="1:8" x14ac:dyDescent="0.35">
      <c r="A275">
        <v>103408229</v>
      </c>
      <c r="B275" t="s">
        <v>4076</v>
      </c>
      <c r="C275" s="2">
        <v>44748</v>
      </c>
      <c r="D275">
        <v>999</v>
      </c>
      <c r="E275">
        <v>1</v>
      </c>
      <c r="F275">
        <v>1</v>
      </c>
      <c r="G275">
        <v>999</v>
      </c>
      <c r="H275">
        <v>999</v>
      </c>
    </row>
    <row r="276" spans="1:8" x14ac:dyDescent="0.35">
      <c r="A276">
        <v>103408232</v>
      </c>
      <c r="B276" t="s">
        <v>4076</v>
      </c>
      <c r="C276" s="2">
        <v>44748</v>
      </c>
      <c r="D276">
        <v>4199</v>
      </c>
      <c r="E276">
        <v>1</v>
      </c>
      <c r="F276">
        <v>1</v>
      </c>
      <c r="G276">
        <v>4199</v>
      </c>
      <c r="H276">
        <v>4199</v>
      </c>
    </row>
    <row r="277" spans="1:8" x14ac:dyDescent="0.35">
      <c r="A277">
        <v>103408236</v>
      </c>
      <c r="B277" t="s">
        <v>4076</v>
      </c>
      <c r="C277" s="2">
        <v>44748</v>
      </c>
      <c r="D277">
        <v>1661.55</v>
      </c>
      <c r="E277">
        <v>1</v>
      </c>
      <c r="F277">
        <v>1</v>
      </c>
      <c r="G277">
        <v>1661.55</v>
      </c>
      <c r="H277">
        <v>1661.55</v>
      </c>
    </row>
    <row r="278" spans="1:8" x14ac:dyDescent="0.35">
      <c r="A278">
        <v>103408240</v>
      </c>
      <c r="B278" t="s">
        <v>4076</v>
      </c>
      <c r="C278" s="2">
        <v>44748</v>
      </c>
      <c r="D278">
        <v>1566.55</v>
      </c>
      <c r="E278">
        <v>1</v>
      </c>
      <c r="F278">
        <v>1</v>
      </c>
      <c r="G278">
        <v>1566.55</v>
      </c>
      <c r="H278">
        <v>1566.55</v>
      </c>
    </row>
    <row r="279" spans="1:8" x14ac:dyDescent="0.35">
      <c r="A279">
        <v>103408246</v>
      </c>
      <c r="B279" t="s">
        <v>4076</v>
      </c>
      <c r="C279" s="2">
        <v>44748</v>
      </c>
      <c r="D279">
        <v>3239.1</v>
      </c>
      <c r="E279">
        <v>1</v>
      </c>
      <c r="F279">
        <v>1</v>
      </c>
      <c r="G279">
        <v>3239.1</v>
      </c>
      <c r="H279">
        <v>3239.1</v>
      </c>
    </row>
    <row r="280" spans="1:8" x14ac:dyDescent="0.35">
      <c r="A280">
        <v>103408257</v>
      </c>
      <c r="B280" t="s">
        <v>4076</v>
      </c>
      <c r="C280" s="2">
        <v>44748</v>
      </c>
      <c r="D280">
        <v>4549</v>
      </c>
      <c r="E280">
        <v>1</v>
      </c>
      <c r="F280">
        <v>1</v>
      </c>
      <c r="G280">
        <v>4549</v>
      </c>
      <c r="H280">
        <v>4549</v>
      </c>
    </row>
    <row r="281" spans="1:8" x14ac:dyDescent="0.35">
      <c r="A281">
        <v>103408258</v>
      </c>
      <c r="B281" t="s">
        <v>4076</v>
      </c>
      <c r="C281" s="2">
        <v>44748</v>
      </c>
      <c r="D281">
        <v>899</v>
      </c>
      <c r="E281">
        <v>1</v>
      </c>
      <c r="F281">
        <v>1</v>
      </c>
      <c r="G281">
        <v>899</v>
      </c>
      <c r="H281">
        <v>899</v>
      </c>
    </row>
    <row r="282" spans="1:8" x14ac:dyDescent="0.35">
      <c r="A282">
        <v>103408259</v>
      </c>
      <c r="B282" t="s">
        <v>4076</v>
      </c>
      <c r="C282" s="2">
        <v>44748</v>
      </c>
      <c r="D282">
        <v>351.07</v>
      </c>
      <c r="E282">
        <v>1</v>
      </c>
      <c r="F282">
        <v>1</v>
      </c>
      <c r="G282">
        <v>351.07</v>
      </c>
      <c r="H282">
        <v>351.07</v>
      </c>
    </row>
    <row r="283" spans="1:8" x14ac:dyDescent="0.35">
      <c r="A283">
        <v>103408262</v>
      </c>
      <c r="B283" t="s">
        <v>4076</v>
      </c>
      <c r="C283" s="2">
        <v>44748</v>
      </c>
      <c r="D283">
        <v>3499</v>
      </c>
      <c r="E283">
        <v>1</v>
      </c>
      <c r="F283">
        <v>1</v>
      </c>
      <c r="G283">
        <v>3499</v>
      </c>
      <c r="H283">
        <v>3499</v>
      </c>
    </row>
    <row r="284" spans="1:8" x14ac:dyDescent="0.35">
      <c r="A284">
        <v>103408265</v>
      </c>
      <c r="B284" t="s">
        <v>4076</v>
      </c>
      <c r="C284" s="2">
        <v>44748</v>
      </c>
      <c r="D284">
        <v>2197</v>
      </c>
      <c r="E284">
        <v>3</v>
      </c>
      <c r="F284">
        <v>1</v>
      </c>
      <c r="G284">
        <v>732.33333333333303</v>
      </c>
      <c r="H284">
        <v>2197</v>
      </c>
    </row>
    <row r="285" spans="1:8" x14ac:dyDescent="0.35">
      <c r="A285">
        <v>103408266</v>
      </c>
      <c r="B285" t="s">
        <v>4076</v>
      </c>
      <c r="C285" s="2">
        <v>44748</v>
      </c>
      <c r="D285">
        <v>2136.5500000000002</v>
      </c>
      <c r="E285">
        <v>1</v>
      </c>
      <c r="F285">
        <v>1</v>
      </c>
      <c r="G285">
        <v>2136.5500000000002</v>
      </c>
      <c r="H285">
        <v>2136.5500000000002</v>
      </c>
    </row>
    <row r="286" spans="1:8" x14ac:dyDescent="0.35">
      <c r="A286">
        <v>103408267</v>
      </c>
      <c r="B286" t="s">
        <v>4076</v>
      </c>
      <c r="C286" s="2">
        <v>44748</v>
      </c>
      <c r="D286">
        <v>1599</v>
      </c>
      <c r="E286">
        <v>1</v>
      </c>
      <c r="F286">
        <v>1</v>
      </c>
      <c r="G286">
        <v>1599</v>
      </c>
      <c r="H286">
        <v>1599</v>
      </c>
    </row>
    <row r="287" spans="1:8" x14ac:dyDescent="0.35">
      <c r="A287">
        <v>103408272</v>
      </c>
      <c r="B287" t="s">
        <v>4076</v>
      </c>
      <c r="C287" s="2">
        <v>44748</v>
      </c>
      <c r="D287">
        <v>2699.1</v>
      </c>
      <c r="E287">
        <v>1</v>
      </c>
      <c r="F287">
        <v>1</v>
      </c>
      <c r="G287">
        <v>2699.1</v>
      </c>
      <c r="H287">
        <v>2699.1</v>
      </c>
    </row>
    <row r="288" spans="1:8" x14ac:dyDescent="0.35">
      <c r="A288">
        <v>103408278</v>
      </c>
      <c r="B288" t="s">
        <v>4076</v>
      </c>
      <c r="C288" s="2">
        <v>44748</v>
      </c>
      <c r="D288">
        <v>1599</v>
      </c>
      <c r="E288">
        <v>1</v>
      </c>
      <c r="F288">
        <v>1</v>
      </c>
      <c r="G288">
        <v>1599</v>
      </c>
      <c r="H288">
        <v>1599</v>
      </c>
    </row>
    <row r="289" spans="1:8" x14ac:dyDescent="0.35">
      <c r="A289">
        <v>103408287</v>
      </c>
      <c r="B289" t="s">
        <v>4076</v>
      </c>
      <c r="C289" s="2">
        <v>44748</v>
      </c>
      <c r="D289">
        <v>4799</v>
      </c>
      <c r="E289">
        <v>1</v>
      </c>
      <c r="F289">
        <v>1</v>
      </c>
      <c r="G289">
        <v>4799</v>
      </c>
      <c r="H289">
        <v>4799</v>
      </c>
    </row>
    <row r="290" spans="1:8" x14ac:dyDescent="0.35">
      <c r="A290">
        <v>103408291</v>
      </c>
      <c r="B290" t="s">
        <v>4076</v>
      </c>
      <c r="C290" s="2">
        <v>44748</v>
      </c>
      <c r="D290">
        <v>3419.05</v>
      </c>
      <c r="E290">
        <v>1</v>
      </c>
      <c r="F290">
        <v>1</v>
      </c>
      <c r="G290">
        <v>3419.05</v>
      </c>
      <c r="H290">
        <v>3419.05</v>
      </c>
    </row>
    <row r="291" spans="1:8" x14ac:dyDescent="0.35">
      <c r="A291">
        <v>103408294</v>
      </c>
      <c r="B291" t="s">
        <v>4076</v>
      </c>
      <c r="C291" s="2">
        <v>44748</v>
      </c>
      <c r="D291">
        <v>1837.39</v>
      </c>
      <c r="E291">
        <v>1</v>
      </c>
      <c r="F291">
        <v>1</v>
      </c>
      <c r="G291">
        <v>1837.39</v>
      </c>
      <c r="H291">
        <v>1837.39</v>
      </c>
    </row>
    <row r="292" spans="1:8" x14ac:dyDescent="0.35">
      <c r="A292">
        <v>103408297</v>
      </c>
      <c r="B292" t="s">
        <v>4076</v>
      </c>
      <c r="C292" s="2">
        <v>44748</v>
      </c>
      <c r="D292">
        <v>987.05</v>
      </c>
      <c r="E292">
        <v>1</v>
      </c>
      <c r="F292">
        <v>1</v>
      </c>
      <c r="G292">
        <v>987.05</v>
      </c>
      <c r="H292">
        <v>987.05</v>
      </c>
    </row>
    <row r="293" spans="1:8" x14ac:dyDescent="0.35">
      <c r="A293">
        <v>103408301</v>
      </c>
      <c r="B293" t="s">
        <v>4076</v>
      </c>
      <c r="C293" s="2">
        <v>44748</v>
      </c>
      <c r="D293">
        <v>2773.05</v>
      </c>
      <c r="E293">
        <v>1</v>
      </c>
      <c r="F293">
        <v>1</v>
      </c>
      <c r="G293">
        <v>2773.05</v>
      </c>
      <c r="H293">
        <v>2773.05</v>
      </c>
    </row>
    <row r="294" spans="1:8" x14ac:dyDescent="0.35">
      <c r="A294">
        <v>103408312</v>
      </c>
      <c r="B294" t="s">
        <v>4076</v>
      </c>
      <c r="C294" s="2">
        <v>44748</v>
      </c>
      <c r="D294">
        <v>3419.14</v>
      </c>
      <c r="E294">
        <v>1</v>
      </c>
      <c r="F294">
        <v>1</v>
      </c>
      <c r="G294">
        <v>3419.14</v>
      </c>
      <c r="H294">
        <v>3419.14</v>
      </c>
    </row>
    <row r="295" spans="1:8" x14ac:dyDescent="0.35">
      <c r="A295">
        <v>103408314</v>
      </c>
      <c r="B295" t="s">
        <v>4076</v>
      </c>
      <c r="C295" s="2">
        <v>44748</v>
      </c>
      <c r="D295">
        <v>2699</v>
      </c>
      <c r="E295">
        <v>1</v>
      </c>
      <c r="F295">
        <v>1</v>
      </c>
      <c r="G295">
        <v>2699</v>
      </c>
      <c r="H295">
        <v>2699</v>
      </c>
    </row>
    <row r="296" spans="1:8" x14ac:dyDescent="0.35">
      <c r="A296">
        <v>103408317</v>
      </c>
      <c r="B296" t="s">
        <v>4076</v>
      </c>
      <c r="C296" s="2">
        <v>44748</v>
      </c>
      <c r="D296">
        <v>969</v>
      </c>
      <c r="E296">
        <v>1</v>
      </c>
      <c r="F296">
        <v>1</v>
      </c>
      <c r="G296">
        <v>969</v>
      </c>
      <c r="H296">
        <v>969</v>
      </c>
    </row>
    <row r="297" spans="1:8" x14ac:dyDescent="0.35">
      <c r="A297">
        <v>103408318</v>
      </c>
      <c r="B297" t="s">
        <v>4076</v>
      </c>
      <c r="C297" s="2">
        <v>44748</v>
      </c>
      <c r="D297">
        <v>1128.5999999999999</v>
      </c>
      <c r="E297">
        <v>2</v>
      </c>
      <c r="F297">
        <v>1</v>
      </c>
      <c r="G297">
        <v>564.29999999999995</v>
      </c>
      <c r="H297">
        <v>1128.5999999999999</v>
      </c>
    </row>
    <row r="298" spans="1:8" x14ac:dyDescent="0.35">
      <c r="A298">
        <v>103408323</v>
      </c>
      <c r="B298" t="s">
        <v>4076</v>
      </c>
      <c r="C298" s="2">
        <v>44748</v>
      </c>
      <c r="D298">
        <v>3797.1</v>
      </c>
      <c r="E298">
        <v>1</v>
      </c>
      <c r="F298">
        <v>1</v>
      </c>
      <c r="G298">
        <v>3797.1</v>
      </c>
      <c r="H298">
        <v>3797.1</v>
      </c>
    </row>
    <row r="299" spans="1:8" x14ac:dyDescent="0.35">
      <c r="A299">
        <v>103408325</v>
      </c>
      <c r="B299" t="s">
        <v>4076</v>
      </c>
      <c r="C299" s="2">
        <v>44748</v>
      </c>
      <c r="D299">
        <v>521.54999999999995</v>
      </c>
      <c r="E299">
        <v>1</v>
      </c>
      <c r="F299">
        <v>1</v>
      </c>
      <c r="G299">
        <v>521.54999999999995</v>
      </c>
      <c r="H299">
        <v>521.54999999999995</v>
      </c>
    </row>
    <row r="300" spans="1:8" x14ac:dyDescent="0.35">
      <c r="A300">
        <v>103408327</v>
      </c>
      <c r="B300" t="s">
        <v>4076</v>
      </c>
      <c r="C300" s="2">
        <v>44748</v>
      </c>
      <c r="D300">
        <v>4274.05</v>
      </c>
      <c r="E300">
        <v>1</v>
      </c>
      <c r="F300">
        <v>1</v>
      </c>
      <c r="G300">
        <v>4274.05</v>
      </c>
      <c r="H300">
        <v>4274.05</v>
      </c>
    </row>
    <row r="301" spans="1:8" x14ac:dyDescent="0.35">
      <c r="A301">
        <v>103408333</v>
      </c>
      <c r="B301" t="s">
        <v>4076</v>
      </c>
      <c r="C301" s="2">
        <v>44748</v>
      </c>
      <c r="D301">
        <v>4928.6000000000004</v>
      </c>
      <c r="E301">
        <v>2</v>
      </c>
      <c r="F301">
        <v>1</v>
      </c>
      <c r="G301">
        <v>2464.3000000000002</v>
      </c>
      <c r="H301">
        <v>4928.6000000000004</v>
      </c>
    </row>
    <row r="302" spans="1:8" x14ac:dyDescent="0.35">
      <c r="A302">
        <v>103408339</v>
      </c>
      <c r="B302" t="s">
        <v>4076</v>
      </c>
      <c r="C302" s="2">
        <v>44748</v>
      </c>
      <c r="D302">
        <v>2345.5500000000002</v>
      </c>
      <c r="E302">
        <v>1</v>
      </c>
      <c r="F302">
        <v>1</v>
      </c>
      <c r="G302">
        <v>2345.5500000000002</v>
      </c>
      <c r="H302">
        <v>2345.5500000000002</v>
      </c>
    </row>
    <row r="303" spans="1:8" x14ac:dyDescent="0.35">
      <c r="A303">
        <v>103408345</v>
      </c>
      <c r="B303" t="s">
        <v>4076</v>
      </c>
      <c r="C303" s="2">
        <v>44748</v>
      </c>
      <c r="D303">
        <v>5724.7</v>
      </c>
      <c r="E303">
        <v>4</v>
      </c>
      <c r="F303">
        <v>1</v>
      </c>
      <c r="G303">
        <v>1431.175</v>
      </c>
      <c r="H303">
        <v>5724.7</v>
      </c>
    </row>
    <row r="304" spans="1:8" x14ac:dyDescent="0.35">
      <c r="A304">
        <v>103408351</v>
      </c>
      <c r="B304" t="s">
        <v>4076</v>
      </c>
      <c r="C304" s="2">
        <v>44748</v>
      </c>
      <c r="D304">
        <v>969</v>
      </c>
      <c r="E304">
        <v>1</v>
      </c>
      <c r="F304">
        <v>1</v>
      </c>
      <c r="G304">
        <v>969</v>
      </c>
      <c r="H304">
        <v>969</v>
      </c>
    </row>
    <row r="305" spans="1:8" x14ac:dyDescent="0.35">
      <c r="A305">
        <v>103408353</v>
      </c>
      <c r="B305" t="s">
        <v>4076</v>
      </c>
      <c r="C305" s="2">
        <v>44748</v>
      </c>
      <c r="D305">
        <v>3134.05</v>
      </c>
      <c r="E305">
        <v>1</v>
      </c>
      <c r="F305">
        <v>1</v>
      </c>
      <c r="G305">
        <v>3134.05</v>
      </c>
      <c r="H305">
        <v>3134.05</v>
      </c>
    </row>
    <row r="306" spans="1:8" x14ac:dyDescent="0.35">
      <c r="A306">
        <v>103408360</v>
      </c>
      <c r="B306" t="s">
        <v>4076</v>
      </c>
      <c r="C306" s="2">
        <v>44748</v>
      </c>
      <c r="D306">
        <v>3419.05</v>
      </c>
      <c r="E306">
        <v>1</v>
      </c>
      <c r="F306">
        <v>1</v>
      </c>
      <c r="G306">
        <v>3419.05</v>
      </c>
      <c r="H306">
        <v>3419.05</v>
      </c>
    </row>
    <row r="307" spans="1:8" x14ac:dyDescent="0.35">
      <c r="A307">
        <v>103408364</v>
      </c>
      <c r="B307" t="s">
        <v>4076</v>
      </c>
      <c r="C307" s="2">
        <v>44748</v>
      </c>
      <c r="D307">
        <v>1044.05</v>
      </c>
      <c r="E307">
        <v>1</v>
      </c>
      <c r="F307">
        <v>1</v>
      </c>
      <c r="G307">
        <v>1044.05</v>
      </c>
      <c r="H307">
        <v>1044.05</v>
      </c>
    </row>
    <row r="308" spans="1:8" x14ac:dyDescent="0.35">
      <c r="A308">
        <v>103408369</v>
      </c>
      <c r="B308" t="s">
        <v>4076</v>
      </c>
      <c r="C308" s="2">
        <v>44748</v>
      </c>
      <c r="D308">
        <v>3499</v>
      </c>
      <c r="E308">
        <v>1</v>
      </c>
      <c r="F308">
        <v>1</v>
      </c>
      <c r="G308">
        <v>3499</v>
      </c>
      <c r="H308">
        <v>3499</v>
      </c>
    </row>
    <row r="309" spans="1:8" x14ac:dyDescent="0.35">
      <c r="A309">
        <v>103408370</v>
      </c>
      <c r="B309" t="s">
        <v>4076</v>
      </c>
      <c r="C309" s="2">
        <v>44748</v>
      </c>
      <c r="D309">
        <v>3324.05</v>
      </c>
      <c r="E309">
        <v>1</v>
      </c>
      <c r="F309">
        <v>1</v>
      </c>
      <c r="G309">
        <v>3324.05</v>
      </c>
      <c r="H309">
        <v>3324.05</v>
      </c>
    </row>
    <row r="310" spans="1:8" x14ac:dyDescent="0.35">
      <c r="A310">
        <v>103408373</v>
      </c>
      <c r="B310" t="s">
        <v>4076</v>
      </c>
      <c r="C310" s="2">
        <v>44748</v>
      </c>
      <c r="D310">
        <v>2279.0500000000002</v>
      </c>
      <c r="E310">
        <v>1</v>
      </c>
      <c r="F310">
        <v>1</v>
      </c>
      <c r="G310">
        <v>2279.0500000000002</v>
      </c>
      <c r="H310">
        <v>2279.0500000000002</v>
      </c>
    </row>
    <row r="311" spans="1:8" x14ac:dyDescent="0.35">
      <c r="A311">
        <v>103408377</v>
      </c>
      <c r="B311" t="s">
        <v>4076</v>
      </c>
      <c r="C311" s="2">
        <v>44748</v>
      </c>
      <c r="D311">
        <v>969</v>
      </c>
      <c r="E311">
        <v>1</v>
      </c>
      <c r="F311">
        <v>1</v>
      </c>
      <c r="G311">
        <v>969</v>
      </c>
      <c r="H311">
        <v>969</v>
      </c>
    </row>
    <row r="312" spans="1:8" x14ac:dyDescent="0.35">
      <c r="A312">
        <v>103408380</v>
      </c>
      <c r="B312" t="s">
        <v>4076</v>
      </c>
      <c r="C312" s="2">
        <v>44748</v>
      </c>
      <c r="D312">
        <v>1063.05</v>
      </c>
      <c r="E312">
        <v>1</v>
      </c>
      <c r="F312">
        <v>1</v>
      </c>
      <c r="G312">
        <v>1063.05</v>
      </c>
      <c r="H312">
        <v>1063.05</v>
      </c>
    </row>
    <row r="313" spans="1:8" x14ac:dyDescent="0.35">
      <c r="A313">
        <v>103408381</v>
      </c>
      <c r="B313" t="s">
        <v>4076</v>
      </c>
      <c r="C313" s="2">
        <v>44748</v>
      </c>
      <c r="D313">
        <v>4749.05</v>
      </c>
      <c r="E313">
        <v>1</v>
      </c>
      <c r="F313">
        <v>1</v>
      </c>
      <c r="G313">
        <v>4749.05</v>
      </c>
      <c r="H313">
        <v>4749.05</v>
      </c>
    </row>
    <row r="314" spans="1:8" x14ac:dyDescent="0.35">
      <c r="A314">
        <v>103408388</v>
      </c>
      <c r="B314" t="s">
        <v>4076</v>
      </c>
      <c r="C314" s="2">
        <v>44748</v>
      </c>
      <c r="D314">
        <v>1119</v>
      </c>
      <c r="E314">
        <v>1</v>
      </c>
      <c r="F314">
        <v>1</v>
      </c>
      <c r="G314">
        <v>1119</v>
      </c>
      <c r="H314">
        <v>1119</v>
      </c>
    </row>
    <row r="315" spans="1:8" x14ac:dyDescent="0.35">
      <c r="A315">
        <v>103408390</v>
      </c>
      <c r="B315" t="s">
        <v>4076</v>
      </c>
      <c r="C315" s="2">
        <v>44748</v>
      </c>
      <c r="D315">
        <v>4669</v>
      </c>
      <c r="E315">
        <v>1</v>
      </c>
      <c r="F315">
        <v>1</v>
      </c>
      <c r="G315">
        <v>4669</v>
      </c>
      <c r="H315">
        <v>4669</v>
      </c>
    </row>
    <row r="316" spans="1:8" x14ac:dyDescent="0.35">
      <c r="A316">
        <v>103408391</v>
      </c>
      <c r="B316" t="s">
        <v>4076</v>
      </c>
      <c r="C316" s="2">
        <v>44748</v>
      </c>
      <c r="D316">
        <v>1138.0999999999999</v>
      </c>
      <c r="E316">
        <v>2</v>
      </c>
      <c r="F316">
        <v>1</v>
      </c>
      <c r="G316">
        <v>569.04999999999995</v>
      </c>
      <c r="H316">
        <v>1138.0999999999999</v>
      </c>
    </row>
    <row r="317" spans="1:8" x14ac:dyDescent="0.35">
      <c r="A317">
        <v>103408393</v>
      </c>
      <c r="B317" t="s">
        <v>4076</v>
      </c>
      <c r="C317" s="2">
        <v>44748</v>
      </c>
      <c r="D317">
        <v>4021.2</v>
      </c>
      <c r="E317">
        <v>2</v>
      </c>
      <c r="F317">
        <v>1</v>
      </c>
      <c r="G317">
        <v>2010.6</v>
      </c>
      <c r="H317">
        <v>4021.2</v>
      </c>
    </row>
    <row r="318" spans="1:8" x14ac:dyDescent="0.35">
      <c r="A318">
        <v>103408397</v>
      </c>
      <c r="B318" t="s">
        <v>4076</v>
      </c>
      <c r="C318" s="2">
        <v>44748</v>
      </c>
      <c r="D318">
        <v>2374.0500000000002</v>
      </c>
      <c r="E318">
        <v>1</v>
      </c>
      <c r="F318">
        <v>1</v>
      </c>
      <c r="G318">
        <v>2374.0500000000002</v>
      </c>
      <c r="H318">
        <v>2374.0500000000002</v>
      </c>
    </row>
    <row r="319" spans="1:8" x14ac:dyDescent="0.35">
      <c r="A319">
        <v>103408398</v>
      </c>
      <c r="B319" t="s">
        <v>4076</v>
      </c>
      <c r="C319" s="2">
        <v>44748</v>
      </c>
      <c r="D319">
        <v>1566.55</v>
      </c>
      <c r="E319">
        <v>1</v>
      </c>
      <c r="F319">
        <v>1</v>
      </c>
      <c r="G319">
        <v>1566.55</v>
      </c>
      <c r="H319">
        <v>1566.55</v>
      </c>
    </row>
    <row r="320" spans="1:8" x14ac:dyDescent="0.35">
      <c r="A320">
        <v>103408401</v>
      </c>
      <c r="B320" t="s">
        <v>4076</v>
      </c>
      <c r="C320" s="2">
        <v>44748</v>
      </c>
      <c r="D320">
        <v>369.55</v>
      </c>
      <c r="E320">
        <v>1</v>
      </c>
      <c r="F320">
        <v>1</v>
      </c>
      <c r="G320">
        <v>369.55</v>
      </c>
      <c r="H320">
        <v>369.55</v>
      </c>
    </row>
    <row r="321" spans="1:8" x14ac:dyDescent="0.35">
      <c r="A321">
        <v>103408407</v>
      </c>
      <c r="B321" t="s">
        <v>4076</v>
      </c>
      <c r="C321" s="2">
        <v>44748</v>
      </c>
      <c r="D321">
        <v>3149</v>
      </c>
      <c r="E321">
        <v>1</v>
      </c>
      <c r="F321">
        <v>1</v>
      </c>
      <c r="G321">
        <v>3149</v>
      </c>
      <c r="H321">
        <v>3149</v>
      </c>
    </row>
    <row r="322" spans="1:8" x14ac:dyDescent="0.35">
      <c r="A322">
        <v>103408414</v>
      </c>
      <c r="B322" t="s">
        <v>4076</v>
      </c>
      <c r="C322" s="2">
        <v>44748</v>
      </c>
      <c r="D322">
        <v>987.05</v>
      </c>
      <c r="E322">
        <v>1</v>
      </c>
      <c r="F322">
        <v>1</v>
      </c>
      <c r="G322">
        <v>987.05</v>
      </c>
      <c r="H322">
        <v>987.05</v>
      </c>
    </row>
    <row r="323" spans="1:8" x14ac:dyDescent="0.35">
      <c r="A323">
        <v>103408415</v>
      </c>
      <c r="B323" t="s">
        <v>4076</v>
      </c>
      <c r="C323" s="2">
        <v>44748</v>
      </c>
      <c r="D323">
        <v>3133.1</v>
      </c>
      <c r="E323">
        <v>2</v>
      </c>
      <c r="F323">
        <v>1</v>
      </c>
      <c r="G323">
        <v>1566.55</v>
      </c>
      <c r="H323">
        <v>3133.1</v>
      </c>
    </row>
    <row r="324" spans="1:8" x14ac:dyDescent="0.35">
      <c r="A324">
        <v>103408416</v>
      </c>
      <c r="B324" t="s">
        <v>4076</v>
      </c>
      <c r="C324" s="2">
        <v>44748</v>
      </c>
      <c r="D324">
        <v>1799.1</v>
      </c>
      <c r="E324">
        <v>1</v>
      </c>
      <c r="F324">
        <v>1</v>
      </c>
      <c r="G324">
        <v>1799.1</v>
      </c>
      <c r="H324">
        <v>1799.1</v>
      </c>
    </row>
    <row r="325" spans="1:8" x14ac:dyDescent="0.35">
      <c r="A325">
        <v>103408417</v>
      </c>
      <c r="B325" t="s">
        <v>4076</v>
      </c>
      <c r="C325" s="2">
        <v>44748</v>
      </c>
      <c r="D325">
        <v>1538.05</v>
      </c>
      <c r="E325">
        <v>1</v>
      </c>
      <c r="F325">
        <v>1</v>
      </c>
      <c r="G325">
        <v>1538.05</v>
      </c>
      <c r="H325">
        <v>1538.05</v>
      </c>
    </row>
    <row r="326" spans="1:8" x14ac:dyDescent="0.35">
      <c r="A326">
        <v>103408418</v>
      </c>
      <c r="B326" t="s">
        <v>4076</v>
      </c>
      <c r="C326" s="2">
        <v>44748</v>
      </c>
      <c r="D326">
        <v>2991.55</v>
      </c>
      <c r="E326">
        <v>1</v>
      </c>
      <c r="F326">
        <v>1</v>
      </c>
      <c r="G326">
        <v>2991.55</v>
      </c>
      <c r="H326">
        <v>2991.55</v>
      </c>
    </row>
    <row r="327" spans="1:8" x14ac:dyDescent="0.35">
      <c r="A327">
        <v>103408419</v>
      </c>
      <c r="B327" t="s">
        <v>4076</v>
      </c>
      <c r="C327" s="2">
        <v>44748</v>
      </c>
      <c r="D327">
        <v>969</v>
      </c>
      <c r="E327">
        <v>1</v>
      </c>
      <c r="F327">
        <v>1</v>
      </c>
      <c r="G327">
        <v>969</v>
      </c>
      <c r="H327">
        <v>969</v>
      </c>
    </row>
    <row r="328" spans="1:8" x14ac:dyDescent="0.35">
      <c r="A328">
        <v>103408425</v>
      </c>
      <c r="B328" t="s">
        <v>4076</v>
      </c>
      <c r="C328" s="2">
        <v>44748</v>
      </c>
      <c r="D328">
        <v>1435.54</v>
      </c>
      <c r="E328">
        <v>1</v>
      </c>
      <c r="F328">
        <v>1</v>
      </c>
      <c r="G328">
        <v>1435.54</v>
      </c>
      <c r="H328">
        <v>1435.54</v>
      </c>
    </row>
    <row r="329" spans="1:8" x14ac:dyDescent="0.35">
      <c r="A329">
        <v>103408432</v>
      </c>
      <c r="B329" t="s">
        <v>4076</v>
      </c>
      <c r="C329" s="2">
        <v>44748</v>
      </c>
      <c r="D329">
        <v>3019</v>
      </c>
      <c r="E329">
        <v>1</v>
      </c>
      <c r="F329">
        <v>1</v>
      </c>
      <c r="G329">
        <v>3019</v>
      </c>
      <c r="H329">
        <v>3019</v>
      </c>
    </row>
    <row r="330" spans="1:8" x14ac:dyDescent="0.35">
      <c r="A330">
        <v>103408436</v>
      </c>
      <c r="B330" t="s">
        <v>4076</v>
      </c>
      <c r="C330" s="2">
        <v>44748</v>
      </c>
      <c r="D330">
        <v>969</v>
      </c>
      <c r="E330">
        <v>1</v>
      </c>
      <c r="F330">
        <v>1</v>
      </c>
      <c r="G330">
        <v>969</v>
      </c>
      <c r="H330">
        <v>969</v>
      </c>
    </row>
    <row r="331" spans="1:8" x14ac:dyDescent="0.35">
      <c r="A331">
        <v>103408437</v>
      </c>
      <c r="B331" t="s">
        <v>4076</v>
      </c>
      <c r="C331" s="2">
        <v>44748</v>
      </c>
      <c r="D331">
        <v>1423.1</v>
      </c>
      <c r="E331">
        <v>2</v>
      </c>
      <c r="F331">
        <v>1</v>
      </c>
      <c r="G331">
        <v>711.55</v>
      </c>
      <c r="H331">
        <v>1423.1</v>
      </c>
    </row>
    <row r="332" spans="1:8" x14ac:dyDescent="0.35">
      <c r="A332">
        <v>103408439</v>
      </c>
      <c r="B332" t="s">
        <v>4076</v>
      </c>
      <c r="C332" s="2">
        <v>44748</v>
      </c>
      <c r="D332">
        <v>369</v>
      </c>
      <c r="E332">
        <v>1</v>
      </c>
      <c r="F332">
        <v>1</v>
      </c>
      <c r="G332">
        <v>369</v>
      </c>
      <c r="H332">
        <v>369</v>
      </c>
    </row>
    <row r="333" spans="1:8" x14ac:dyDescent="0.35">
      <c r="A333">
        <v>103408447</v>
      </c>
      <c r="B333" t="s">
        <v>4076</v>
      </c>
      <c r="C333" s="2">
        <v>44748</v>
      </c>
      <c r="D333">
        <v>1110.55</v>
      </c>
      <c r="E333">
        <v>1</v>
      </c>
      <c r="F333">
        <v>1</v>
      </c>
      <c r="G333">
        <v>1110.55</v>
      </c>
      <c r="H333">
        <v>1110.55</v>
      </c>
    </row>
    <row r="334" spans="1:8" x14ac:dyDescent="0.35">
      <c r="A334">
        <v>103408458</v>
      </c>
      <c r="B334" t="s">
        <v>4076</v>
      </c>
      <c r="C334" s="2">
        <v>44748</v>
      </c>
      <c r="D334">
        <v>969</v>
      </c>
      <c r="E334">
        <v>1</v>
      </c>
      <c r="F334">
        <v>1</v>
      </c>
      <c r="G334">
        <v>969</v>
      </c>
      <c r="H334">
        <v>969</v>
      </c>
    </row>
    <row r="335" spans="1:8" x14ac:dyDescent="0.35">
      <c r="A335">
        <v>103408462</v>
      </c>
      <c r="B335" t="s">
        <v>4076</v>
      </c>
      <c r="C335" s="2">
        <v>44748</v>
      </c>
      <c r="D335">
        <v>969</v>
      </c>
      <c r="E335">
        <v>1</v>
      </c>
      <c r="F335">
        <v>1</v>
      </c>
      <c r="G335">
        <v>969</v>
      </c>
      <c r="H335">
        <v>969</v>
      </c>
    </row>
    <row r="336" spans="1:8" x14ac:dyDescent="0.35">
      <c r="A336">
        <v>103408465</v>
      </c>
      <c r="B336" t="s">
        <v>4076</v>
      </c>
      <c r="C336" s="2">
        <v>44748</v>
      </c>
      <c r="D336">
        <v>1794.64</v>
      </c>
      <c r="E336">
        <v>1</v>
      </c>
      <c r="F336">
        <v>1</v>
      </c>
      <c r="G336">
        <v>1794.64</v>
      </c>
      <c r="H336">
        <v>1794.64</v>
      </c>
    </row>
    <row r="337" spans="1:8" x14ac:dyDescent="0.35">
      <c r="A337">
        <v>103408470</v>
      </c>
      <c r="B337" t="s">
        <v>4076</v>
      </c>
      <c r="C337" s="2">
        <v>44748</v>
      </c>
      <c r="D337">
        <v>4999</v>
      </c>
      <c r="E337">
        <v>1</v>
      </c>
      <c r="F337">
        <v>1</v>
      </c>
      <c r="G337">
        <v>4999</v>
      </c>
      <c r="H337">
        <v>4999</v>
      </c>
    </row>
    <row r="338" spans="1:8" x14ac:dyDescent="0.35">
      <c r="A338">
        <v>103408472</v>
      </c>
      <c r="B338" t="s">
        <v>4076</v>
      </c>
      <c r="C338" s="2">
        <v>44748</v>
      </c>
      <c r="D338">
        <v>2495.7399999999998</v>
      </c>
      <c r="E338">
        <v>1</v>
      </c>
      <c r="F338">
        <v>1</v>
      </c>
      <c r="G338">
        <v>2495.7399999999998</v>
      </c>
      <c r="H338">
        <v>2495.7399999999998</v>
      </c>
    </row>
    <row r="339" spans="1:8" x14ac:dyDescent="0.35">
      <c r="A339">
        <v>103408473</v>
      </c>
      <c r="B339" t="s">
        <v>4076</v>
      </c>
      <c r="C339" s="2">
        <v>44748</v>
      </c>
      <c r="D339">
        <v>549</v>
      </c>
      <c r="E339">
        <v>1</v>
      </c>
      <c r="F339">
        <v>1</v>
      </c>
      <c r="G339">
        <v>549</v>
      </c>
      <c r="H339">
        <v>549</v>
      </c>
    </row>
    <row r="340" spans="1:8" x14ac:dyDescent="0.35">
      <c r="A340">
        <v>103408475</v>
      </c>
      <c r="B340" t="s">
        <v>4076</v>
      </c>
      <c r="C340" s="2">
        <v>44748</v>
      </c>
      <c r="D340">
        <v>2398</v>
      </c>
      <c r="E340">
        <v>2</v>
      </c>
      <c r="F340">
        <v>1</v>
      </c>
      <c r="G340">
        <v>1199</v>
      </c>
      <c r="H340">
        <v>2398</v>
      </c>
    </row>
    <row r="341" spans="1:8" x14ac:dyDescent="0.35">
      <c r="A341">
        <v>103408479</v>
      </c>
      <c r="B341" t="s">
        <v>4076</v>
      </c>
      <c r="C341" s="2">
        <v>44748</v>
      </c>
      <c r="D341">
        <v>4558.1000000000004</v>
      </c>
      <c r="E341">
        <v>2</v>
      </c>
      <c r="F341">
        <v>1</v>
      </c>
      <c r="G341">
        <v>2279.0500000000002</v>
      </c>
      <c r="H341">
        <v>4558.1000000000004</v>
      </c>
    </row>
    <row r="342" spans="1:8" x14ac:dyDescent="0.35">
      <c r="A342">
        <v>103408482</v>
      </c>
      <c r="B342" t="s">
        <v>4076</v>
      </c>
      <c r="C342" s="2">
        <v>44748</v>
      </c>
      <c r="D342">
        <v>1025.05</v>
      </c>
      <c r="E342">
        <v>1</v>
      </c>
      <c r="F342">
        <v>1</v>
      </c>
      <c r="G342">
        <v>1025.05</v>
      </c>
      <c r="H342">
        <v>1025.05</v>
      </c>
    </row>
    <row r="343" spans="1:8" x14ac:dyDescent="0.35">
      <c r="A343">
        <v>103408488</v>
      </c>
      <c r="B343" t="s">
        <v>4076</v>
      </c>
      <c r="C343" s="2">
        <v>44748</v>
      </c>
      <c r="D343">
        <v>1649</v>
      </c>
      <c r="E343">
        <v>1</v>
      </c>
      <c r="F343">
        <v>1</v>
      </c>
      <c r="G343">
        <v>1649</v>
      </c>
      <c r="H343">
        <v>1649</v>
      </c>
    </row>
    <row r="344" spans="1:8" x14ac:dyDescent="0.35">
      <c r="A344">
        <v>103408489</v>
      </c>
      <c r="B344" t="s">
        <v>4076</v>
      </c>
      <c r="C344" s="2">
        <v>44748</v>
      </c>
      <c r="D344">
        <v>2093.89</v>
      </c>
      <c r="E344">
        <v>1</v>
      </c>
      <c r="F344">
        <v>1</v>
      </c>
      <c r="G344">
        <v>2093.89</v>
      </c>
      <c r="H344">
        <v>2093.89</v>
      </c>
    </row>
    <row r="345" spans="1:8" x14ac:dyDescent="0.35">
      <c r="A345">
        <v>103408492</v>
      </c>
      <c r="B345" t="s">
        <v>4076</v>
      </c>
      <c r="C345" s="2">
        <v>44748</v>
      </c>
      <c r="D345">
        <v>1259</v>
      </c>
      <c r="E345">
        <v>1</v>
      </c>
      <c r="F345">
        <v>1</v>
      </c>
      <c r="G345">
        <v>1259</v>
      </c>
      <c r="H345">
        <v>1259</v>
      </c>
    </row>
    <row r="346" spans="1:8" x14ac:dyDescent="0.35">
      <c r="A346">
        <v>103408495</v>
      </c>
      <c r="B346" t="s">
        <v>4076</v>
      </c>
      <c r="C346" s="2">
        <v>44748</v>
      </c>
      <c r="D346">
        <v>1709.05</v>
      </c>
      <c r="E346">
        <v>1</v>
      </c>
      <c r="F346">
        <v>1</v>
      </c>
      <c r="G346">
        <v>1709.05</v>
      </c>
      <c r="H346">
        <v>1709.05</v>
      </c>
    </row>
    <row r="347" spans="1:8" x14ac:dyDescent="0.35">
      <c r="A347">
        <v>103408497</v>
      </c>
      <c r="B347" t="s">
        <v>4076</v>
      </c>
      <c r="C347" s="2">
        <v>44748</v>
      </c>
      <c r="D347">
        <v>2849.05</v>
      </c>
      <c r="E347">
        <v>1</v>
      </c>
      <c r="F347">
        <v>1</v>
      </c>
      <c r="G347">
        <v>2849.05</v>
      </c>
      <c r="H347">
        <v>2849.05</v>
      </c>
    </row>
    <row r="348" spans="1:8" x14ac:dyDescent="0.35">
      <c r="A348">
        <v>103408502</v>
      </c>
      <c r="B348" t="s">
        <v>4076</v>
      </c>
      <c r="C348" s="2">
        <v>44748</v>
      </c>
      <c r="D348">
        <v>3149</v>
      </c>
      <c r="E348">
        <v>1</v>
      </c>
      <c r="F348">
        <v>1</v>
      </c>
      <c r="G348">
        <v>3149</v>
      </c>
      <c r="H348">
        <v>3149</v>
      </c>
    </row>
    <row r="349" spans="1:8" x14ac:dyDescent="0.35">
      <c r="A349">
        <v>103408507</v>
      </c>
      <c r="B349" t="s">
        <v>4076</v>
      </c>
      <c r="C349" s="2">
        <v>44748</v>
      </c>
      <c r="D349">
        <v>2519.1</v>
      </c>
      <c r="E349">
        <v>1</v>
      </c>
      <c r="F349">
        <v>1</v>
      </c>
      <c r="G349">
        <v>2519.1</v>
      </c>
      <c r="H349">
        <v>2519.1</v>
      </c>
    </row>
    <row r="350" spans="1:8" x14ac:dyDescent="0.35">
      <c r="A350">
        <v>103408508</v>
      </c>
      <c r="B350" t="s">
        <v>4076</v>
      </c>
      <c r="C350" s="2">
        <v>44748</v>
      </c>
      <c r="D350">
        <v>2461.54</v>
      </c>
      <c r="E350">
        <v>1</v>
      </c>
      <c r="F350">
        <v>1</v>
      </c>
      <c r="G350">
        <v>2461.54</v>
      </c>
      <c r="H350">
        <v>2461.54</v>
      </c>
    </row>
    <row r="351" spans="1:8" x14ac:dyDescent="0.35">
      <c r="A351">
        <v>103408511</v>
      </c>
      <c r="B351" t="s">
        <v>4076</v>
      </c>
      <c r="C351" s="2">
        <v>44748</v>
      </c>
      <c r="D351">
        <v>969</v>
      </c>
      <c r="E351">
        <v>1</v>
      </c>
      <c r="F351">
        <v>1</v>
      </c>
      <c r="G351">
        <v>969</v>
      </c>
      <c r="H351">
        <v>969</v>
      </c>
    </row>
    <row r="352" spans="1:8" x14ac:dyDescent="0.35">
      <c r="A352">
        <v>103408521</v>
      </c>
      <c r="B352" t="s">
        <v>4076</v>
      </c>
      <c r="C352" s="2">
        <v>44748</v>
      </c>
      <c r="D352">
        <v>5399</v>
      </c>
      <c r="E352">
        <v>1</v>
      </c>
      <c r="F352">
        <v>1</v>
      </c>
      <c r="G352">
        <v>5399</v>
      </c>
      <c r="H352">
        <v>5399</v>
      </c>
    </row>
    <row r="353" spans="1:8" x14ac:dyDescent="0.35">
      <c r="A353">
        <v>103408526</v>
      </c>
      <c r="B353" t="s">
        <v>4076</v>
      </c>
      <c r="C353" s="2">
        <v>44748</v>
      </c>
      <c r="D353">
        <v>4999</v>
      </c>
      <c r="E353">
        <v>1</v>
      </c>
      <c r="F353">
        <v>1</v>
      </c>
      <c r="G353">
        <v>4999</v>
      </c>
      <c r="H353">
        <v>4999</v>
      </c>
    </row>
    <row r="354" spans="1:8" x14ac:dyDescent="0.35">
      <c r="A354">
        <v>103408531</v>
      </c>
      <c r="B354" t="s">
        <v>4076</v>
      </c>
      <c r="C354" s="2">
        <v>44748</v>
      </c>
      <c r="D354">
        <v>3247.29</v>
      </c>
      <c r="E354">
        <v>2</v>
      </c>
      <c r="F354">
        <v>1</v>
      </c>
      <c r="G354">
        <v>1623.645</v>
      </c>
      <c r="H354">
        <v>3247.29</v>
      </c>
    </row>
    <row r="355" spans="1:8" x14ac:dyDescent="0.35">
      <c r="A355">
        <v>103408532</v>
      </c>
      <c r="B355" t="s">
        <v>4076</v>
      </c>
      <c r="C355" s="2">
        <v>44748</v>
      </c>
      <c r="D355">
        <v>3599</v>
      </c>
      <c r="E355">
        <v>1</v>
      </c>
      <c r="F355">
        <v>1</v>
      </c>
      <c r="G355">
        <v>3599</v>
      </c>
      <c r="H355">
        <v>3599</v>
      </c>
    </row>
    <row r="356" spans="1:8" x14ac:dyDescent="0.35">
      <c r="A356">
        <v>103408537</v>
      </c>
      <c r="B356" t="s">
        <v>4076</v>
      </c>
      <c r="C356" s="2">
        <v>44748</v>
      </c>
      <c r="D356">
        <v>853.1</v>
      </c>
      <c r="E356">
        <v>2</v>
      </c>
      <c r="F356">
        <v>1</v>
      </c>
      <c r="G356">
        <v>426.55</v>
      </c>
      <c r="H356">
        <v>853.1</v>
      </c>
    </row>
    <row r="357" spans="1:8" x14ac:dyDescent="0.35">
      <c r="A357">
        <v>103408541</v>
      </c>
      <c r="B357" t="s">
        <v>4076</v>
      </c>
      <c r="C357" s="2">
        <v>44748</v>
      </c>
      <c r="D357">
        <v>1661.55</v>
      </c>
      <c r="E357">
        <v>1</v>
      </c>
      <c r="F357">
        <v>1</v>
      </c>
      <c r="G357">
        <v>1661.55</v>
      </c>
      <c r="H357">
        <v>1661.55</v>
      </c>
    </row>
    <row r="358" spans="1:8" x14ac:dyDescent="0.35">
      <c r="A358">
        <v>103408542</v>
      </c>
      <c r="B358" t="s">
        <v>4076</v>
      </c>
      <c r="C358" s="2">
        <v>44748</v>
      </c>
      <c r="D358">
        <v>2849.05</v>
      </c>
      <c r="E358">
        <v>1</v>
      </c>
      <c r="F358">
        <v>1</v>
      </c>
      <c r="G358">
        <v>2849.05</v>
      </c>
      <c r="H358">
        <v>2849.05</v>
      </c>
    </row>
    <row r="359" spans="1:8" x14ac:dyDescent="0.35">
      <c r="A359">
        <v>103408546</v>
      </c>
      <c r="B359" t="s">
        <v>4076</v>
      </c>
      <c r="C359" s="2">
        <v>44748</v>
      </c>
      <c r="D359">
        <v>1939.99</v>
      </c>
      <c r="E359">
        <v>1</v>
      </c>
      <c r="F359">
        <v>1</v>
      </c>
      <c r="G359">
        <v>1939.99</v>
      </c>
      <c r="H359">
        <v>1939.99</v>
      </c>
    </row>
    <row r="360" spans="1:8" x14ac:dyDescent="0.35">
      <c r="A360">
        <v>103408550</v>
      </c>
      <c r="B360" t="s">
        <v>4076</v>
      </c>
      <c r="C360" s="2">
        <v>44748</v>
      </c>
      <c r="D360">
        <v>2393.14</v>
      </c>
      <c r="E360">
        <v>1</v>
      </c>
      <c r="F360">
        <v>1</v>
      </c>
      <c r="G360">
        <v>2393.14</v>
      </c>
      <c r="H360">
        <v>2393.14</v>
      </c>
    </row>
    <row r="361" spans="1:8" x14ac:dyDescent="0.35">
      <c r="A361">
        <v>103408556</v>
      </c>
      <c r="B361" t="s">
        <v>4076</v>
      </c>
      <c r="C361" s="2">
        <v>44748</v>
      </c>
      <c r="D361">
        <v>5129.1400000000003</v>
      </c>
      <c r="E361">
        <v>1</v>
      </c>
      <c r="F361">
        <v>1</v>
      </c>
      <c r="G361">
        <v>5129.1400000000003</v>
      </c>
      <c r="H361">
        <v>5129.1400000000003</v>
      </c>
    </row>
    <row r="362" spans="1:8" x14ac:dyDescent="0.35">
      <c r="A362">
        <v>103408560</v>
      </c>
      <c r="B362" t="s">
        <v>4076</v>
      </c>
      <c r="C362" s="2">
        <v>44748</v>
      </c>
      <c r="D362">
        <v>579</v>
      </c>
      <c r="E362">
        <v>1</v>
      </c>
      <c r="F362">
        <v>1</v>
      </c>
      <c r="G362">
        <v>579</v>
      </c>
      <c r="H362">
        <v>579</v>
      </c>
    </row>
    <row r="363" spans="1:8" x14ac:dyDescent="0.35">
      <c r="A363">
        <v>103408561</v>
      </c>
      <c r="B363" t="s">
        <v>4076</v>
      </c>
      <c r="C363" s="2">
        <v>44748</v>
      </c>
      <c r="D363">
        <v>1079</v>
      </c>
      <c r="E363">
        <v>1</v>
      </c>
      <c r="F363">
        <v>1</v>
      </c>
      <c r="G363">
        <v>1079</v>
      </c>
      <c r="H363">
        <v>1079</v>
      </c>
    </row>
    <row r="364" spans="1:8" x14ac:dyDescent="0.35">
      <c r="A364">
        <v>103408565</v>
      </c>
      <c r="B364" t="s">
        <v>4076</v>
      </c>
      <c r="C364" s="2">
        <v>44748</v>
      </c>
      <c r="D364">
        <v>1424.05</v>
      </c>
      <c r="E364">
        <v>1</v>
      </c>
      <c r="F364">
        <v>1</v>
      </c>
      <c r="G364">
        <v>1424.05</v>
      </c>
      <c r="H364">
        <v>1424.05</v>
      </c>
    </row>
    <row r="365" spans="1:8" x14ac:dyDescent="0.35">
      <c r="A365">
        <v>103408566</v>
      </c>
      <c r="B365" t="s">
        <v>4076</v>
      </c>
      <c r="C365" s="2">
        <v>44748</v>
      </c>
      <c r="D365">
        <v>1798</v>
      </c>
      <c r="E365">
        <v>2</v>
      </c>
      <c r="F365">
        <v>1</v>
      </c>
      <c r="G365">
        <v>899</v>
      </c>
      <c r="H365">
        <v>1798</v>
      </c>
    </row>
    <row r="366" spans="1:8" x14ac:dyDescent="0.35">
      <c r="A366">
        <v>103408569</v>
      </c>
      <c r="B366" t="s">
        <v>4076</v>
      </c>
      <c r="C366" s="2">
        <v>44748</v>
      </c>
      <c r="D366">
        <v>939.55</v>
      </c>
      <c r="E366">
        <v>1</v>
      </c>
      <c r="F366">
        <v>1</v>
      </c>
      <c r="G366">
        <v>939.55</v>
      </c>
      <c r="H366">
        <v>939.55</v>
      </c>
    </row>
    <row r="367" spans="1:8" x14ac:dyDescent="0.35">
      <c r="A367">
        <v>103408572</v>
      </c>
      <c r="B367" t="s">
        <v>4076</v>
      </c>
      <c r="C367" s="2">
        <v>44748</v>
      </c>
      <c r="D367">
        <v>2547</v>
      </c>
      <c r="E367">
        <v>3</v>
      </c>
      <c r="F367">
        <v>1</v>
      </c>
      <c r="G367">
        <v>849</v>
      </c>
      <c r="H367">
        <v>2547</v>
      </c>
    </row>
    <row r="368" spans="1:8" x14ac:dyDescent="0.35">
      <c r="A368">
        <v>103408573</v>
      </c>
      <c r="B368" t="s">
        <v>4076</v>
      </c>
      <c r="C368" s="2">
        <v>44748</v>
      </c>
      <c r="D368">
        <v>1352.85</v>
      </c>
      <c r="E368">
        <v>1</v>
      </c>
      <c r="F368">
        <v>1</v>
      </c>
      <c r="G368">
        <v>1352.85</v>
      </c>
      <c r="H368">
        <v>1352.85</v>
      </c>
    </row>
    <row r="369" spans="1:8" x14ac:dyDescent="0.35">
      <c r="A369">
        <v>103408574</v>
      </c>
      <c r="B369" t="s">
        <v>4076</v>
      </c>
      <c r="C369" s="2">
        <v>44748</v>
      </c>
      <c r="D369">
        <v>2564.14</v>
      </c>
      <c r="E369">
        <v>1</v>
      </c>
      <c r="F369">
        <v>1</v>
      </c>
      <c r="G369">
        <v>2564.14</v>
      </c>
      <c r="H369">
        <v>2564.14</v>
      </c>
    </row>
    <row r="370" spans="1:8" x14ac:dyDescent="0.35">
      <c r="A370">
        <v>103408581</v>
      </c>
      <c r="B370" t="s">
        <v>4076</v>
      </c>
      <c r="C370" s="2">
        <v>44748</v>
      </c>
      <c r="D370">
        <v>1922.89</v>
      </c>
      <c r="E370">
        <v>1</v>
      </c>
      <c r="F370">
        <v>1</v>
      </c>
      <c r="G370">
        <v>1922.89</v>
      </c>
      <c r="H370">
        <v>1922.89</v>
      </c>
    </row>
    <row r="371" spans="1:8" x14ac:dyDescent="0.35">
      <c r="A371">
        <v>103408583</v>
      </c>
      <c r="B371" t="s">
        <v>4076</v>
      </c>
      <c r="C371" s="2">
        <v>44748</v>
      </c>
      <c r="D371">
        <v>854.14</v>
      </c>
      <c r="E371">
        <v>1</v>
      </c>
      <c r="F371">
        <v>1</v>
      </c>
      <c r="G371">
        <v>854.14</v>
      </c>
      <c r="H371">
        <v>854.14</v>
      </c>
    </row>
    <row r="372" spans="1:8" x14ac:dyDescent="0.35">
      <c r="A372">
        <v>103408591</v>
      </c>
      <c r="B372" t="s">
        <v>4076</v>
      </c>
      <c r="C372" s="2">
        <v>44748</v>
      </c>
      <c r="D372">
        <v>519</v>
      </c>
      <c r="E372">
        <v>1</v>
      </c>
      <c r="F372">
        <v>1</v>
      </c>
      <c r="G372">
        <v>519</v>
      </c>
      <c r="H372">
        <v>519</v>
      </c>
    </row>
    <row r="373" spans="1:8" x14ac:dyDescent="0.35">
      <c r="A373">
        <v>103408593</v>
      </c>
      <c r="B373" t="s">
        <v>4076</v>
      </c>
      <c r="C373" s="2">
        <v>44748</v>
      </c>
      <c r="D373">
        <v>5000.8900000000003</v>
      </c>
      <c r="E373">
        <v>1</v>
      </c>
      <c r="F373">
        <v>1</v>
      </c>
      <c r="G373">
        <v>5000.8900000000003</v>
      </c>
      <c r="H373">
        <v>5000.8900000000003</v>
      </c>
    </row>
    <row r="374" spans="1:8" x14ac:dyDescent="0.35">
      <c r="A374">
        <v>103408603</v>
      </c>
      <c r="B374" t="s">
        <v>4076</v>
      </c>
      <c r="C374" s="2">
        <v>44748</v>
      </c>
      <c r="D374">
        <v>1329.05</v>
      </c>
      <c r="E374">
        <v>1</v>
      </c>
      <c r="F374">
        <v>1</v>
      </c>
      <c r="G374">
        <v>1329.05</v>
      </c>
      <c r="H374">
        <v>1329.05</v>
      </c>
    </row>
    <row r="375" spans="1:8" x14ac:dyDescent="0.35">
      <c r="A375">
        <v>103408604</v>
      </c>
      <c r="B375" t="s">
        <v>4076</v>
      </c>
      <c r="C375" s="2">
        <v>44748</v>
      </c>
      <c r="D375">
        <v>1880.14</v>
      </c>
      <c r="E375">
        <v>1</v>
      </c>
      <c r="F375">
        <v>1</v>
      </c>
      <c r="G375">
        <v>1880.14</v>
      </c>
      <c r="H375">
        <v>1880.14</v>
      </c>
    </row>
    <row r="376" spans="1:8" x14ac:dyDescent="0.35">
      <c r="A376">
        <v>103408609</v>
      </c>
      <c r="B376" t="s">
        <v>4076</v>
      </c>
      <c r="C376" s="2">
        <v>44748</v>
      </c>
      <c r="D376">
        <v>629</v>
      </c>
      <c r="E376">
        <v>1</v>
      </c>
      <c r="F376">
        <v>1</v>
      </c>
      <c r="G376">
        <v>629</v>
      </c>
      <c r="H376">
        <v>629</v>
      </c>
    </row>
    <row r="377" spans="1:8" x14ac:dyDescent="0.35">
      <c r="A377">
        <v>103408615</v>
      </c>
      <c r="B377" t="s">
        <v>4076</v>
      </c>
      <c r="C377" s="2">
        <v>44748</v>
      </c>
      <c r="D377">
        <v>2350.39</v>
      </c>
      <c r="E377">
        <v>1</v>
      </c>
      <c r="F377">
        <v>1</v>
      </c>
      <c r="G377">
        <v>2350.39</v>
      </c>
      <c r="H377">
        <v>2350.39</v>
      </c>
    </row>
    <row r="378" spans="1:8" x14ac:dyDescent="0.35">
      <c r="A378">
        <v>103408623</v>
      </c>
      <c r="B378" t="s">
        <v>4076</v>
      </c>
      <c r="C378" s="2">
        <v>44748</v>
      </c>
      <c r="D378">
        <v>2449</v>
      </c>
      <c r="E378">
        <v>1</v>
      </c>
      <c r="F378">
        <v>1</v>
      </c>
      <c r="G378">
        <v>2449</v>
      </c>
      <c r="H378">
        <v>2449</v>
      </c>
    </row>
    <row r="379" spans="1:8" x14ac:dyDescent="0.35">
      <c r="A379">
        <v>103408630</v>
      </c>
      <c r="B379" t="s">
        <v>4076</v>
      </c>
      <c r="C379" s="2">
        <v>44748</v>
      </c>
      <c r="D379">
        <v>4549</v>
      </c>
      <c r="E379">
        <v>1</v>
      </c>
      <c r="F379">
        <v>1</v>
      </c>
      <c r="G379">
        <v>4549</v>
      </c>
      <c r="H379">
        <v>4549</v>
      </c>
    </row>
    <row r="380" spans="1:8" x14ac:dyDescent="0.35">
      <c r="A380">
        <v>103408636</v>
      </c>
      <c r="B380" t="s">
        <v>4076</v>
      </c>
      <c r="C380" s="2">
        <v>44748</v>
      </c>
      <c r="D380">
        <v>1999</v>
      </c>
      <c r="E380">
        <v>1</v>
      </c>
      <c r="F380">
        <v>1</v>
      </c>
      <c r="G380">
        <v>1999</v>
      </c>
      <c r="H380">
        <v>1999</v>
      </c>
    </row>
    <row r="381" spans="1:8" x14ac:dyDescent="0.35">
      <c r="A381">
        <v>103408640</v>
      </c>
      <c r="B381" t="s">
        <v>4076</v>
      </c>
      <c r="C381" s="2">
        <v>44748</v>
      </c>
      <c r="D381">
        <v>299</v>
      </c>
      <c r="E381">
        <v>1</v>
      </c>
      <c r="F381">
        <v>1</v>
      </c>
      <c r="G381">
        <v>299</v>
      </c>
      <c r="H381">
        <v>299</v>
      </c>
    </row>
    <row r="382" spans="1:8" x14ac:dyDescent="0.35">
      <c r="A382">
        <v>103408644</v>
      </c>
      <c r="B382" t="s">
        <v>4076</v>
      </c>
      <c r="C382" s="2">
        <v>44748</v>
      </c>
      <c r="D382">
        <v>3299</v>
      </c>
      <c r="E382">
        <v>1</v>
      </c>
      <c r="F382">
        <v>1</v>
      </c>
      <c r="G382">
        <v>3299</v>
      </c>
      <c r="H382">
        <v>3299</v>
      </c>
    </row>
    <row r="383" spans="1:8" x14ac:dyDescent="0.35">
      <c r="A383">
        <v>103408648</v>
      </c>
      <c r="B383" t="s">
        <v>4076</v>
      </c>
      <c r="C383" s="2">
        <v>44748</v>
      </c>
      <c r="D383">
        <v>2849.05</v>
      </c>
      <c r="E383">
        <v>1</v>
      </c>
      <c r="F383">
        <v>1</v>
      </c>
      <c r="G383">
        <v>2849.05</v>
      </c>
      <c r="H383">
        <v>2849.05</v>
      </c>
    </row>
    <row r="384" spans="1:8" x14ac:dyDescent="0.35">
      <c r="A384">
        <v>103408672</v>
      </c>
      <c r="B384" t="s">
        <v>4076</v>
      </c>
      <c r="C384" s="2">
        <v>44748</v>
      </c>
      <c r="D384">
        <v>2228</v>
      </c>
      <c r="E384">
        <v>2</v>
      </c>
      <c r="F384">
        <v>1</v>
      </c>
      <c r="G384">
        <v>1114</v>
      </c>
      <c r="H384">
        <v>2228</v>
      </c>
    </row>
    <row r="385" spans="1:8" x14ac:dyDescent="0.35">
      <c r="A385">
        <v>103408675</v>
      </c>
      <c r="B385" t="s">
        <v>4076</v>
      </c>
      <c r="C385" s="2">
        <v>44748</v>
      </c>
      <c r="D385">
        <v>1199</v>
      </c>
      <c r="E385">
        <v>1</v>
      </c>
      <c r="F385">
        <v>1</v>
      </c>
      <c r="G385">
        <v>1199</v>
      </c>
      <c r="H385">
        <v>1199</v>
      </c>
    </row>
    <row r="386" spans="1:8" x14ac:dyDescent="0.35">
      <c r="A386">
        <v>103408676</v>
      </c>
      <c r="B386" t="s">
        <v>4076</v>
      </c>
      <c r="C386" s="2">
        <v>44748</v>
      </c>
      <c r="D386">
        <v>1709.05</v>
      </c>
      <c r="E386">
        <v>1</v>
      </c>
      <c r="F386">
        <v>1</v>
      </c>
      <c r="G386">
        <v>1709.05</v>
      </c>
      <c r="H386">
        <v>1709.05</v>
      </c>
    </row>
    <row r="387" spans="1:8" x14ac:dyDescent="0.35">
      <c r="A387">
        <v>103408677</v>
      </c>
      <c r="B387" t="s">
        <v>4076</v>
      </c>
      <c r="C387" s="2">
        <v>44748</v>
      </c>
      <c r="D387">
        <v>2449.1</v>
      </c>
      <c r="E387">
        <v>2</v>
      </c>
      <c r="F387">
        <v>1</v>
      </c>
      <c r="G387">
        <v>1224.55</v>
      </c>
      <c r="H387">
        <v>2449.1</v>
      </c>
    </row>
    <row r="388" spans="1:8" x14ac:dyDescent="0.35">
      <c r="A388">
        <v>103408680</v>
      </c>
      <c r="B388" t="s">
        <v>4076</v>
      </c>
      <c r="C388" s="2">
        <v>44748</v>
      </c>
      <c r="D388">
        <v>2834.1</v>
      </c>
      <c r="E388">
        <v>1</v>
      </c>
      <c r="F388">
        <v>1</v>
      </c>
      <c r="G388">
        <v>2834.1</v>
      </c>
      <c r="H388">
        <v>2834.1</v>
      </c>
    </row>
    <row r="389" spans="1:8" x14ac:dyDescent="0.35">
      <c r="A389">
        <v>103408686</v>
      </c>
      <c r="B389" t="s">
        <v>4076</v>
      </c>
      <c r="C389" s="2">
        <v>44748</v>
      </c>
      <c r="D389">
        <v>1457.1</v>
      </c>
      <c r="E389">
        <v>1</v>
      </c>
      <c r="F389">
        <v>1</v>
      </c>
      <c r="G389">
        <v>1457.1</v>
      </c>
      <c r="H389">
        <v>1457.1</v>
      </c>
    </row>
    <row r="390" spans="1:8" x14ac:dyDescent="0.35">
      <c r="A390">
        <v>103408687</v>
      </c>
      <c r="B390" t="s">
        <v>4076</v>
      </c>
      <c r="C390" s="2">
        <v>44748</v>
      </c>
      <c r="D390">
        <v>3991.99</v>
      </c>
      <c r="E390">
        <v>1</v>
      </c>
      <c r="F390">
        <v>1</v>
      </c>
      <c r="G390">
        <v>3991.99</v>
      </c>
      <c r="H390">
        <v>3991.99</v>
      </c>
    </row>
    <row r="391" spans="1:8" x14ac:dyDescent="0.35">
      <c r="A391">
        <v>103408688</v>
      </c>
      <c r="B391" t="s">
        <v>4076</v>
      </c>
      <c r="C391" s="2">
        <v>44748</v>
      </c>
      <c r="D391">
        <v>4749.05</v>
      </c>
      <c r="E391">
        <v>1</v>
      </c>
      <c r="F391">
        <v>1</v>
      </c>
      <c r="G391">
        <v>4749.05</v>
      </c>
      <c r="H391">
        <v>4749.05</v>
      </c>
    </row>
    <row r="392" spans="1:8" x14ac:dyDescent="0.35">
      <c r="A392">
        <v>103408691</v>
      </c>
      <c r="B392" t="s">
        <v>4076</v>
      </c>
      <c r="C392" s="2">
        <v>44748</v>
      </c>
      <c r="D392">
        <v>8964.2000000000007</v>
      </c>
      <c r="E392">
        <v>4</v>
      </c>
      <c r="F392">
        <v>1</v>
      </c>
      <c r="G392">
        <v>2241.0500000000002</v>
      </c>
      <c r="H392">
        <v>8964.2000000000007</v>
      </c>
    </row>
    <row r="393" spans="1:8" x14ac:dyDescent="0.35">
      <c r="A393">
        <v>103408703</v>
      </c>
      <c r="B393" t="s">
        <v>4076</v>
      </c>
      <c r="C393" s="2">
        <v>44748</v>
      </c>
      <c r="D393">
        <v>3227.1499999999901</v>
      </c>
      <c r="E393">
        <v>3</v>
      </c>
      <c r="F393">
        <v>1</v>
      </c>
      <c r="G393">
        <v>1075.7166666666601</v>
      </c>
      <c r="H393">
        <v>3227.1499999999901</v>
      </c>
    </row>
    <row r="394" spans="1:8" x14ac:dyDescent="0.35">
      <c r="A394">
        <v>103408712</v>
      </c>
      <c r="B394" t="s">
        <v>4076</v>
      </c>
      <c r="C394" s="2">
        <v>44748</v>
      </c>
      <c r="D394">
        <v>2374.0500000000002</v>
      </c>
      <c r="E394">
        <v>1</v>
      </c>
      <c r="F394">
        <v>1</v>
      </c>
      <c r="G394">
        <v>2374.0500000000002</v>
      </c>
      <c r="H394">
        <v>2374.0500000000002</v>
      </c>
    </row>
    <row r="395" spans="1:8" x14ac:dyDescent="0.35">
      <c r="A395">
        <v>103408714</v>
      </c>
      <c r="B395" t="s">
        <v>4076</v>
      </c>
      <c r="C395" s="2">
        <v>44748</v>
      </c>
      <c r="D395">
        <v>5199</v>
      </c>
      <c r="E395">
        <v>1</v>
      </c>
      <c r="F395">
        <v>1</v>
      </c>
      <c r="G395">
        <v>5199</v>
      </c>
      <c r="H395">
        <v>5199</v>
      </c>
    </row>
    <row r="396" spans="1:8" x14ac:dyDescent="0.35">
      <c r="A396">
        <v>103408715</v>
      </c>
      <c r="B396" t="s">
        <v>4076</v>
      </c>
      <c r="C396" s="2">
        <v>44748</v>
      </c>
      <c r="D396">
        <v>1499</v>
      </c>
      <c r="E396">
        <v>1</v>
      </c>
      <c r="F396">
        <v>1</v>
      </c>
      <c r="G396">
        <v>1499</v>
      </c>
      <c r="H396">
        <v>1499</v>
      </c>
    </row>
    <row r="397" spans="1:8" x14ac:dyDescent="0.35">
      <c r="A397">
        <v>103408719</v>
      </c>
      <c r="B397" t="s">
        <v>4076</v>
      </c>
      <c r="C397" s="2">
        <v>44748</v>
      </c>
      <c r="D397">
        <v>2598.34</v>
      </c>
      <c r="E397">
        <v>1</v>
      </c>
      <c r="F397">
        <v>1</v>
      </c>
      <c r="G397">
        <v>2598.34</v>
      </c>
      <c r="H397">
        <v>2598.34</v>
      </c>
    </row>
    <row r="398" spans="1:8" x14ac:dyDescent="0.35">
      <c r="A398">
        <v>103408723</v>
      </c>
      <c r="B398" t="s">
        <v>4076</v>
      </c>
      <c r="C398" s="2">
        <v>44748</v>
      </c>
      <c r="D398">
        <v>959</v>
      </c>
      <c r="E398">
        <v>1</v>
      </c>
      <c r="F398">
        <v>1</v>
      </c>
      <c r="G398">
        <v>959</v>
      </c>
      <c r="H398">
        <v>959</v>
      </c>
    </row>
    <row r="399" spans="1:8" x14ac:dyDescent="0.35">
      <c r="A399">
        <v>103408725</v>
      </c>
      <c r="B399" t="s">
        <v>4076</v>
      </c>
      <c r="C399" s="2">
        <v>44748</v>
      </c>
      <c r="D399">
        <v>2126.1</v>
      </c>
      <c r="E399">
        <v>2</v>
      </c>
      <c r="F399">
        <v>1</v>
      </c>
      <c r="G399">
        <v>1063.05</v>
      </c>
      <c r="H399">
        <v>2126.1</v>
      </c>
    </row>
    <row r="400" spans="1:8" x14ac:dyDescent="0.35">
      <c r="A400">
        <v>103408732</v>
      </c>
      <c r="B400" t="s">
        <v>4076</v>
      </c>
      <c r="C400" s="2">
        <v>44748</v>
      </c>
      <c r="D400">
        <v>6410.6</v>
      </c>
      <c r="E400">
        <v>2</v>
      </c>
      <c r="F400">
        <v>1</v>
      </c>
      <c r="G400">
        <v>3205.3</v>
      </c>
      <c r="H400">
        <v>6410.6</v>
      </c>
    </row>
    <row r="401" spans="1:8" x14ac:dyDescent="0.35">
      <c r="A401">
        <v>103408736</v>
      </c>
      <c r="B401" t="s">
        <v>4076</v>
      </c>
      <c r="C401" s="2">
        <v>44748</v>
      </c>
      <c r="D401">
        <v>332.59</v>
      </c>
      <c r="E401">
        <v>1</v>
      </c>
      <c r="F401">
        <v>1</v>
      </c>
      <c r="G401">
        <v>332.59</v>
      </c>
      <c r="H401">
        <v>332.59</v>
      </c>
    </row>
    <row r="402" spans="1:8" x14ac:dyDescent="0.35">
      <c r="A402">
        <v>103408740</v>
      </c>
      <c r="B402" t="s">
        <v>4076</v>
      </c>
      <c r="C402" s="2">
        <v>44748</v>
      </c>
      <c r="D402">
        <v>8964.2000000000007</v>
      </c>
      <c r="E402">
        <v>4</v>
      </c>
      <c r="F402">
        <v>1</v>
      </c>
      <c r="G402">
        <v>2241.0500000000002</v>
      </c>
      <c r="H402">
        <v>8964.2000000000007</v>
      </c>
    </row>
    <row r="403" spans="1:8" x14ac:dyDescent="0.35">
      <c r="A403">
        <v>103408741</v>
      </c>
      <c r="B403" t="s">
        <v>4076</v>
      </c>
      <c r="C403" s="2">
        <v>44748</v>
      </c>
      <c r="D403">
        <v>5556.64</v>
      </c>
      <c r="E403">
        <v>1</v>
      </c>
      <c r="F403">
        <v>1</v>
      </c>
      <c r="G403">
        <v>5556.64</v>
      </c>
      <c r="H403">
        <v>5556.64</v>
      </c>
    </row>
    <row r="404" spans="1:8" x14ac:dyDescent="0.35">
      <c r="A404">
        <v>103408742</v>
      </c>
      <c r="B404" t="s">
        <v>4076</v>
      </c>
      <c r="C404" s="2">
        <v>44748</v>
      </c>
      <c r="D404">
        <v>3324.05</v>
      </c>
      <c r="E404">
        <v>1</v>
      </c>
      <c r="F404">
        <v>1</v>
      </c>
      <c r="G404">
        <v>3324.05</v>
      </c>
      <c r="H404">
        <v>3324.05</v>
      </c>
    </row>
    <row r="405" spans="1:8" x14ac:dyDescent="0.35">
      <c r="A405">
        <v>103408747</v>
      </c>
      <c r="B405" t="s">
        <v>4076</v>
      </c>
      <c r="C405" s="2">
        <v>44748</v>
      </c>
      <c r="D405">
        <v>2193.5500000000002</v>
      </c>
      <c r="E405">
        <v>1</v>
      </c>
      <c r="F405">
        <v>1</v>
      </c>
      <c r="G405">
        <v>2193.5500000000002</v>
      </c>
      <c r="H405">
        <v>2193.5500000000002</v>
      </c>
    </row>
    <row r="406" spans="1:8" x14ac:dyDescent="0.35">
      <c r="A406">
        <v>103408753</v>
      </c>
      <c r="B406" t="s">
        <v>4076</v>
      </c>
      <c r="C406" s="2">
        <v>44748</v>
      </c>
      <c r="D406">
        <v>6789.65</v>
      </c>
      <c r="E406">
        <v>3</v>
      </c>
      <c r="F406">
        <v>1</v>
      </c>
      <c r="G406">
        <v>2263.2166666666599</v>
      </c>
      <c r="H406">
        <v>6789.65</v>
      </c>
    </row>
    <row r="407" spans="1:8" x14ac:dyDescent="0.35">
      <c r="A407">
        <v>103408756</v>
      </c>
      <c r="B407" t="s">
        <v>4076</v>
      </c>
      <c r="C407" s="2">
        <v>44748</v>
      </c>
      <c r="D407">
        <v>2886.1</v>
      </c>
      <c r="E407">
        <v>2</v>
      </c>
      <c r="F407">
        <v>1</v>
      </c>
      <c r="G407">
        <v>1443.05</v>
      </c>
      <c r="H407">
        <v>2886.1</v>
      </c>
    </row>
    <row r="408" spans="1:8" x14ac:dyDescent="0.35">
      <c r="A408">
        <v>103408757</v>
      </c>
      <c r="B408" t="s">
        <v>4076</v>
      </c>
      <c r="C408" s="2">
        <v>44748</v>
      </c>
      <c r="D408">
        <v>1099</v>
      </c>
      <c r="E408">
        <v>1</v>
      </c>
      <c r="F408">
        <v>1</v>
      </c>
      <c r="G408">
        <v>1099</v>
      </c>
      <c r="H408">
        <v>1099</v>
      </c>
    </row>
    <row r="409" spans="1:8" x14ac:dyDescent="0.35">
      <c r="A409">
        <v>103408761</v>
      </c>
      <c r="B409" t="s">
        <v>4076</v>
      </c>
      <c r="C409" s="2">
        <v>44748</v>
      </c>
      <c r="D409">
        <v>3134.05</v>
      </c>
      <c r="E409">
        <v>1</v>
      </c>
      <c r="F409">
        <v>1</v>
      </c>
      <c r="G409">
        <v>3134.05</v>
      </c>
      <c r="H409">
        <v>3134.05</v>
      </c>
    </row>
    <row r="410" spans="1:8" x14ac:dyDescent="0.35">
      <c r="A410">
        <v>103408767</v>
      </c>
      <c r="B410" t="s">
        <v>4076</v>
      </c>
      <c r="C410" s="2">
        <v>44748</v>
      </c>
      <c r="D410">
        <v>849</v>
      </c>
      <c r="E410">
        <v>1</v>
      </c>
      <c r="F410">
        <v>1</v>
      </c>
      <c r="G410">
        <v>849</v>
      </c>
      <c r="H410">
        <v>849</v>
      </c>
    </row>
    <row r="411" spans="1:8" x14ac:dyDescent="0.35">
      <c r="A411">
        <v>103408768</v>
      </c>
      <c r="B411" t="s">
        <v>4076</v>
      </c>
      <c r="C411" s="2">
        <v>44748</v>
      </c>
      <c r="D411">
        <v>1063.05</v>
      </c>
      <c r="E411">
        <v>1</v>
      </c>
      <c r="F411">
        <v>1</v>
      </c>
      <c r="G411">
        <v>1063.05</v>
      </c>
      <c r="H411">
        <v>1063.05</v>
      </c>
    </row>
    <row r="412" spans="1:8" x14ac:dyDescent="0.35">
      <c r="A412">
        <v>103408776</v>
      </c>
      <c r="B412" t="s">
        <v>4076</v>
      </c>
      <c r="C412" s="2">
        <v>44748</v>
      </c>
      <c r="D412">
        <v>2834.1</v>
      </c>
      <c r="E412">
        <v>1</v>
      </c>
      <c r="F412">
        <v>1</v>
      </c>
      <c r="G412">
        <v>2834.1</v>
      </c>
      <c r="H412">
        <v>2834.1</v>
      </c>
    </row>
    <row r="413" spans="1:8" x14ac:dyDescent="0.35">
      <c r="A413">
        <v>103408778</v>
      </c>
      <c r="B413" t="s">
        <v>4076</v>
      </c>
      <c r="C413" s="2">
        <v>44748</v>
      </c>
      <c r="D413">
        <v>709</v>
      </c>
      <c r="E413">
        <v>1</v>
      </c>
      <c r="F413">
        <v>1</v>
      </c>
      <c r="G413">
        <v>709</v>
      </c>
      <c r="H413">
        <v>709</v>
      </c>
    </row>
    <row r="414" spans="1:8" x14ac:dyDescent="0.35">
      <c r="A414">
        <v>103408780</v>
      </c>
      <c r="B414" t="s">
        <v>4076</v>
      </c>
      <c r="C414" s="2">
        <v>44748</v>
      </c>
      <c r="D414">
        <v>4329.1499999999996</v>
      </c>
      <c r="E414">
        <v>3</v>
      </c>
      <c r="F414">
        <v>1</v>
      </c>
      <c r="G414">
        <v>1443.05</v>
      </c>
      <c r="H414">
        <v>4329.1499999999996</v>
      </c>
    </row>
    <row r="415" spans="1:8" x14ac:dyDescent="0.35">
      <c r="A415">
        <v>103408785</v>
      </c>
      <c r="B415" t="s">
        <v>4076</v>
      </c>
      <c r="C415" s="2">
        <v>44748</v>
      </c>
      <c r="D415">
        <v>1999</v>
      </c>
      <c r="E415">
        <v>1</v>
      </c>
      <c r="F415">
        <v>1</v>
      </c>
      <c r="G415">
        <v>1999</v>
      </c>
      <c r="H415">
        <v>1999</v>
      </c>
    </row>
    <row r="416" spans="1:8" x14ac:dyDescent="0.35">
      <c r="A416">
        <v>103408789</v>
      </c>
      <c r="B416" t="s">
        <v>4076</v>
      </c>
      <c r="C416" s="2">
        <v>44748</v>
      </c>
      <c r="D416">
        <v>1869</v>
      </c>
      <c r="E416">
        <v>1</v>
      </c>
      <c r="F416">
        <v>1</v>
      </c>
      <c r="G416">
        <v>1869</v>
      </c>
      <c r="H416">
        <v>1869</v>
      </c>
    </row>
    <row r="417" spans="1:8" x14ac:dyDescent="0.35">
      <c r="A417">
        <v>103408791</v>
      </c>
      <c r="B417" t="s">
        <v>4076</v>
      </c>
      <c r="C417" s="2">
        <v>44748</v>
      </c>
      <c r="D417">
        <v>2019</v>
      </c>
      <c r="E417">
        <v>1</v>
      </c>
      <c r="F417">
        <v>1</v>
      </c>
      <c r="G417">
        <v>2019</v>
      </c>
      <c r="H417">
        <v>2019</v>
      </c>
    </row>
    <row r="418" spans="1:8" x14ac:dyDescent="0.35">
      <c r="A418">
        <v>103408796</v>
      </c>
      <c r="B418" t="s">
        <v>4076</v>
      </c>
      <c r="C418" s="2">
        <v>44748</v>
      </c>
      <c r="D418">
        <v>4034.74</v>
      </c>
      <c r="E418">
        <v>3</v>
      </c>
      <c r="F418">
        <v>1</v>
      </c>
      <c r="G418">
        <v>1344.91333333333</v>
      </c>
      <c r="H418">
        <v>4034.74</v>
      </c>
    </row>
    <row r="419" spans="1:8" x14ac:dyDescent="0.35">
      <c r="A419">
        <v>103408799</v>
      </c>
      <c r="B419" t="s">
        <v>4076</v>
      </c>
      <c r="C419" s="2">
        <v>44748</v>
      </c>
      <c r="D419">
        <v>3779.1</v>
      </c>
      <c r="E419">
        <v>1</v>
      </c>
      <c r="F419">
        <v>1</v>
      </c>
      <c r="G419">
        <v>3779.1</v>
      </c>
      <c r="H419">
        <v>3779.1</v>
      </c>
    </row>
    <row r="420" spans="1:8" x14ac:dyDescent="0.35">
      <c r="A420">
        <v>103408802</v>
      </c>
      <c r="B420" t="s">
        <v>4076</v>
      </c>
      <c r="C420" s="2">
        <v>44748</v>
      </c>
      <c r="D420">
        <v>6839.05</v>
      </c>
      <c r="E420">
        <v>1</v>
      </c>
      <c r="F420">
        <v>1</v>
      </c>
      <c r="G420">
        <v>6839.05</v>
      </c>
      <c r="H420">
        <v>6839.05</v>
      </c>
    </row>
    <row r="421" spans="1:8" x14ac:dyDescent="0.35">
      <c r="A421">
        <v>103408810</v>
      </c>
      <c r="B421" t="s">
        <v>4076</v>
      </c>
      <c r="C421" s="2">
        <v>44748</v>
      </c>
      <c r="D421">
        <v>2029.72</v>
      </c>
      <c r="E421">
        <v>1</v>
      </c>
      <c r="F421">
        <v>1</v>
      </c>
      <c r="G421">
        <v>2029.72</v>
      </c>
      <c r="H421">
        <v>2029.72</v>
      </c>
    </row>
    <row r="422" spans="1:8" x14ac:dyDescent="0.35">
      <c r="A422">
        <v>103408814</v>
      </c>
      <c r="B422" t="s">
        <v>4076</v>
      </c>
      <c r="C422" s="2">
        <v>44748</v>
      </c>
      <c r="D422">
        <v>2269</v>
      </c>
      <c r="E422">
        <v>1</v>
      </c>
      <c r="F422">
        <v>1</v>
      </c>
      <c r="G422">
        <v>2269</v>
      </c>
      <c r="H422">
        <v>2269</v>
      </c>
    </row>
    <row r="423" spans="1:8" x14ac:dyDescent="0.35">
      <c r="A423">
        <v>103408816</v>
      </c>
      <c r="B423" t="s">
        <v>4076</v>
      </c>
      <c r="C423" s="2">
        <v>44748</v>
      </c>
      <c r="D423">
        <v>1749</v>
      </c>
      <c r="E423">
        <v>1</v>
      </c>
      <c r="F423">
        <v>1</v>
      </c>
      <c r="G423">
        <v>1749</v>
      </c>
      <c r="H423">
        <v>1749</v>
      </c>
    </row>
    <row r="424" spans="1:8" x14ac:dyDescent="0.35">
      <c r="A424">
        <v>103408821</v>
      </c>
      <c r="B424" t="s">
        <v>4076</v>
      </c>
      <c r="C424" s="2">
        <v>44748</v>
      </c>
      <c r="D424">
        <v>1661.55</v>
      </c>
      <c r="E424">
        <v>1</v>
      </c>
      <c r="F424">
        <v>1</v>
      </c>
      <c r="G424">
        <v>1661.55</v>
      </c>
      <c r="H424">
        <v>1661.55</v>
      </c>
    </row>
    <row r="425" spans="1:8" x14ac:dyDescent="0.35">
      <c r="A425">
        <v>103408827</v>
      </c>
      <c r="B425" t="s">
        <v>4076</v>
      </c>
      <c r="C425" s="2">
        <v>44748</v>
      </c>
      <c r="D425">
        <v>1169</v>
      </c>
      <c r="E425">
        <v>1</v>
      </c>
      <c r="F425">
        <v>1</v>
      </c>
      <c r="G425">
        <v>1169</v>
      </c>
      <c r="H425">
        <v>1169</v>
      </c>
    </row>
    <row r="426" spans="1:8" x14ac:dyDescent="0.35">
      <c r="A426">
        <v>103408836</v>
      </c>
      <c r="B426" t="s">
        <v>4076</v>
      </c>
      <c r="C426" s="2">
        <v>44748</v>
      </c>
      <c r="D426">
        <v>3779.1</v>
      </c>
      <c r="E426">
        <v>1</v>
      </c>
      <c r="F426">
        <v>1</v>
      </c>
      <c r="G426">
        <v>3779.1</v>
      </c>
      <c r="H426">
        <v>3779.1</v>
      </c>
    </row>
    <row r="427" spans="1:8" x14ac:dyDescent="0.35">
      <c r="A427">
        <v>103408847</v>
      </c>
      <c r="B427" t="s">
        <v>4076</v>
      </c>
      <c r="C427" s="2">
        <v>44748</v>
      </c>
      <c r="D427">
        <v>1129.55</v>
      </c>
      <c r="E427">
        <v>1</v>
      </c>
      <c r="F427">
        <v>1</v>
      </c>
      <c r="G427">
        <v>1129.55</v>
      </c>
      <c r="H427">
        <v>1129.55</v>
      </c>
    </row>
    <row r="428" spans="1:8" x14ac:dyDescent="0.35">
      <c r="A428">
        <v>103408849</v>
      </c>
      <c r="B428" t="s">
        <v>4076</v>
      </c>
      <c r="C428" s="2">
        <v>44748</v>
      </c>
      <c r="D428">
        <v>2820.64</v>
      </c>
      <c r="E428">
        <v>1</v>
      </c>
      <c r="F428">
        <v>1</v>
      </c>
      <c r="G428">
        <v>2820.64</v>
      </c>
      <c r="H428">
        <v>2820.64</v>
      </c>
    </row>
    <row r="429" spans="1:8" x14ac:dyDescent="0.35">
      <c r="A429">
        <v>103408850</v>
      </c>
      <c r="B429" t="s">
        <v>4076</v>
      </c>
      <c r="C429" s="2">
        <v>44748</v>
      </c>
      <c r="D429">
        <v>1594.1</v>
      </c>
      <c r="E429">
        <v>2</v>
      </c>
      <c r="F429">
        <v>1</v>
      </c>
      <c r="G429">
        <v>797.05</v>
      </c>
      <c r="H429">
        <v>1594.1</v>
      </c>
    </row>
    <row r="430" spans="1:8" x14ac:dyDescent="0.35">
      <c r="A430">
        <v>103408855</v>
      </c>
      <c r="B430" t="s">
        <v>4076</v>
      </c>
      <c r="C430" s="2">
        <v>44748</v>
      </c>
      <c r="D430">
        <v>1007.19</v>
      </c>
      <c r="E430">
        <v>2</v>
      </c>
      <c r="F430">
        <v>1</v>
      </c>
      <c r="G430">
        <v>503.59500000000003</v>
      </c>
      <c r="H430">
        <v>1007.19</v>
      </c>
    </row>
    <row r="431" spans="1:8" x14ac:dyDescent="0.35">
      <c r="A431">
        <v>103408857</v>
      </c>
      <c r="B431" t="s">
        <v>4076</v>
      </c>
      <c r="C431" s="2">
        <v>44748</v>
      </c>
      <c r="D431">
        <v>1880.14</v>
      </c>
      <c r="E431">
        <v>1</v>
      </c>
      <c r="F431">
        <v>1</v>
      </c>
      <c r="G431">
        <v>1880.14</v>
      </c>
      <c r="H431">
        <v>1880.14</v>
      </c>
    </row>
    <row r="432" spans="1:8" x14ac:dyDescent="0.35">
      <c r="A432">
        <v>103408862</v>
      </c>
      <c r="B432" t="s">
        <v>4076</v>
      </c>
      <c r="C432" s="2">
        <v>44749</v>
      </c>
      <c r="D432">
        <v>2773.05</v>
      </c>
      <c r="E432">
        <v>1</v>
      </c>
      <c r="F432">
        <v>1</v>
      </c>
      <c r="G432">
        <v>2773.05</v>
      </c>
      <c r="H432">
        <v>2773.05</v>
      </c>
    </row>
    <row r="433" spans="1:8" x14ac:dyDescent="0.35">
      <c r="A433">
        <v>103408865</v>
      </c>
      <c r="B433" t="s">
        <v>4076</v>
      </c>
      <c r="C433" s="2">
        <v>44748</v>
      </c>
      <c r="D433">
        <v>5230.03</v>
      </c>
      <c r="E433">
        <v>3</v>
      </c>
      <c r="F433">
        <v>1</v>
      </c>
      <c r="G433">
        <v>1743.3433333333301</v>
      </c>
      <c r="H433">
        <v>5230.03</v>
      </c>
    </row>
    <row r="434" spans="1:8" x14ac:dyDescent="0.35">
      <c r="A434">
        <v>103408867</v>
      </c>
      <c r="B434" t="s">
        <v>4076</v>
      </c>
      <c r="C434" s="2">
        <v>44748</v>
      </c>
      <c r="D434">
        <v>2611.5500000000002</v>
      </c>
      <c r="E434">
        <v>1</v>
      </c>
      <c r="F434">
        <v>1</v>
      </c>
      <c r="G434">
        <v>2611.5500000000002</v>
      </c>
      <c r="H434">
        <v>2611.5500000000002</v>
      </c>
    </row>
    <row r="435" spans="1:8" x14ac:dyDescent="0.35">
      <c r="A435">
        <v>103408878</v>
      </c>
      <c r="B435" t="s">
        <v>4076</v>
      </c>
      <c r="C435" s="2">
        <v>44748</v>
      </c>
      <c r="D435">
        <v>2659.05</v>
      </c>
      <c r="E435">
        <v>1</v>
      </c>
      <c r="F435">
        <v>1</v>
      </c>
      <c r="G435">
        <v>2659.05</v>
      </c>
      <c r="H435">
        <v>2659.05</v>
      </c>
    </row>
    <row r="436" spans="1:8" x14ac:dyDescent="0.35">
      <c r="A436">
        <v>103408883</v>
      </c>
      <c r="B436" t="s">
        <v>4076</v>
      </c>
      <c r="C436" s="2">
        <v>44748</v>
      </c>
      <c r="D436">
        <v>4499</v>
      </c>
      <c r="E436">
        <v>1</v>
      </c>
      <c r="F436">
        <v>1</v>
      </c>
      <c r="G436">
        <v>4499</v>
      </c>
      <c r="H436">
        <v>4499</v>
      </c>
    </row>
    <row r="437" spans="1:8" x14ac:dyDescent="0.35">
      <c r="A437">
        <v>103408898</v>
      </c>
      <c r="B437" t="s">
        <v>4076</v>
      </c>
      <c r="C437" s="2">
        <v>44748</v>
      </c>
      <c r="D437">
        <v>2735.1</v>
      </c>
      <c r="E437">
        <v>1</v>
      </c>
      <c r="F437">
        <v>1</v>
      </c>
      <c r="G437">
        <v>2735.1</v>
      </c>
      <c r="H437">
        <v>2735.1</v>
      </c>
    </row>
    <row r="438" spans="1:8" x14ac:dyDescent="0.35">
      <c r="A438">
        <v>103408901</v>
      </c>
      <c r="B438" t="s">
        <v>4076</v>
      </c>
      <c r="C438" s="2">
        <v>44748</v>
      </c>
      <c r="D438">
        <v>3656.55</v>
      </c>
      <c r="E438">
        <v>1</v>
      </c>
      <c r="F438">
        <v>1</v>
      </c>
      <c r="G438">
        <v>3656.55</v>
      </c>
      <c r="H438">
        <v>3656.55</v>
      </c>
    </row>
    <row r="439" spans="1:8" x14ac:dyDescent="0.35">
      <c r="A439">
        <v>103408902</v>
      </c>
      <c r="B439" t="s">
        <v>4076</v>
      </c>
      <c r="C439" s="2">
        <v>44748</v>
      </c>
      <c r="D439">
        <v>969</v>
      </c>
      <c r="E439">
        <v>1</v>
      </c>
      <c r="F439">
        <v>1</v>
      </c>
      <c r="G439">
        <v>969</v>
      </c>
      <c r="H439">
        <v>969</v>
      </c>
    </row>
    <row r="440" spans="1:8" x14ac:dyDescent="0.35">
      <c r="A440">
        <v>103408910</v>
      </c>
      <c r="B440" t="s">
        <v>4076</v>
      </c>
      <c r="C440" s="2">
        <v>44748</v>
      </c>
      <c r="D440">
        <v>2042.1</v>
      </c>
      <c r="E440">
        <v>1</v>
      </c>
      <c r="F440">
        <v>1</v>
      </c>
      <c r="G440">
        <v>2042.1</v>
      </c>
      <c r="H440">
        <v>2042.1</v>
      </c>
    </row>
    <row r="441" spans="1:8" x14ac:dyDescent="0.35">
      <c r="A441">
        <v>103408913</v>
      </c>
      <c r="B441" t="s">
        <v>4076</v>
      </c>
      <c r="C441" s="2">
        <v>44748</v>
      </c>
      <c r="D441">
        <v>1259</v>
      </c>
      <c r="E441">
        <v>1</v>
      </c>
      <c r="F441">
        <v>1</v>
      </c>
      <c r="G441">
        <v>1259</v>
      </c>
      <c r="H441">
        <v>1259</v>
      </c>
    </row>
    <row r="442" spans="1:8" x14ac:dyDescent="0.35">
      <c r="A442">
        <v>103408916</v>
      </c>
      <c r="B442" t="s">
        <v>4076</v>
      </c>
      <c r="C442" s="2">
        <v>44748</v>
      </c>
      <c r="D442">
        <v>2047.77</v>
      </c>
      <c r="E442">
        <v>1</v>
      </c>
      <c r="F442">
        <v>1</v>
      </c>
      <c r="G442">
        <v>2047.77</v>
      </c>
      <c r="H442">
        <v>2047.77</v>
      </c>
    </row>
    <row r="443" spans="1:8" x14ac:dyDescent="0.35">
      <c r="A443">
        <v>103408917</v>
      </c>
      <c r="B443" t="s">
        <v>4076</v>
      </c>
      <c r="C443" s="2">
        <v>44748</v>
      </c>
      <c r="D443">
        <v>8278.2000000000007</v>
      </c>
      <c r="E443">
        <v>2</v>
      </c>
      <c r="F443">
        <v>1</v>
      </c>
      <c r="G443">
        <v>4139.1000000000004</v>
      </c>
      <c r="H443">
        <v>8278.2000000000007</v>
      </c>
    </row>
    <row r="444" spans="1:8" x14ac:dyDescent="0.35">
      <c r="A444">
        <v>103408919</v>
      </c>
      <c r="B444" t="s">
        <v>4076</v>
      </c>
      <c r="C444" s="2">
        <v>44748</v>
      </c>
      <c r="D444">
        <v>2199</v>
      </c>
      <c r="E444">
        <v>1</v>
      </c>
      <c r="F444">
        <v>1</v>
      </c>
      <c r="G444">
        <v>2199</v>
      </c>
      <c r="H444">
        <v>2199</v>
      </c>
    </row>
    <row r="445" spans="1:8" x14ac:dyDescent="0.35">
      <c r="A445">
        <v>103408926</v>
      </c>
      <c r="B445" t="s">
        <v>4076</v>
      </c>
      <c r="C445" s="2">
        <v>44748</v>
      </c>
      <c r="D445">
        <v>3419.14</v>
      </c>
      <c r="E445">
        <v>1</v>
      </c>
      <c r="F445">
        <v>1</v>
      </c>
      <c r="G445">
        <v>3419.14</v>
      </c>
      <c r="H445">
        <v>3419.14</v>
      </c>
    </row>
    <row r="446" spans="1:8" x14ac:dyDescent="0.35">
      <c r="A446">
        <v>103408927</v>
      </c>
      <c r="B446" t="s">
        <v>4076</v>
      </c>
      <c r="C446" s="2">
        <v>44748</v>
      </c>
      <c r="D446">
        <v>2659.05</v>
      </c>
      <c r="E446">
        <v>1</v>
      </c>
      <c r="F446">
        <v>1</v>
      </c>
      <c r="G446">
        <v>2659.05</v>
      </c>
      <c r="H446">
        <v>2659.05</v>
      </c>
    </row>
    <row r="447" spans="1:8" x14ac:dyDescent="0.35">
      <c r="A447">
        <v>103408929</v>
      </c>
      <c r="B447" t="s">
        <v>4076</v>
      </c>
      <c r="C447" s="2">
        <v>44748</v>
      </c>
      <c r="D447">
        <v>1672.2</v>
      </c>
      <c r="E447">
        <v>2</v>
      </c>
      <c r="F447">
        <v>1</v>
      </c>
      <c r="G447">
        <v>836.1</v>
      </c>
      <c r="H447">
        <v>1672.2</v>
      </c>
    </row>
    <row r="448" spans="1:8" x14ac:dyDescent="0.35">
      <c r="A448">
        <v>103408942</v>
      </c>
      <c r="B448" t="s">
        <v>4076</v>
      </c>
      <c r="C448" s="2">
        <v>44748</v>
      </c>
      <c r="D448">
        <v>1076.44</v>
      </c>
      <c r="E448">
        <v>1</v>
      </c>
      <c r="F448">
        <v>1</v>
      </c>
      <c r="G448">
        <v>1076.44</v>
      </c>
      <c r="H448">
        <v>1076.44</v>
      </c>
    </row>
    <row r="449" spans="1:8" x14ac:dyDescent="0.35">
      <c r="A449">
        <v>103408944</v>
      </c>
      <c r="B449" t="s">
        <v>4076</v>
      </c>
      <c r="C449" s="2">
        <v>44749</v>
      </c>
      <c r="D449">
        <v>1367.05</v>
      </c>
      <c r="E449">
        <v>1</v>
      </c>
      <c r="F449">
        <v>1</v>
      </c>
      <c r="G449">
        <v>1367.05</v>
      </c>
      <c r="H449">
        <v>1367.05</v>
      </c>
    </row>
    <row r="450" spans="1:8" x14ac:dyDescent="0.35">
      <c r="A450">
        <v>103408951</v>
      </c>
      <c r="B450" t="s">
        <v>4076</v>
      </c>
      <c r="C450" s="2">
        <v>44749</v>
      </c>
      <c r="D450">
        <v>1349</v>
      </c>
      <c r="E450">
        <v>1</v>
      </c>
      <c r="F450">
        <v>1</v>
      </c>
      <c r="G450">
        <v>1349</v>
      </c>
      <c r="H450">
        <v>1349</v>
      </c>
    </row>
    <row r="451" spans="1:8" x14ac:dyDescent="0.35">
      <c r="A451">
        <v>103408953</v>
      </c>
      <c r="B451" t="s">
        <v>4076</v>
      </c>
      <c r="C451" s="2">
        <v>44749</v>
      </c>
      <c r="D451">
        <v>3134.05</v>
      </c>
      <c r="E451">
        <v>1</v>
      </c>
      <c r="F451">
        <v>1</v>
      </c>
      <c r="G451">
        <v>3134.05</v>
      </c>
      <c r="H451">
        <v>3134.05</v>
      </c>
    </row>
    <row r="452" spans="1:8" x14ac:dyDescent="0.35">
      <c r="A452">
        <v>103408955</v>
      </c>
      <c r="B452" t="s">
        <v>4076</v>
      </c>
      <c r="C452" s="2">
        <v>44749</v>
      </c>
      <c r="D452">
        <v>1186.55</v>
      </c>
      <c r="E452">
        <v>1</v>
      </c>
      <c r="F452">
        <v>1</v>
      </c>
      <c r="G452">
        <v>1186.55</v>
      </c>
      <c r="H452">
        <v>1186.55</v>
      </c>
    </row>
    <row r="453" spans="1:8" x14ac:dyDescent="0.35">
      <c r="A453">
        <v>103408958</v>
      </c>
      <c r="B453" t="s">
        <v>4076</v>
      </c>
      <c r="C453" s="2">
        <v>44749</v>
      </c>
      <c r="D453">
        <v>3743.5699999999902</v>
      </c>
      <c r="E453">
        <v>2</v>
      </c>
      <c r="F453">
        <v>1</v>
      </c>
      <c r="G453">
        <v>1871.7849999999901</v>
      </c>
      <c r="H453">
        <v>3743.5699999999902</v>
      </c>
    </row>
    <row r="454" spans="1:8" x14ac:dyDescent="0.35">
      <c r="A454">
        <v>103408963</v>
      </c>
      <c r="B454" t="s">
        <v>4076</v>
      </c>
      <c r="C454" s="2">
        <v>44749</v>
      </c>
      <c r="D454">
        <v>1599</v>
      </c>
      <c r="E454">
        <v>1</v>
      </c>
      <c r="F454">
        <v>1</v>
      </c>
      <c r="G454">
        <v>1599</v>
      </c>
      <c r="H454">
        <v>1599</v>
      </c>
    </row>
    <row r="455" spans="1:8" x14ac:dyDescent="0.35">
      <c r="A455">
        <v>103408976</v>
      </c>
      <c r="B455" t="s">
        <v>4076</v>
      </c>
      <c r="C455" s="2">
        <v>44749</v>
      </c>
      <c r="D455">
        <v>2919</v>
      </c>
      <c r="E455">
        <v>1</v>
      </c>
      <c r="F455">
        <v>1</v>
      </c>
      <c r="G455">
        <v>2919</v>
      </c>
      <c r="H455">
        <v>2919</v>
      </c>
    </row>
    <row r="456" spans="1:8" x14ac:dyDescent="0.35">
      <c r="A456">
        <v>103408980</v>
      </c>
      <c r="B456" t="s">
        <v>4076</v>
      </c>
      <c r="C456" s="2">
        <v>44749</v>
      </c>
      <c r="D456">
        <v>1869</v>
      </c>
      <c r="E456">
        <v>1</v>
      </c>
      <c r="F456">
        <v>1</v>
      </c>
      <c r="G456">
        <v>1869</v>
      </c>
      <c r="H456">
        <v>1869</v>
      </c>
    </row>
    <row r="457" spans="1:8" x14ac:dyDescent="0.35">
      <c r="A457">
        <v>103408981</v>
      </c>
      <c r="B457" t="s">
        <v>4076</v>
      </c>
      <c r="C457" s="2">
        <v>44749</v>
      </c>
      <c r="D457">
        <v>3390.55</v>
      </c>
      <c r="E457">
        <v>1</v>
      </c>
      <c r="F457">
        <v>1</v>
      </c>
      <c r="G457">
        <v>3390.55</v>
      </c>
      <c r="H457">
        <v>3390.55</v>
      </c>
    </row>
    <row r="458" spans="1:8" x14ac:dyDescent="0.35">
      <c r="A458">
        <v>103408983</v>
      </c>
      <c r="B458" t="s">
        <v>4076</v>
      </c>
      <c r="C458" s="2">
        <v>44749</v>
      </c>
      <c r="D458">
        <v>2078</v>
      </c>
      <c r="E458">
        <v>2</v>
      </c>
      <c r="F458">
        <v>1</v>
      </c>
      <c r="G458">
        <v>1039</v>
      </c>
      <c r="H458">
        <v>2078</v>
      </c>
    </row>
    <row r="459" spans="1:8" x14ac:dyDescent="0.35">
      <c r="A459">
        <v>103408984</v>
      </c>
      <c r="B459" t="s">
        <v>4076</v>
      </c>
      <c r="C459" s="2">
        <v>44749</v>
      </c>
      <c r="D459">
        <v>5599</v>
      </c>
      <c r="E459">
        <v>1</v>
      </c>
      <c r="F459">
        <v>1</v>
      </c>
      <c r="G459">
        <v>5599</v>
      </c>
      <c r="H459">
        <v>5599</v>
      </c>
    </row>
    <row r="460" spans="1:8" x14ac:dyDescent="0.35">
      <c r="A460">
        <v>103408985</v>
      </c>
      <c r="B460" t="s">
        <v>4076</v>
      </c>
      <c r="C460" s="2">
        <v>44749</v>
      </c>
      <c r="D460">
        <v>1169</v>
      </c>
      <c r="E460">
        <v>1</v>
      </c>
      <c r="F460">
        <v>1</v>
      </c>
      <c r="G460">
        <v>1169</v>
      </c>
      <c r="H460">
        <v>1169</v>
      </c>
    </row>
    <row r="461" spans="1:8" x14ac:dyDescent="0.35">
      <c r="A461">
        <v>103408986</v>
      </c>
      <c r="B461" t="s">
        <v>4076</v>
      </c>
      <c r="C461" s="2">
        <v>44749</v>
      </c>
      <c r="D461">
        <v>920.55</v>
      </c>
      <c r="E461">
        <v>1</v>
      </c>
      <c r="F461">
        <v>1</v>
      </c>
      <c r="G461">
        <v>920.55</v>
      </c>
      <c r="H461">
        <v>920.55</v>
      </c>
    </row>
    <row r="462" spans="1:8" x14ac:dyDescent="0.35">
      <c r="A462">
        <v>103408989</v>
      </c>
      <c r="B462" t="s">
        <v>4076</v>
      </c>
      <c r="C462" s="2">
        <v>44749</v>
      </c>
      <c r="D462">
        <v>869</v>
      </c>
      <c r="E462">
        <v>1</v>
      </c>
      <c r="F462">
        <v>1</v>
      </c>
      <c r="G462">
        <v>869</v>
      </c>
      <c r="H462">
        <v>869</v>
      </c>
    </row>
    <row r="463" spans="1:8" x14ac:dyDescent="0.35">
      <c r="A463">
        <v>103408992</v>
      </c>
      <c r="B463" t="s">
        <v>4076</v>
      </c>
      <c r="C463" s="2">
        <v>44749</v>
      </c>
      <c r="D463">
        <v>1698.6</v>
      </c>
      <c r="E463">
        <v>2</v>
      </c>
      <c r="F463">
        <v>1</v>
      </c>
      <c r="G463">
        <v>849.3</v>
      </c>
      <c r="H463">
        <v>1698.6</v>
      </c>
    </row>
    <row r="464" spans="1:8" x14ac:dyDescent="0.35">
      <c r="A464">
        <v>103408996</v>
      </c>
      <c r="B464" t="s">
        <v>4076</v>
      </c>
      <c r="C464" s="2">
        <v>44749</v>
      </c>
      <c r="D464">
        <v>2279.0500000000002</v>
      </c>
      <c r="E464">
        <v>1</v>
      </c>
      <c r="F464">
        <v>1</v>
      </c>
      <c r="G464">
        <v>2279.0500000000002</v>
      </c>
      <c r="H464">
        <v>2279.0500000000002</v>
      </c>
    </row>
    <row r="465" spans="1:8" x14ac:dyDescent="0.35">
      <c r="A465">
        <v>103409003</v>
      </c>
      <c r="B465" t="s">
        <v>4076</v>
      </c>
      <c r="C465" s="2">
        <v>44749</v>
      </c>
      <c r="D465">
        <v>1310.05</v>
      </c>
      <c r="E465">
        <v>1</v>
      </c>
      <c r="F465">
        <v>1</v>
      </c>
      <c r="G465">
        <v>1310.05</v>
      </c>
      <c r="H465">
        <v>1310.05</v>
      </c>
    </row>
    <row r="466" spans="1:8" x14ac:dyDescent="0.35">
      <c r="A466">
        <v>103409009</v>
      </c>
      <c r="B466" t="s">
        <v>4076</v>
      </c>
      <c r="C466" s="2">
        <v>44749</v>
      </c>
      <c r="D466">
        <v>2868.05</v>
      </c>
      <c r="E466">
        <v>1</v>
      </c>
      <c r="F466">
        <v>1</v>
      </c>
      <c r="G466">
        <v>2868.05</v>
      </c>
      <c r="H466">
        <v>2868.05</v>
      </c>
    </row>
    <row r="467" spans="1:8" x14ac:dyDescent="0.35">
      <c r="A467">
        <v>103409017</v>
      </c>
      <c r="B467" t="s">
        <v>4076</v>
      </c>
      <c r="C467" s="2">
        <v>44749</v>
      </c>
      <c r="D467">
        <v>2278.1</v>
      </c>
      <c r="E467">
        <v>2</v>
      </c>
      <c r="F467">
        <v>1</v>
      </c>
      <c r="G467">
        <v>1139.05</v>
      </c>
      <c r="H467">
        <v>2278.1</v>
      </c>
    </row>
    <row r="468" spans="1:8" x14ac:dyDescent="0.35">
      <c r="A468">
        <v>103409018</v>
      </c>
      <c r="B468" t="s">
        <v>4076</v>
      </c>
      <c r="C468" s="2">
        <v>44749</v>
      </c>
      <c r="D468">
        <v>2469.0500000000002</v>
      </c>
      <c r="E468">
        <v>1</v>
      </c>
      <c r="F468">
        <v>1</v>
      </c>
      <c r="G468">
        <v>2469.0500000000002</v>
      </c>
      <c r="H468">
        <v>2469.0500000000002</v>
      </c>
    </row>
    <row r="469" spans="1:8" x14ac:dyDescent="0.35">
      <c r="A469">
        <v>103409020</v>
      </c>
      <c r="B469" t="s">
        <v>4076</v>
      </c>
      <c r="C469" s="2">
        <v>44749</v>
      </c>
      <c r="D469">
        <v>2239.2399999999998</v>
      </c>
      <c r="E469">
        <v>1</v>
      </c>
      <c r="F469">
        <v>1</v>
      </c>
      <c r="G469">
        <v>2239.2399999999998</v>
      </c>
      <c r="H469">
        <v>2239.2399999999998</v>
      </c>
    </row>
    <row r="470" spans="1:8" x14ac:dyDescent="0.35">
      <c r="A470">
        <v>103409021</v>
      </c>
      <c r="B470" t="s">
        <v>4076</v>
      </c>
      <c r="C470" s="2">
        <v>44749</v>
      </c>
      <c r="D470">
        <v>329</v>
      </c>
      <c r="E470">
        <v>1</v>
      </c>
      <c r="F470">
        <v>1</v>
      </c>
      <c r="G470">
        <v>329</v>
      </c>
      <c r="H470">
        <v>329</v>
      </c>
    </row>
    <row r="471" spans="1:8" x14ac:dyDescent="0.35">
      <c r="A471">
        <v>103409022</v>
      </c>
      <c r="B471" t="s">
        <v>4076</v>
      </c>
      <c r="C471" s="2">
        <v>44749</v>
      </c>
      <c r="D471">
        <v>3566</v>
      </c>
      <c r="E471">
        <v>4</v>
      </c>
      <c r="F471">
        <v>1</v>
      </c>
      <c r="G471">
        <v>891.5</v>
      </c>
      <c r="H471">
        <v>3566</v>
      </c>
    </row>
    <row r="472" spans="1:8" x14ac:dyDescent="0.35">
      <c r="A472">
        <v>103409034</v>
      </c>
      <c r="B472" t="s">
        <v>4076</v>
      </c>
      <c r="C472" s="2">
        <v>44749</v>
      </c>
      <c r="D472">
        <v>759.05</v>
      </c>
      <c r="E472">
        <v>1</v>
      </c>
      <c r="F472">
        <v>1</v>
      </c>
      <c r="G472">
        <v>759.05</v>
      </c>
      <c r="H472">
        <v>759.05</v>
      </c>
    </row>
    <row r="473" spans="1:8" x14ac:dyDescent="0.35">
      <c r="A473">
        <v>103409036</v>
      </c>
      <c r="B473" t="s">
        <v>4076</v>
      </c>
      <c r="C473" s="2">
        <v>44749</v>
      </c>
      <c r="D473">
        <v>2849.05</v>
      </c>
      <c r="E473">
        <v>1</v>
      </c>
      <c r="F473">
        <v>1</v>
      </c>
      <c r="G473">
        <v>2849.05</v>
      </c>
      <c r="H473">
        <v>2849.05</v>
      </c>
    </row>
    <row r="474" spans="1:8" x14ac:dyDescent="0.35">
      <c r="A474">
        <v>103409037</v>
      </c>
      <c r="B474" t="s">
        <v>4076</v>
      </c>
      <c r="C474" s="2">
        <v>44749</v>
      </c>
      <c r="D474">
        <v>2749</v>
      </c>
      <c r="E474">
        <v>1</v>
      </c>
      <c r="F474">
        <v>1</v>
      </c>
      <c r="G474">
        <v>2749</v>
      </c>
      <c r="H474">
        <v>2749</v>
      </c>
    </row>
    <row r="475" spans="1:8" x14ac:dyDescent="0.35">
      <c r="A475">
        <v>103409045</v>
      </c>
      <c r="B475" t="s">
        <v>4076</v>
      </c>
      <c r="C475" s="2">
        <v>44749</v>
      </c>
      <c r="D475">
        <v>3899</v>
      </c>
      <c r="E475">
        <v>1</v>
      </c>
      <c r="F475">
        <v>1</v>
      </c>
      <c r="G475">
        <v>3899</v>
      </c>
      <c r="H475">
        <v>3899</v>
      </c>
    </row>
    <row r="476" spans="1:8" x14ac:dyDescent="0.35">
      <c r="A476">
        <v>103409047</v>
      </c>
      <c r="B476" t="s">
        <v>4076</v>
      </c>
      <c r="C476" s="2">
        <v>44749</v>
      </c>
      <c r="D476">
        <v>1682.1</v>
      </c>
      <c r="E476">
        <v>1</v>
      </c>
      <c r="F476">
        <v>1</v>
      </c>
      <c r="G476">
        <v>1682.1</v>
      </c>
      <c r="H476">
        <v>1682.1</v>
      </c>
    </row>
    <row r="477" spans="1:8" x14ac:dyDescent="0.35">
      <c r="A477">
        <v>103409049</v>
      </c>
      <c r="B477" t="s">
        <v>4076</v>
      </c>
      <c r="C477" s="2">
        <v>44749</v>
      </c>
      <c r="D477">
        <v>3324.05</v>
      </c>
      <c r="E477">
        <v>1</v>
      </c>
      <c r="F477">
        <v>1</v>
      </c>
      <c r="G477">
        <v>3324.05</v>
      </c>
      <c r="H477">
        <v>3324.05</v>
      </c>
    </row>
    <row r="478" spans="1:8" x14ac:dyDescent="0.35">
      <c r="A478">
        <v>103409053</v>
      </c>
      <c r="B478" t="s">
        <v>4076</v>
      </c>
      <c r="C478" s="2">
        <v>44749</v>
      </c>
      <c r="D478">
        <v>3149.1</v>
      </c>
      <c r="E478">
        <v>1</v>
      </c>
      <c r="F478">
        <v>1</v>
      </c>
      <c r="G478">
        <v>3149.1</v>
      </c>
      <c r="H478">
        <v>3149.1</v>
      </c>
    </row>
    <row r="479" spans="1:8" x14ac:dyDescent="0.35">
      <c r="A479">
        <v>103409055</v>
      </c>
      <c r="B479" t="s">
        <v>4076</v>
      </c>
      <c r="C479" s="2">
        <v>44749</v>
      </c>
      <c r="D479">
        <v>3849</v>
      </c>
      <c r="E479">
        <v>1</v>
      </c>
      <c r="F479">
        <v>1</v>
      </c>
      <c r="G479">
        <v>3849</v>
      </c>
      <c r="H479">
        <v>3849</v>
      </c>
    </row>
    <row r="480" spans="1:8" x14ac:dyDescent="0.35">
      <c r="A480">
        <v>103409056</v>
      </c>
      <c r="B480" t="s">
        <v>4076</v>
      </c>
      <c r="C480" s="2">
        <v>44749</v>
      </c>
      <c r="D480">
        <v>519</v>
      </c>
      <c r="E480">
        <v>1</v>
      </c>
      <c r="F480">
        <v>1</v>
      </c>
      <c r="G480">
        <v>519</v>
      </c>
      <c r="H480">
        <v>519</v>
      </c>
    </row>
    <row r="481" spans="1:8" x14ac:dyDescent="0.35">
      <c r="A481">
        <v>103409059</v>
      </c>
      <c r="B481" t="s">
        <v>4076</v>
      </c>
      <c r="C481" s="2">
        <v>44749</v>
      </c>
      <c r="D481">
        <v>1799</v>
      </c>
      <c r="E481">
        <v>1</v>
      </c>
      <c r="F481">
        <v>1</v>
      </c>
      <c r="G481">
        <v>1799</v>
      </c>
      <c r="H481">
        <v>1799</v>
      </c>
    </row>
    <row r="482" spans="1:8" x14ac:dyDescent="0.35">
      <c r="A482">
        <v>103409064</v>
      </c>
      <c r="B482" t="s">
        <v>4076</v>
      </c>
      <c r="C482" s="2">
        <v>44749</v>
      </c>
      <c r="D482">
        <v>2099</v>
      </c>
      <c r="E482">
        <v>1</v>
      </c>
      <c r="F482">
        <v>1</v>
      </c>
      <c r="G482">
        <v>2099</v>
      </c>
      <c r="H482">
        <v>2099</v>
      </c>
    </row>
    <row r="483" spans="1:8" x14ac:dyDescent="0.35">
      <c r="A483">
        <v>103409065</v>
      </c>
      <c r="B483" t="s">
        <v>4076</v>
      </c>
      <c r="C483" s="2">
        <v>44749</v>
      </c>
      <c r="D483">
        <v>969</v>
      </c>
      <c r="E483">
        <v>1</v>
      </c>
      <c r="F483">
        <v>1</v>
      </c>
      <c r="G483">
        <v>969</v>
      </c>
      <c r="H483">
        <v>969</v>
      </c>
    </row>
    <row r="484" spans="1:8" x14ac:dyDescent="0.35">
      <c r="A484">
        <v>103409066</v>
      </c>
      <c r="B484" t="s">
        <v>4076</v>
      </c>
      <c r="C484" s="2">
        <v>44749</v>
      </c>
      <c r="D484">
        <v>559</v>
      </c>
      <c r="E484">
        <v>1</v>
      </c>
      <c r="F484">
        <v>1</v>
      </c>
      <c r="G484">
        <v>559</v>
      </c>
      <c r="H484">
        <v>559</v>
      </c>
    </row>
    <row r="485" spans="1:8" x14ac:dyDescent="0.35">
      <c r="A485">
        <v>103409067</v>
      </c>
      <c r="B485" t="s">
        <v>4076</v>
      </c>
      <c r="C485" s="2">
        <v>44749</v>
      </c>
      <c r="D485">
        <v>2041.55</v>
      </c>
      <c r="E485">
        <v>1</v>
      </c>
      <c r="F485">
        <v>1</v>
      </c>
      <c r="G485">
        <v>2041.55</v>
      </c>
      <c r="H485">
        <v>2041.55</v>
      </c>
    </row>
    <row r="486" spans="1:8" x14ac:dyDescent="0.35">
      <c r="A486">
        <v>103409074</v>
      </c>
      <c r="B486" t="s">
        <v>4076</v>
      </c>
      <c r="C486" s="2">
        <v>44749</v>
      </c>
      <c r="D486">
        <v>699</v>
      </c>
      <c r="E486">
        <v>1</v>
      </c>
      <c r="F486">
        <v>1</v>
      </c>
      <c r="G486">
        <v>699</v>
      </c>
      <c r="H486">
        <v>699</v>
      </c>
    </row>
    <row r="487" spans="1:8" x14ac:dyDescent="0.35">
      <c r="A487">
        <v>103409083</v>
      </c>
      <c r="B487" t="s">
        <v>4076</v>
      </c>
      <c r="C487" s="2">
        <v>44749</v>
      </c>
      <c r="D487">
        <v>779</v>
      </c>
      <c r="E487">
        <v>1</v>
      </c>
      <c r="F487">
        <v>1</v>
      </c>
      <c r="G487">
        <v>779</v>
      </c>
      <c r="H487">
        <v>779</v>
      </c>
    </row>
    <row r="488" spans="1:8" x14ac:dyDescent="0.35">
      <c r="A488">
        <v>103409089</v>
      </c>
      <c r="B488" t="s">
        <v>4076</v>
      </c>
      <c r="C488" s="2">
        <v>44749</v>
      </c>
      <c r="D488">
        <v>635.54999999999995</v>
      </c>
      <c r="E488">
        <v>1</v>
      </c>
      <c r="F488">
        <v>1</v>
      </c>
      <c r="G488">
        <v>635.54999999999995</v>
      </c>
      <c r="H488">
        <v>635.54999999999995</v>
      </c>
    </row>
    <row r="489" spans="1:8" x14ac:dyDescent="0.35">
      <c r="A489">
        <v>103409093</v>
      </c>
      <c r="B489" t="s">
        <v>4076</v>
      </c>
      <c r="C489" s="2">
        <v>44749</v>
      </c>
      <c r="D489">
        <v>1329.05</v>
      </c>
      <c r="E489">
        <v>1</v>
      </c>
      <c r="F489">
        <v>1</v>
      </c>
      <c r="G489">
        <v>1329.05</v>
      </c>
      <c r="H489">
        <v>1329.05</v>
      </c>
    </row>
    <row r="490" spans="1:8" x14ac:dyDescent="0.35">
      <c r="A490">
        <v>103409094</v>
      </c>
      <c r="B490" t="s">
        <v>4076</v>
      </c>
      <c r="C490" s="2">
        <v>44749</v>
      </c>
      <c r="D490">
        <v>768.55</v>
      </c>
      <c r="E490">
        <v>1</v>
      </c>
      <c r="F490">
        <v>1</v>
      </c>
      <c r="G490">
        <v>768.55</v>
      </c>
      <c r="H490">
        <v>768.55</v>
      </c>
    </row>
    <row r="491" spans="1:8" x14ac:dyDescent="0.35">
      <c r="A491">
        <v>103409100</v>
      </c>
      <c r="B491" t="s">
        <v>4076</v>
      </c>
      <c r="C491" s="2">
        <v>44749</v>
      </c>
      <c r="D491">
        <v>1499</v>
      </c>
      <c r="E491">
        <v>1</v>
      </c>
      <c r="F491">
        <v>1</v>
      </c>
      <c r="G491">
        <v>1499</v>
      </c>
      <c r="H491">
        <v>1499</v>
      </c>
    </row>
    <row r="492" spans="1:8" x14ac:dyDescent="0.35">
      <c r="A492">
        <v>103409104</v>
      </c>
      <c r="B492" t="s">
        <v>4076</v>
      </c>
      <c r="C492" s="2">
        <v>44749</v>
      </c>
      <c r="D492">
        <v>1310.05</v>
      </c>
      <c r="E492">
        <v>1</v>
      </c>
      <c r="F492">
        <v>1</v>
      </c>
      <c r="G492">
        <v>1310.05</v>
      </c>
      <c r="H492">
        <v>1310.05</v>
      </c>
    </row>
    <row r="493" spans="1:8" x14ac:dyDescent="0.35">
      <c r="A493">
        <v>103409105</v>
      </c>
      <c r="B493" t="s">
        <v>4076</v>
      </c>
      <c r="C493" s="2">
        <v>44749</v>
      </c>
      <c r="D493">
        <v>1851.55</v>
      </c>
      <c r="E493">
        <v>1</v>
      </c>
      <c r="F493">
        <v>1</v>
      </c>
      <c r="G493">
        <v>1851.55</v>
      </c>
      <c r="H493">
        <v>1851.55</v>
      </c>
    </row>
    <row r="494" spans="1:8" x14ac:dyDescent="0.35">
      <c r="A494">
        <v>103409113</v>
      </c>
      <c r="B494" t="s">
        <v>4076</v>
      </c>
      <c r="C494" s="2">
        <v>44749</v>
      </c>
      <c r="D494">
        <v>2990.6</v>
      </c>
      <c r="E494">
        <v>2</v>
      </c>
      <c r="F494">
        <v>1</v>
      </c>
      <c r="G494">
        <v>1495.3</v>
      </c>
      <c r="H494">
        <v>2990.6</v>
      </c>
    </row>
    <row r="495" spans="1:8" x14ac:dyDescent="0.35">
      <c r="A495">
        <v>103409114</v>
      </c>
      <c r="B495" t="s">
        <v>4076</v>
      </c>
      <c r="C495" s="2">
        <v>44749</v>
      </c>
      <c r="D495">
        <v>616.54999999999995</v>
      </c>
      <c r="E495">
        <v>1</v>
      </c>
      <c r="F495">
        <v>1</v>
      </c>
      <c r="G495">
        <v>616.54999999999995</v>
      </c>
      <c r="H495">
        <v>616.54999999999995</v>
      </c>
    </row>
    <row r="496" spans="1:8" x14ac:dyDescent="0.35">
      <c r="A496">
        <v>103409119</v>
      </c>
      <c r="B496" t="s">
        <v>4076</v>
      </c>
      <c r="C496" s="2">
        <v>44749</v>
      </c>
      <c r="D496">
        <v>5849</v>
      </c>
      <c r="E496">
        <v>1</v>
      </c>
      <c r="F496">
        <v>1</v>
      </c>
      <c r="G496">
        <v>5849</v>
      </c>
      <c r="H496">
        <v>5849</v>
      </c>
    </row>
    <row r="497" spans="1:8" x14ac:dyDescent="0.35">
      <c r="A497">
        <v>103409121</v>
      </c>
      <c r="B497" t="s">
        <v>4076</v>
      </c>
      <c r="C497" s="2">
        <v>44749</v>
      </c>
      <c r="D497">
        <v>1281.55</v>
      </c>
      <c r="E497">
        <v>1</v>
      </c>
      <c r="F497">
        <v>1</v>
      </c>
      <c r="G497">
        <v>1281.55</v>
      </c>
      <c r="H497">
        <v>1281.55</v>
      </c>
    </row>
    <row r="498" spans="1:8" x14ac:dyDescent="0.35">
      <c r="A498">
        <v>103409122</v>
      </c>
      <c r="B498" t="s">
        <v>4076</v>
      </c>
      <c r="C498" s="2">
        <v>44749</v>
      </c>
      <c r="D498">
        <v>4859.1000000000004</v>
      </c>
      <c r="E498">
        <v>1</v>
      </c>
      <c r="F498">
        <v>1</v>
      </c>
      <c r="G498">
        <v>4859.1000000000004</v>
      </c>
      <c r="H498">
        <v>4859.1000000000004</v>
      </c>
    </row>
    <row r="499" spans="1:8" x14ac:dyDescent="0.35">
      <c r="A499">
        <v>103409127</v>
      </c>
      <c r="B499" t="s">
        <v>4076</v>
      </c>
      <c r="C499" s="2">
        <v>44749</v>
      </c>
      <c r="D499">
        <v>1343.82</v>
      </c>
      <c r="E499">
        <v>1</v>
      </c>
      <c r="F499">
        <v>1</v>
      </c>
      <c r="G499">
        <v>1343.82</v>
      </c>
      <c r="H499">
        <v>1343.82</v>
      </c>
    </row>
    <row r="500" spans="1:8" x14ac:dyDescent="0.35">
      <c r="A500">
        <v>103409129</v>
      </c>
      <c r="B500" t="s">
        <v>4076</v>
      </c>
      <c r="C500" s="2">
        <v>44749</v>
      </c>
      <c r="D500">
        <v>819</v>
      </c>
      <c r="E500">
        <v>1</v>
      </c>
      <c r="F500">
        <v>1</v>
      </c>
      <c r="G500">
        <v>819</v>
      </c>
      <c r="H500">
        <v>819</v>
      </c>
    </row>
    <row r="501" spans="1:8" x14ac:dyDescent="0.35">
      <c r="A501">
        <v>103409131</v>
      </c>
      <c r="B501" t="s">
        <v>4076</v>
      </c>
      <c r="C501" s="2">
        <v>44749</v>
      </c>
      <c r="D501">
        <v>1499</v>
      </c>
      <c r="E501">
        <v>1</v>
      </c>
      <c r="F501">
        <v>1</v>
      </c>
      <c r="G501">
        <v>1499</v>
      </c>
      <c r="H501">
        <v>1499</v>
      </c>
    </row>
    <row r="502" spans="1:8" x14ac:dyDescent="0.35">
      <c r="A502">
        <v>103409135</v>
      </c>
      <c r="B502" t="s">
        <v>4076</v>
      </c>
      <c r="C502" s="2">
        <v>44749</v>
      </c>
      <c r="D502">
        <v>825.55</v>
      </c>
      <c r="E502">
        <v>1</v>
      </c>
      <c r="F502">
        <v>1</v>
      </c>
      <c r="G502">
        <v>825.55</v>
      </c>
      <c r="H502">
        <v>825.55</v>
      </c>
    </row>
    <row r="503" spans="1:8" x14ac:dyDescent="0.35">
      <c r="A503">
        <v>103409156</v>
      </c>
      <c r="B503" t="s">
        <v>4076</v>
      </c>
      <c r="C503" s="2">
        <v>44749</v>
      </c>
      <c r="D503">
        <v>1063.05</v>
      </c>
      <c r="E503">
        <v>1</v>
      </c>
      <c r="F503">
        <v>1</v>
      </c>
      <c r="G503">
        <v>1063.05</v>
      </c>
      <c r="H503">
        <v>1063.05</v>
      </c>
    </row>
    <row r="504" spans="1:8" x14ac:dyDescent="0.35">
      <c r="A504">
        <v>103409167</v>
      </c>
      <c r="B504" t="s">
        <v>4076</v>
      </c>
      <c r="C504" s="2">
        <v>44749</v>
      </c>
      <c r="D504">
        <v>2749.45</v>
      </c>
      <c r="E504">
        <v>1</v>
      </c>
      <c r="F504">
        <v>1</v>
      </c>
      <c r="G504">
        <v>2749.45</v>
      </c>
      <c r="H504">
        <v>2749.45</v>
      </c>
    </row>
    <row r="505" spans="1:8" x14ac:dyDescent="0.35">
      <c r="A505">
        <v>103409170</v>
      </c>
      <c r="B505" t="s">
        <v>4076</v>
      </c>
      <c r="C505" s="2">
        <v>44749</v>
      </c>
      <c r="D505">
        <v>1281.55</v>
      </c>
      <c r="E505">
        <v>1</v>
      </c>
      <c r="F505">
        <v>1</v>
      </c>
      <c r="G505">
        <v>1281.55</v>
      </c>
      <c r="H505">
        <v>1281.55</v>
      </c>
    </row>
    <row r="506" spans="1:8" x14ac:dyDescent="0.35">
      <c r="A506">
        <v>103409171</v>
      </c>
      <c r="B506" t="s">
        <v>4076</v>
      </c>
      <c r="C506" s="2">
        <v>44749</v>
      </c>
      <c r="D506">
        <v>4999</v>
      </c>
      <c r="E506">
        <v>1</v>
      </c>
      <c r="F506">
        <v>1</v>
      </c>
      <c r="G506">
        <v>4999</v>
      </c>
      <c r="H506">
        <v>4999</v>
      </c>
    </row>
    <row r="507" spans="1:8" x14ac:dyDescent="0.35">
      <c r="A507">
        <v>103409175</v>
      </c>
      <c r="B507" t="s">
        <v>4076</v>
      </c>
      <c r="C507" s="2">
        <v>44749</v>
      </c>
      <c r="D507">
        <v>1259</v>
      </c>
      <c r="E507">
        <v>1</v>
      </c>
      <c r="F507">
        <v>1</v>
      </c>
      <c r="G507">
        <v>1259</v>
      </c>
      <c r="H507">
        <v>1259</v>
      </c>
    </row>
    <row r="508" spans="1:8" x14ac:dyDescent="0.35">
      <c r="A508">
        <v>103409200</v>
      </c>
      <c r="B508" t="s">
        <v>4076</v>
      </c>
      <c r="C508" s="2">
        <v>44749</v>
      </c>
      <c r="D508">
        <v>2799</v>
      </c>
      <c r="E508">
        <v>1</v>
      </c>
      <c r="F508">
        <v>1</v>
      </c>
      <c r="G508">
        <v>2799</v>
      </c>
      <c r="H508">
        <v>2799</v>
      </c>
    </row>
    <row r="509" spans="1:8" x14ac:dyDescent="0.35">
      <c r="A509">
        <v>103409203</v>
      </c>
      <c r="B509" t="s">
        <v>4076</v>
      </c>
      <c r="C509" s="2">
        <v>44749</v>
      </c>
      <c r="D509">
        <v>5399.1</v>
      </c>
      <c r="E509">
        <v>1</v>
      </c>
      <c r="F509">
        <v>1</v>
      </c>
      <c r="G509">
        <v>5399.1</v>
      </c>
      <c r="H509">
        <v>5399.1</v>
      </c>
    </row>
    <row r="510" spans="1:8" x14ac:dyDescent="0.35">
      <c r="A510">
        <v>103409206</v>
      </c>
      <c r="B510" t="s">
        <v>4076</v>
      </c>
      <c r="C510" s="2">
        <v>44749</v>
      </c>
      <c r="D510">
        <v>3324.05</v>
      </c>
      <c r="E510">
        <v>1</v>
      </c>
      <c r="F510">
        <v>1</v>
      </c>
      <c r="G510">
        <v>3324.05</v>
      </c>
      <c r="H510">
        <v>3324.05</v>
      </c>
    </row>
    <row r="511" spans="1:8" x14ac:dyDescent="0.35">
      <c r="A511">
        <v>103409211</v>
      </c>
      <c r="B511" t="s">
        <v>4076</v>
      </c>
      <c r="C511" s="2">
        <v>44749</v>
      </c>
      <c r="D511">
        <v>3324.05</v>
      </c>
      <c r="E511">
        <v>1</v>
      </c>
      <c r="F511">
        <v>1</v>
      </c>
      <c r="G511">
        <v>3324.05</v>
      </c>
      <c r="H511">
        <v>3324.05</v>
      </c>
    </row>
    <row r="512" spans="1:8" x14ac:dyDescent="0.35">
      <c r="A512">
        <v>103409215</v>
      </c>
      <c r="B512" t="s">
        <v>4076</v>
      </c>
      <c r="C512" s="2">
        <v>44749</v>
      </c>
      <c r="D512">
        <v>2564.14</v>
      </c>
      <c r="E512">
        <v>1</v>
      </c>
      <c r="F512">
        <v>1</v>
      </c>
      <c r="G512">
        <v>2564.14</v>
      </c>
      <c r="H512">
        <v>2564.14</v>
      </c>
    </row>
    <row r="513" spans="1:8" x14ac:dyDescent="0.35">
      <c r="A513">
        <v>103409223</v>
      </c>
      <c r="B513" t="s">
        <v>4076</v>
      </c>
      <c r="C513" s="2">
        <v>44749</v>
      </c>
      <c r="D513">
        <v>4119</v>
      </c>
      <c r="E513">
        <v>1</v>
      </c>
      <c r="F513">
        <v>1</v>
      </c>
      <c r="G513">
        <v>4119</v>
      </c>
      <c r="H513">
        <v>4119</v>
      </c>
    </row>
    <row r="514" spans="1:8" x14ac:dyDescent="0.35">
      <c r="A514">
        <v>103409237</v>
      </c>
      <c r="B514" t="s">
        <v>4076</v>
      </c>
      <c r="C514" s="2">
        <v>44749</v>
      </c>
      <c r="D514">
        <v>2398</v>
      </c>
      <c r="E514">
        <v>2</v>
      </c>
      <c r="F514">
        <v>1</v>
      </c>
      <c r="G514">
        <v>1199</v>
      </c>
      <c r="H514">
        <v>2398</v>
      </c>
    </row>
    <row r="515" spans="1:8" x14ac:dyDescent="0.35">
      <c r="A515">
        <v>103409239</v>
      </c>
      <c r="B515" t="s">
        <v>4076</v>
      </c>
      <c r="C515" s="2">
        <v>44749</v>
      </c>
      <c r="D515">
        <v>1899.05</v>
      </c>
      <c r="E515">
        <v>1</v>
      </c>
      <c r="F515">
        <v>1</v>
      </c>
      <c r="G515">
        <v>1899.05</v>
      </c>
      <c r="H515">
        <v>1899.05</v>
      </c>
    </row>
    <row r="516" spans="1:8" x14ac:dyDescent="0.35">
      <c r="A516">
        <v>103409244</v>
      </c>
      <c r="B516" t="s">
        <v>4076</v>
      </c>
      <c r="C516" s="2">
        <v>44749</v>
      </c>
      <c r="D516">
        <v>1329.05</v>
      </c>
      <c r="E516">
        <v>1</v>
      </c>
      <c r="F516">
        <v>1</v>
      </c>
      <c r="G516">
        <v>1329.05</v>
      </c>
      <c r="H516">
        <v>1329.05</v>
      </c>
    </row>
    <row r="517" spans="1:8" x14ac:dyDescent="0.35">
      <c r="A517">
        <v>103409259</v>
      </c>
      <c r="B517" t="s">
        <v>4076</v>
      </c>
      <c r="C517" s="2">
        <v>44749</v>
      </c>
      <c r="D517">
        <v>1424.05</v>
      </c>
      <c r="E517">
        <v>1</v>
      </c>
      <c r="F517">
        <v>1</v>
      </c>
      <c r="G517">
        <v>1424.05</v>
      </c>
      <c r="H517">
        <v>1424.05</v>
      </c>
    </row>
    <row r="518" spans="1:8" x14ac:dyDescent="0.35">
      <c r="A518">
        <v>103409260</v>
      </c>
      <c r="B518" t="s">
        <v>4076</v>
      </c>
      <c r="C518" s="2">
        <v>44749</v>
      </c>
      <c r="D518">
        <v>5599</v>
      </c>
      <c r="E518">
        <v>1</v>
      </c>
      <c r="F518">
        <v>1</v>
      </c>
      <c r="G518">
        <v>5599</v>
      </c>
      <c r="H518">
        <v>5599</v>
      </c>
    </row>
    <row r="519" spans="1:8" x14ac:dyDescent="0.35">
      <c r="A519">
        <v>103409262</v>
      </c>
      <c r="B519" t="s">
        <v>4076</v>
      </c>
      <c r="C519" s="2">
        <v>44749</v>
      </c>
      <c r="D519">
        <v>599</v>
      </c>
      <c r="E519">
        <v>1</v>
      </c>
      <c r="F519">
        <v>1</v>
      </c>
      <c r="G519">
        <v>599</v>
      </c>
      <c r="H519">
        <v>599</v>
      </c>
    </row>
    <row r="520" spans="1:8" x14ac:dyDescent="0.35">
      <c r="A520">
        <v>103409267</v>
      </c>
      <c r="B520" t="s">
        <v>4076</v>
      </c>
      <c r="C520" s="2">
        <v>44749</v>
      </c>
      <c r="D520">
        <v>3599</v>
      </c>
      <c r="E520">
        <v>1</v>
      </c>
      <c r="F520">
        <v>1</v>
      </c>
      <c r="G520">
        <v>3599</v>
      </c>
      <c r="H520">
        <v>3599</v>
      </c>
    </row>
    <row r="521" spans="1:8" x14ac:dyDescent="0.35">
      <c r="A521">
        <v>103409271</v>
      </c>
      <c r="B521" t="s">
        <v>4076</v>
      </c>
      <c r="C521" s="2">
        <v>44749</v>
      </c>
      <c r="D521">
        <v>1949</v>
      </c>
      <c r="E521">
        <v>1</v>
      </c>
      <c r="F521">
        <v>1</v>
      </c>
      <c r="G521">
        <v>1949</v>
      </c>
      <c r="H521">
        <v>1949</v>
      </c>
    </row>
    <row r="522" spans="1:8" x14ac:dyDescent="0.35">
      <c r="A522">
        <v>103409273</v>
      </c>
      <c r="B522" t="s">
        <v>4076</v>
      </c>
      <c r="C522" s="2">
        <v>44749</v>
      </c>
      <c r="D522">
        <v>1709.05</v>
      </c>
      <c r="E522">
        <v>1</v>
      </c>
      <c r="F522">
        <v>1</v>
      </c>
      <c r="G522">
        <v>1709.05</v>
      </c>
      <c r="H522">
        <v>1709.05</v>
      </c>
    </row>
    <row r="523" spans="1:8" x14ac:dyDescent="0.35">
      <c r="A523">
        <v>103409277</v>
      </c>
      <c r="B523" t="s">
        <v>4076</v>
      </c>
      <c r="C523" s="2">
        <v>44749</v>
      </c>
      <c r="D523">
        <v>825.55</v>
      </c>
      <c r="E523">
        <v>1</v>
      </c>
      <c r="F523">
        <v>1</v>
      </c>
      <c r="G523">
        <v>825.55</v>
      </c>
      <c r="H523">
        <v>825.55</v>
      </c>
    </row>
    <row r="524" spans="1:8" x14ac:dyDescent="0.35">
      <c r="A524">
        <v>103409283</v>
      </c>
      <c r="B524" t="s">
        <v>4076</v>
      </c>
      <c r="C524" s="2">
        <v>44749</v>
      </c>
      <c r="D524">
        <v>2469</v>
      </c>
      <c r="E524">
        <v>1</v>
      </c>
      <c r="F524">
        <v>1</v>
      </c>
      <c r="G524">
        <v>2469</v>
      </c>
      <c r="H524">
        <v>2469</v>
      </c>
    </row>
    <row r="525" spans="1:8" x14ac:dyDescent="0.35">
      <c r="A525">
        <v>103409284</v>
      </c>
      <c r="B525" t="s">
        <v>4076</v>
      </c>
      <c r="C525" s="2">
        <v>44749</v>
      </c>
      <c r="D525">
        <v>8983.2000000000007</v>
      </c>
      <c r="E525">
        <v>4</v>
      </c>
      <c r="F525">
        <v>1</v>
      </c>
      <c r="G525">
        <v>2245.8000000000002</v>
      </c>
      <c r="H525">
        <v>8983.2000000000007</v>
      </c>
    </row>
    <row r="526" spans="1:8" x14ac:dyDescent="0.35">
      <c r="A526">
        <v>103409285</v>
      </c>
      <c r="B526" t="s">
        <v>4076</v>
      </c>
      <c r="C526" s="2">
        <v>44749</v>
      </c>
      <c r="D526">
        <v>999</v>
      </c>
      <c r="E526">
        <v>1</v>
      </c>
      <c r="F526">
        <v>1</v>
      </c>
      <c r="G526">
        <v>999</v>
      </c>
      <c r="H526">
        <v>999</v>
      </c>
    </row>
    <row r="527" spans="1:8" x14ac:dyDescent="0.35">
      <c r="A527">
        <v>103409287</v>
      </c>
      <c r="B527" t="s">
        <v>4076</v>
      </c>
      <c r="C527" s="2">
        <v>44749</v>
      </c>
      <c r="D527">
        <v>1804.1</v>
      </c>
      <c r="E527">
        <v>1</v>
      </c>
      <c r="F527">
        <v>1</v>
      </c>
      <c r="G527">
        <v>1804.1</v>
      </c>
      <c r="H527">
        <v>1804.1</v>
      </c>
    </row>
    <row r="528" spans="1:8" x14ac:dyDescent="0.35">
      <c r="A528">
        <v>103409289</v>
      </c>
      <c r="B528" t="s">
        <v>4076</v>
      </c>
      <c r="C528" s="2">
        <v>44749</v>
      </c>
      <c r="D528">
        <v>811.35</v>
      </c>
      <c r="E528">
        <v>1</v>
      </c>
      <c r="F528">
        <v>1</v>
      </c>
      <c r="G528">
        <v>811.35</v>
      </c>
      <c r="H528">
        <v>811.35</v>
      </c>
    </row>
    <row r="529" spans="1:8" x14ac:dyDescent="0.35">
      <c r="A529">
        <v>103409291</v>
      </c>
      <c r="B529" t="s">
        <v>4076</v>
      </c>
      <c r="C529" s="2">
        <v>44749</v>
      </c>
      <c r="D529">
        <v>464.55</v>
      </c>
      <c r="E529">
        <v>1</v>
      </c>
      <c r="F529">
        <v>1</v>
      </c>
      <c r="G529">
        <v>464.55</v>
      </c>
      <c r="H529">
        <v>464.55</v>
      </c>
    </row>
    <row r="530" spans="1:8" x14ac:dyDescent="0.35">
      <c r="A530">
        <v>103409294</v>
      </c>
      <c r="B530" t="s">
        <v>4076</v>
      </c>
      <c r="C530" s="2">
        <v>44749</v>
      </c>
      <c r="D530">
        <v>2849.05</v>
      </c>
      <c r="E530">
        <v>1</v>
      </c>
      <c r="F530">
        <v>1</v>
      </c>
      <c r="G530">
        <v>2849.05</v>
      </c>
      <c r="H530">
        <v>2849.05</v>
      </c>
    </row>
    <row r="531" spans="1:8" x14ac:dyDescent="0.35">
      <c r="A531">
        <v>103409297</v>
      </c>
      <c r="B531" t="s">
        <v>4076</v>
      </c>
      <c r="C531" s="2">
        <v>44749</v>
      </c>
      <c r="D531">
        <v>5556.55</v>
      </c>
      <c r="E531">
        <v>1</v>
      </c>
      <c r="F531">
        <v>1</v>
      </c>
      <c r="G531">
        <v>5556.55</v>
      </c>
      <c r="H531">
        <v>5556.55</v>
      </c>
    </row>
    <row r="532" spans="1:8" x14ac:dyDescent="0.35">
      <c r="A532">
        <v>103409298</v>
      </c>
      <c r="B532" t="s">
        <v>4076</v>
      </c>
      <c r="C532" s="2">
        <v>44749</v>
      </c>
      <c r="D532">
        <v>2991.55</v>
      </c>
      <c r="E532">
        <v>1</v>
      </c>
      <c r="F532">
        <v>1</v>
      </c>
      <c r="G532">
        <v>2991.55</v>
      </c>
      <c r="H532">
        <v>2991.55</v>
      </c>
    </row>
    <row r="533" spans="1:8" x14ac:dyDescent="0.35">
      <c r="A533">
        <v>103409306</v>
      </c>
      <c r="B533" t="s">
        <v>4076</v>
      </c>
      <c r="C533" s="2">
        <v>44749</v>
      </c>
      <c r="D533">
        <v>1498</v>
      </c>
      <c r="E533">
        <v>2</v>
      </c>
      <c r="F533">
        <v>1</v>
      </c>
      <c r="G533">
        <v>749</v>
      </c>
      <c r="H533">
        <v>1498</v>
      </c>
    </row>
    <row r="534" spans="1:8" x14ac:dyDescent="0.35">
      <c r="A534">
        <v>103409307</v>
      </c>
      <c r="B534" t="s">
        <v>4076</v>
      </c>
      <c r="C534" s="2">
        <v>44749</v>
      </c>
      <c r="D534">
        <v>1499</v>
      </c>
      <c r="E534">
        <v>1</v>
      </c>
      <c r="F534">
        <v>1</v>
      </c>
      <c r="G534">
        <v>1499</v>
      </c>
      <c r="H534">
        <v>1499</v>
      </c>
    </row>
    <row r="535" spans="1:8" x14ac:dyDescent="0.35">
      <c r="A535">
        <v>103409310</v>
      </c>
      <c r="B535" t="s">
        <v>4076</v>
      </c>
      <c r="C535" s="2">
        <v>44749</v>
      </c>
      <c r="D535">
        <v>2692.39</v>
      </c>
      <c r="E535">
        <v>1</v>
      </c>
      <c r="F535">
        <v>1</v>
      </c>
      <c r="G535">
        <v>2692.39</v>
      </c>
      <c r="H535">
        <v>2692.39</v>
      </c>
    </row>
    <row r="536" spans="1:8" x14ac:dyDescent="0.35">
      <c r="A536">
        <v>103409315</v>
      </c>
      <c r="B536" t="s">
        <v>4076</v>
      </c>
      <c r="C536" s="2">
        <v>44749</v>
      </c>
      <c r="D536">
        <v>6198</v>
      </c>
      <c r="E536">
        <v>2</v>
      </c>
      <c r="F536">
        <v>1</v>
      </c>
      <c r="G536">
        <v>3099</v>
      </c>
      <c r="H536">
        <v>6198</v>
      </c>
    </row>
    <row r="537" spans="1:8" x14ac:dyDescent="0.35">
      <c r="A537">
        <v>103409320</v>
      </c>
      <c r="B537" t="s">
        <v>4076</v>
      </c>
      <c r="C537" s="2">
        <v>44749</v>
      </c>
      <c r="D537">
        <v>3039.05</v>
      </c>
      <c r="E537">
        <v>1</v>
      </c>
      <c r="F537">
        <v>1</v>
      </c>
      <c r="G537">
        <v>3039.05</v>
      </c>
      <c r="H537">
        <v>3039.05</v>
      </c>
    </row>
    <row r="538" spans="1:8" x14ac:dyDescent="0.35">
      <c r="A538">
        <v>103409321</v>
      </c>
      <c r="B538" t="s">
        <v>4076</v>
      </c>
      <c r="C538" s="2">
        <v>44749</v>
      </c>
      <c r="D538">
        <v>8808</v>
      </c>
      <c r="E538">
        <v>2</v>
      </c>
      <c r="F538">
        <v>1</v>
      </c>
      <c r="G538">
        <v>4404</v>
      </c>
      <c r="H538">
        <v>8808</v>
      </c>
    </row>
    <row r="539" spans="1:8" x14ac:dyDescent="0.35">
      <c r="A539">
        <v>103409324</v>
      </c>
      <c r="B539" t="s">
        <v>4076</v>
      </c>
      <c r="C539" s="2">
        <v>44749</v>
      </c>
      <c r="D539">
        <v>4048.5</v>
      </c>
      <c r="E539">
        <v>2</v>
      </c>
      <c r="F539">
        <v>1</v>
      </c>
      <c r="G539">
        <v>2024.25</v>
      </c>
      <c r="H539">
        <v>4048.5</v>
      </c>
    </row>
    <row r="540" spans="1:8" x14ac:dyDescent="0.35">
      <c r="A540">
        <v>103409325</v>
      </c>
      <c r="B540" t="s">
        <v>4076</v>
      </c>
      <c r="C540" s="2">
        <v>44749</v>
      </c>
      <c r="D540">
        <v>819</v>
      </c>
      <c r="E540">
        <v>1</v>
      </c>
      <c r="F540">
        <v>1</v>
      </c>
      <c r="G540">
        <v>819</v>
      </c>
      <c r="H540">
        <v>819</v>
      </c>
    </row>
    <row r="541" spans="1:8" x14ac:dyDescent="0.35">
      <c r="A541">
        <v>103409331</v>
      </c>
      <c r="B541" t="s">
        <v>4076</v>
      </c>
      <c r="C541" s="2">
        <v>44749</v>
      </c>
      <c r="D541">
        <v>4274.1400000000003</v>
      </c>
      <c r="E541">
        <v>1</v>
      </c>
      <c r="F541">
        <v>1</v>
      </c>
      <c r="G541">
        <v>4274.1400000000003</v>
      </c>
      <c r="H541">
        <v>4274.1400000000003</v>
      </c>
    </row>
    <row r="542" spans="1:8" x14ac:dyDescent="0.35">
      <c r="A542">
        <v>103409334</v>
      </c>
      <c r="B542" t="s">
        <v>4076</v>
      </c>
      <c r="C542" s="2">
        <v>44749</v>
      </c>
      <c r="D542">
        <v>4474</v>
      </c>
      <c r="E542">
        <v>6</v>
      </c>
      <c r="F542">
        <v>1</v>
      </c>
      <c r="G542">
        <v>745.66666666666595</v>
      </c>
      <c r="H542">
        <v>4474</v>
      </c>
    </row>
    <row r="543" spans="1:8" x14ac:dyDescent="0.35">
      <c r="A543">
        <v>103409337</v>
      </c>
      <c r="B543" t="s">
        <v>4076</v>
      </c>
      <c r="C543" s="2">
        <v>44749</v>
      </c>
      <c r="D543">
        <v>3419.14</v>
      </c>
      <c r="E543">
        <v>1</v>
      </c>
      <c r="F543">
        <v>1</v>
      </c>
      <c r="G543">
        <v>3419.14</v>
      </c>
      <c r="H543">
        <v>3419.14</v>
      </c>
    </row>
    <row r="544" spans="1:8" x14ac:dyDescent="0.35">
      <c r="A544">
        <v>103409339</v>
      </c>
      <c r="B544" t="s">
        <v>4076</v>
      </c>
      <c r="C544" s="2">
        <v>44749</v>
      </c>
      <c r="D544">
        <v>2799</v>
      </c>
      <c r="E544">
        <v>1</v>
      </c>
      <c r="F544">
        <v>1</v>
      </c>
      <c r="G544">
        <v>2799</v>
      </c>
      <c r="H544">
        <v>2799</v>
      </c>
    </row>
    <row r="545" spans="1:8" x14ac:dyDescent="0.35">
      <c r="A545">
        <v>103409353</v>
      </c>
      <c r="B545" t="s">
        <v>4076</v>
      </c>
      <c r="C545" s="2">
        <v>44749</v>
      </c>
      <c r="D545">
        <v>1169</v>
      </c>
      <c r="E545">
        <v>1</v>
      </c>
      <c r="F545">
        <v>1</v>
      </c>
      <c r="G545">
        <v>1169</v>
      </c>
      <c r="H545">
        <v>1169</v>
      </c>
    </row>
    <row r="546" spans="1:8" x14ac:dyDescent="0.35">
      <c r="A546">
        <v>103409354</v>
      </c>
      <c r="B546" t="s">
        <v>4076</v>
      </c>
      <c r="C546" s="2">
        <v>44749</v>
      </c>
      <c r="D546">
        <v>1649.29</v>
      </c>
      <c r="E546">
        <v>1</v>
      </c>
      <c r="F546">
        <v>1</v>
      </c>
      <c r="G546">
        <v>1649.29</v>
      </c>
      <c r="H546">
        <v>1649.29</v>
      </c>
    </row>
    <row r="547" spans="1:8" x14ac:dyDescent="0.35">
      <c r="A547">
        <v>103409358</v>
      </c>
      <c r="B547" t="s">
        <v>4076</v>
      </c>
      <c r="C547" s="2">
        <v>44749</v>
      </c>
      <c r="D547">
        <v>1269</v>
      </c>
      <c r="E547">
        <v>1</v>
      </c>
      <c r="F547">
        <v>1</v>
      </c>
      <c r="G547">
        <v>1269</v>
      </c>
      <c r="H547">
        <v>1269</v>
      </c>
    </row>
    <row r="548" spans="1:8" x14ac:dyDescent="0.35">
      <c r="A548">
        <v>103409359</v>
      </c>
      <c r="B548" t="s">
        <v>4076</v>
      </c>
      <c r="C548" s="2">
        <v>44749</v>
      </c>
      <c r="D548">
        <v>6839.05</v>
      </c>
      <c r="E548">
        <v>1</v>
      </c>
      <c r="F548">
        <v>1</v>
      </c>
      <c r="G548">
        <v>6839.05</v>
      </c>
      <c r="H548">
        <v>6839.05</v>
      </c>
    </row>
    <row r="549" spans="1:8" x14ac:dyDescent="0.35">
      <c r="A549">
        <v>103409366</v>
      </c>
      <c r="B549" t="s">
        <v>4076</v>
      </c>
      <c r="C549" s="2">
        <v>44749</v>
      </c>
      <c r="D549">
        <v>1199</v>
      </c>
      <c r="E549">
        <v>1</v>
      </c>
      <c r="F549">
        <v>1</v>
      </c>
      <c r="G549">
        <v>1199</v>
      </c>
      <c r="H549">
        <v>1199</v>
      </c>
    </row>
    <row r="550" spans="1:8" x14ac:dyDescent="0.35">
      <c r="A550">
        <v>103409369</v>
      </c>
      <c r="B550" t="s">
        <v>4076</v>
      </c>
      <c r="C550" s="2">
        <v>44749</v>
      </c>
      <c r="D550">
        <v>969</v>
      </c>
      <c r="E550">
        <v>1</v>
      </c>
      <c r="F550">
        <v>1</v>
      </c>
      <c r="G550">
        <v>969</v>
      </c>
      <c r="H550">
        <v>969</v>
      </c>
    </row>
    <row r="551" spans="1:8" x14ac:dyDescent="0.35">
      <c r="A551">
        <v>103409373</v>
      </c>
      <c r="B551" t="s">
        <v>4076</v>
      </c>
      <c r="C551" s="2">
        <v>44749</v>
      </c>
      <c r="D551">
        <v>3067</v>
      </c>
      <c r="E551">
        <v>3</v>
      </c>
      <c r="F551">
        <v>1</v>
      </c>
      <c r="G551">
        <v>1022.33333333333</v>
      </c>
      <c r="H551">
        <v>3067</v>
      </c>
    </row>
    <row r="552" spans="1:8" x14ac:dyDescent="0.35">
      <c r="A552">
        <v>103409383</v>
      </c>
      <c r="B552" t="s">
        <v>4076</v>
      </c>
      <c r="C552" s="2">
        <v>44749</v>
      </c>
      <c r="D552">
        <v>1379</v>
      </c>
      <c r="E552">
        <v>1</v>
      </c>
      <c r="F552">
        <v>1</v>
      </c>
      <c r="G552">
        <v>1379</v>
      </c>
      <c r="H552">
        <v>1379</v>
      </c>
    </row>
    <row r="553" spans="1:8" x14ac:dyDescent="0.35">
      <c r="A553">
        <v>103409386</v>
      </c>
      <c r="B553" t="s">
        <v>4076</v>
      </c>
      <c r="C553" s="2">
        <v>44749</v>
      </c>
      <c r="D553">
        <v>4504.1399999999903</v>
      </c>
      <c r="E553">
        <v>2</v>
      </c>
      <c r="F553">
        <v>1</v>
      </c>
      <c r="G553">
        <v>2252.0699999999902</v>
      </c>
      <c r="H553">
        <v>4504.1399999999903</v>
      </c>
    </row>
    <row r="554" spans="1:8" x14ac:dyDescent="0.35">
      <c r="A554">
        <v>103409387</v>
      </c>
      <c r="B554" t="s">
        <v>4076</v>
      </c>
      <c r="C554" s="2">
        <v>44749</v>
      </c>
      <c r="D554">
        <v>4549</v>
      </c>
      <c r="E554">
        <v>1</v>
      </c>
      <c r="F554">
        <v>1</v>
      </c>
      <c r="G554">
        <v>4549</v>
      </c>
      <c r="H554">
        <v>4549</v>
      </c>
    </row>
    <row r="555" spans="1:8" x14ac:dyDescent="0.35">
      <c r="A555">
        <v>103409390</v>
      </c>
      <c r="B555" t="s">
        <v>4076</v>
      </c>
      <c r="C555" s="2">
        <v>44749</v>
      </c>
      <c r="D555">
        <v>1199</v>
      </c>
      <c r="E555">
        <v>1</v>
      </c>
      <c r="F555">
        <v>1</v>
      </c>
      <c r="G555">
        <v>1199</v>
      </c>
      <c r="H555">
        <v>1199</v>
      </c>
    </row>
    <row r="556" spans="1:8" x14ac:dyDescent="0.35">
      <c r="A556">
        <v>103409394</v>
      </c>
      <c r="B556" t="s">
        <v>4076</v>
      </c>
      <c r="C556" s="2">
        <v>44749</v>
      </c>
      <c r="D556">
        <v>3324.05</v>
      </c>
      <c r="E556">
        <v>1</v>
      </c>
      <c r="F556">
        <v>1</v>
      </c>
      <c r="G556">
        <v>3324.05</v>
      </c>
      <c r="H556">
        <v>3324.05</v>
      </c>
    </row>
    <row r="557" spans="1:8" x14ac:dyDescent="0.35">
      <c r="A557">
        <v>103409403</v>
      </c>
      <c r="B557" t="s">
        <v>4076</v>
      </c>
      <c r="C557" s="2">
        <v>44749</v>
      </c>
      <c r="D557">
        <v>3761.14</v>
      </c>
      <c r="E557">
        <v>1</v>
      </c>
      <c r="F557">
        <v>1</v>
      </c>
      <c r="G557">
        <v>3761.14</v>
      </c>
      <c r="H557">
        <v>3761.14</v>
      </c>
    </row>
    <row r="558" spans="1:8" x14ac:dyDescent="0.35">
      <c r="A558">
        <v>103409407</v>
      </c>
      <c r="B558" t="s">
        <v>4076</v>
      </c>
      <c r="C558" s="2">
        <v>44749</v>
      </c>
      <c r="D558">
        <v>426.55</v>
      </c>
      <c r="E558">
        <v>1</v>
      </c>
      <c r="F558">
        <v>1</v>
      </c>
      <c r="G558">
        <v>426.55</v>
      </c>
      <c r="H558">
        <v>426.55</v>
      </c>
    </row>
    <row r="559" spans="1:8" x14ac:dyDescent="0.35">
      <c r="A559">
        <v>103409416</v>
      </c>
      <c r="B559" t="s">
        <v>4076</v>
      </c>
      <c r="C559" s="2">
        <v>44749</v>
      </c>
      <c r="D559">
        <v>3988.1</v>
      </c>
      <c r="E559">
        <v>2</v>
      </c>
      <c r="F559">
        <v>1</v>
      </c>
      <c r="G559">
        <v>1994.05</v>
      </c>
      <c r="H559">
        <v>3988.1</v>
      </c>
    </row>
    <row r="560" spans="1:8" x14ac:dyDescent="0.35">
      <c r="A560">
        <v>103409418</v>
      </c>
      <c r="B560" t="s">
        <v>4076</v>
      </c>
      <c r="C560" s="2">
        <v>44749</v>
      </c>
      <c r="D560">
        <v>1169</v>
      </c>
      <c r="E560">
        <v>1</v>
      </c>
      <c r="F560">
        <v>1</v>
      </c>
      <c r="G560">
        <v>1169</v>
      </c>
      <c r="H560">
        <v>1169</v>
      </c>
    </row>
    <row r="561" spans="1:8" x14ac:dyDescent="0.35">
      <c r="A561">
        <v>103409421</v>
      </c>
      <c r="B561" t="s">
        <v>4076</v>
      </c>
      <c r="C561" s="2">
        <v>44749</v>
      </c>
      <c r="D561">
        <v>2977.35</v>
      </c>
      <c r="E561">
        <v>1</v>
      </c>
      <c r="F561">
        <v>1</v>
      </c>
      <c r="G561">
        <v>2977.35</v>
      </c>
      <c r="H561">
        <v>2977.35</v>
      </c>
    </row>
    <row r="562" spans="1:8" x14ac:dyDescent="0.35">
      <c r="A562">
        <v>103409422</v>
      </c>
      <c r="B562" t="s">
        <v>4076</v>
      </c>
      <c r="C562" s="2">
        <v>44749</v>
      </c>
      <c r="D562">
        <v>6353</v>
      </c>
      <c r="E562">
        <v>7</v>
      </c>
      <c r="F562">
        <v>1</v>
      </c>
      <c r="G562">
        <v>907.57142857142799</v>
      </c>
      <c r="H562">
        <v>6353</v>
      </c>
    </row>
    <row r="563" spans="1:8" x14ac:dyDescent="0.35">
      <c r="A563">
        <v>103409432</v>
      </c>
      <c r="B563" t="s">
        <v>4076</v>
      </c>
      <c r="C563" s="2">
        <v>44749</v>
      </c>
      <c r="D563">
        <v>1025.1400000000001</v>
      </c>
      <c r="E563">
        <v>1</v>
      </c>
      <c r="F563">
        <v>1</v>
      </c>
      <c r="G563">
        <v>1025.1400000000001</v>
      </c>
      <c r="H563">
        <v>1025.1400000000001</v>
      </c>
    </row>
    <row r="564" spans="1:8" x14ac:dyDescent="0.35">
      <c r="A564">
        <v>103409437</v>
      </c>
      <c r="B564" t="s">
        <v>4076</v>
      </c>
      <c r="C564" s="2">
        <v>44749</v>
      </c>
      <c r="D564">
        <v>2773.05</v>
      </c>
      <c r="E564">
        <v>1</v>
      </c>
      <c r="F564">
        <v>1</v>
      </c>
      <c r="G564">
        <v>2773.05</v>
      </c>
      <c r="H564">
        <v>2773.05</v>
      </c>
    </row>
    <row r="565" spans="1:8" x14ac:dyDescent="0.35">
      <c r="A565">
        <v>103409439</v>
      </c>
      <c r="B565" t="s">
        <v>4076</v>
      </c>
      <c r="C565" s="2">
        <v>44749</v>
      </c>
      <c r="D565">
        <v>2773.05</v>
      </c>
      <c r="E565">
        <v>1</v>
      </c>
      <c r="F565">
        <v>1</v>
      </c>
      <c r="G565">
        <v>2773.05</v>
      </c>
      <c r="H565">
        <v>2773.05</v>
      </c>
    </row>
    <row r="566" spans="1:8" x14ac:dyDescent="0.35">
      <c r="A566">
        <v>103409442</v>
      </c>
      <c r="B566" t="s">
        <v>4076</v>
      </c>
      <c r="C566" s="2">
        <v>44749</v>
      </c>
      <c r="D566">
        <v>1517.1499999999901</v>
      </c>
      <c r="E566">
        <v>3</v>
      </c>
      <c r="F566">
        <v>1</v>
      </c>
      <c r="G566">
        <v>505.71666666666601</v>
      </c>
      <c r="H566">
        <v>1517.1499999999901</v>
      </c>
    </row>
    <row r="567" spans="1:8" x14ac:dyDescent="0.35">
      <c r="A567">
        <v>103409443</v>
      </c>
      <c r="B567" t="s">
        <v>4076</v>
      </c>
      <c r="C567" s="2">
        <v>44749</v>
      </c>
      <c r="D567">
        <v>2339.1</v>
      </c>
      <c r="E567">
        <v>1</v>
      </c>
      <c r="F567">
        <v>1</v>
      </c>
      <c r="G567">
        <v>2339.1</v>
      </c>
      <c r="H567">
        <v>2339.1</v>
      </c>
    </row>
    <row r="568" spans="1:8" x14ac:dyDescent="0.35">
      <c r="A568">
        <v>103409449</v>
      </c>
      <c r="B568" t="s">
        <v>4076</v>
      </c>
      <c r="C568" s="2">
        <v>44749</v>
      </c>
      <c r="D568">
        <v>3656.55</v>
      </c>
      <c r="E568">
        <v>1</v>
      </c>
      <c r="F568">
        <v>1</v>
      </c>
      <c r="G568">
        <v>3656.55</v>
      </c>
      <c r="H568">
        <v>3656.55</v>
      </c>
    </row>
    <row r="569" spans="1:8" x14ac:dyDescent="0.35">
      <c r="A569">
        <v>103409457</v>
      </c>
      <c r="B569" t="s">
        <v>4076</v>
      </c>
      <c r="C569" s="2">
        <v>44749</v>
      </c>
      <c r="D569">
        <v>92.15</v>
      </c>
      <c r="E569">
        <v>3</v>
      </c>
      <c r="F569">
        <v>1</v>
      </c>
      <c r="G569">
        <v>30.716666666666601</v>
      </c>
      <c r="H569">
        <v>92.15</v>
      </c>
    </row>
    <row r="570" spans="1:8" x14ac:dyDescent="0.35">
      <c r="A570">
        <v>103409458</v>
      </c>
      <c r="B570" t="s">
        <v>4076</v>
      </c>
      <c r="C570" s="2">
        <v>44749</v>
      </c>
      <c r="D570">
        <v>113.05</v>
      </c>
      <c r="E570">
        <v>1</v>
      </c>
      <c r="F570">
        <v>1</v>
      </c>
      <c r="G570">
        <v>113.05</v>
      </c>
      <c r="H570">
        <v>113.05</v>
      </c>
    </row>
    <row r="571" spans="1:8" x14ac:dyDescent="0.35">
      <c r="A571">
        <v>103409460</v>
      </c>
      <c r="B571" t="s">
        <v>4076</v>
      </c>
      <c r="C571" s="2">
        <v>44749</v>
      </c>
      <c r="D571">
        <v>639</v>
      </c>
      <c r="E571">
        <v>1</v>
      </c>
      <c r="F571">
        <v>1</v>
      </c>
      <c r="G571">
        <v>639</v>
      </c>
      <c r="H571">
        <v>639</v>
      </c>
    </row>
    <row r="572" spans="1:8" x14ac:dyDescent="0.35">
      <c r="A572">
        <v>103409461</v>
      </c>
      <c r="B572" t="s">
        <v>4076</v>
      </c>
      <c r="C572" s="2">
        <v>44749</v>
      </c>
      <c r="D572">
        <v>1347.1</v>
      </c>
      <c r="E572">
        <v>2</v>
      </c>
      <c r="F572">
        <v>1</v>
      </c>
      <c r="G572">
        <v>673.55</v>
      </c>
      <c r="H572">
        <v>1347.1</v>
      </c>
    </row>
    <row r="573" spans="1:8" x14ac:dyDescent="0.35">
      <c r="A573">
        <v>103409465</v>
      </c>
      <c r="B573" t="s">
        <v>4076</v>
      </c>
      <c r="C573" s="2">
        <v>44749</v>
      </c>
      <c r="D573">
        <v>799</v>
      </c>
      <c r="E573">
        <v>1</v>
      </c>
      <c r="F573">
        <v>1</v>
      </c>
      <c r="G573">
        <v>799</v>
      </c>
      <c r="H573">
        <v>799</v>
      </c>
    </row>
    <row r="574" spans="1:8" x14ac:dyDescent="0.35">
      <c r="A574">
        <v>103409469</v>
      </c>
      <c r="B574" t="s">
        <v>4076</v>
      </c>
      <c r="C574" s="2">
        <v>44749</v>
      </c>
      <c r="D574">
        <v>899</v>
      </c>
      <c r="E574">
        <v>1</v>
      </c>
      <c r="F574">
        <v>1</v>
      </c>
      <c r="G574">
        <v>899</v>
      </c>
      <c r="H574">
        <v>899</v>
      </c>
    </row>
    <row r="575" spans="1:8" x14ac:dyDescent="0.35">
      <c r="A575">
        <v>103409474</v>
      </c>
      <c r="B575" t="s">
        <v>4076</v>
      </c>
      <c r="C575" s="2">
        <v>44749</v>
      </c>
      <c r="D575">
        <v>1499</v>
      </c>
      <c r="E575">
        <v>1</v>
      </c>
      <c r="F575">
        <v>1</v>
      </c>
      <c r="G575">
        <v>1499</v>
      </c>
      <c r="H575">
        <v>1499</v>
      </c>
    </row>
    <row r="576" spans="1:8" x14ac:dyDescent="0.35">
      <c r="A576">
        <v>103409487</v>
      </c>
      <c r="B576" t="s">
        <v>4076</v>
      </c>
      <c r="C576" s="2">
        <v>44749</v>
      </c>
      <c r="D576">
        <v>2350.39</v>
      </c>
      <c r="E576">
        <v>1</v>
      </c>
      <c r="F576">
        <v>1</v>
      </c>
      <c r="G576">
        <v>2350.39</v>
      </c>
      <c r="H576">
        <v>2350.39</v>
      </c>
    </row>
    <row r="577" spans="1:8" x14ac:dyDescent="0.35">
      <c r="A577">
        <v>103409500</v>
      </c>
      <c r="B577" t="s">
        <v>4076</v>
      </c>
      <c r="C577" s="2">
        <v>44749</v>
      </c>
      <c r="D577">
        <v>2611.5500000000002</v>
      </c>
      <c r="E577">
        <v>1</v>
      </c>
      <c r="F577">
        <v>1</v>
      </c>
      <c r="G577">
        <v>2611.5500000000002</v>
      </c>
      <c r="H577">
        <v>2611.5500000000002</v>
      </c>
    </row>
    <row r="578" spans="1:8" x14ac:dyDescent="0.35">
      <c r="A578">
        <v>103409508</v>
      </c>
      <c r="B578" t="s">
        <v>4076</v>
      </c>
      <c r="C578" s="2">
        <v>44749</v>
      </c>
      <c r="D578">
        <v>5735.15</v>
      </c>
      <c r="E578">
        <v>3</v>
      </c>
      <c r="F578">
        <v>1</v>
      </c>
      <c r="G578">
        <v>1911.7166666666601</v>
      </c>
      <c r="H578">
        <v>5735.15</v>
      </c>
    </row>
    <row r="579" spans="1:8" x14ac:dyDescent="0.35">
      <c r="A579">
        <v>103409509</v>
      </c>
      <c r="B579" t="s">
        <v>4076</v>
      </c>
      <c r="C579" s="2">
        <v>44749</v>
      </c>
      <c r="D579">
        <v>1617</v>
      </c>
      <c r="E579">
        <v>3</v>
      </c>
      <c r="F579">
        <v>1</v>
      </c>
      <c r="G579">
        <v>539</v>
      </c>
      <c r="H579">
        <v>1617</v>
      </c>
    </row>
    <row r="580" spans="1:8" x14ac:dyDescent="0.35">
      <c r="A580">
        <v>103409514</v>
      </c>
      <c r="B580" t="s">
        <v>4076</v>
      </c>
      <c r="C580" s="2">
        <v>44749</v>
      </c>
      <c r="D580">
        <v>369</v>
      </c>
      <c r="E580">
        <v>1</v>
      </c>
      <c r="F580">
        <v>1</v>
      </c>
      <c r="G580">
        <v>369</v>
      </c>
      <c r="H580">
        <v>369</v>
      </c>
    </row>
    <row r="581" spans="1:8" x14ac:dyDescent="0.35">
      <c r="A581">
        <v>103409517</v>
      </c>
      <c r="B581" t="s">
        <v>4076</v>
      </c>
      <c r="C581" s="2">
        <v>44749</v>
      </c>
      <c r="D581">
        <v>489</v>
      </c>
      <c r="E581">
        <v>1</v>
      </c>
      <c r="F581">
        <v>1</v>
      </c>
      <c r="G581">
        <v>489</v>
      </c>
      <c r="H581">
        <v>489</v>
      </c>
    </row>
    <row r="582" spans="1:8" x14ac:dyDescent="0.35">
      <c r="A582">
        <v>103409521</v>
      </c>
      <c r="B582" t="s">
        <v>4076</v>
      </c>
      <c r="C582" s="2">
        <v>44749</v>
      </c>
      <c r="D582">
        <v>2249</v>
      </c>
      <c r="E582">
        <v>1</v>
      </c>
      <c r="F582">
        <v>1</v>
      </c>
      <c r="G582">
        <v>2249</v>
      </c>
      <c r="H582">
        <v>2249</v>
      </c>
    </row>
    <row r="583" spans="1:8" x14ac:dyDescent="0.35">
      <c r="A583">
        <v>103409537</v>
      </c>
      <c r="B583" t="s">
        <v>4076</v>
      </c>
      <c r="C583" s="2">
        <v>44749</v>
      </c>
      <c r="D583">
        <v>6636.7</v>
      </c>
      <c r="E583">
        <v>4</v>
      </c>
      <c r="F583">
        <v>1</v>
      </c>
      <c r="G583">
        <v>1659.175</v>
      </c>
      <c r="H583">
        <v>6636.7</v>
      </c>
    </row>
    <row r="584" spans="1:8" x14ac:dyDescent="0.35">
      <c r="A584">
        <v>103409538</v>
      </c>
      <c r="B584" t="s">
        <v>4076</v>
      </c>
      <c r="C584" s="2">
        <v>44749</v>
      </c>
      <c r="D584">
        <v>669</v>
      </c>
      <c r="E584">
        <v>1</v>
      </c>
      <c r="F584">
        <v>1</v>
      </c>
      <c r="G584">
        <v>669</v>
      </c>
      <c r="H584">
        <v>669</v>
      </c>
    </row>
    <row r="585" spans="1:8" x14ac:dyDescent="0.35">
      <c r="A585">
        <v>103409548</v>
      </c>
      <c r="B585" t="s">
        <v>4076</v>
      </c>
      <c r="C585" s="2">
        <v>44749</v>
      </c>
      <c r="D585">
        <v>2749</v>
      </c>
      <c r="E585">
        <v>1</v>
      </c>
      <c r="F585">
        <v>1</v>
      </c>
      <c r="G585">
        <v>2749</v>
      </c>
      <c r="H585">
        <v>2749</v>
      </c>
    </row>
    <row r="586" spans="1:8" x14ac:dyDescent="0.35">
      <c r="A586">
        <v>103409549</v>
      </c>
      <c r="B586" t="s">
        <v>4076</v>
      </c>
      <c r="C586" s="2">
        <v>44749</v>
      </c>
      <c r="D586">
        <v>1169</v>
      </c>
      <c r="E586">
        <v>1</v>
      </c>
      <c r="F586">
        <v>1</v>
      </c>
      <c r="G586">
        <v>1169</v>
      </c>
      <c r="H586">
        <v>1169</v>
      </c>
    </row>
    <row r="587" spans="1:8" x14ac:dyDescent="0.35">
      <c r="A587">
        <v>103409557</v>
      </c>
      <c r="B587" t="s">
        <v>4076</v>
      </c>
      <c r="C587" s="2">
        <v>44749</v>
      </c>
      <c r="D587">
        <v>675.97</v>
      </c>
      <c r="E587">
        <v>1</v>
      </c>
      <c r="F587">
        <v>1</v>
      </c>
      <c r="G587">
        <v>675.97</v>
      </c>
      <c r="H587">
        <v>675.97</v>
      </c>
    </row>
    <row r="588" spans="1:8" x14ac:dyDescent="0.35">
      <c r="A588">
        <v>103409579</v>
      </c>
      <c r="B588" t="s">
        <v>4076</v>
      </c>
      <c r="C588" s="2">
        <v>44749</v>
      </c>
      <c r="D588">
        <v>495.04</v>
      </c>
      <c r="E588">
        <v>1</v>
      </c>
      <c r="F588">
        <v>1</v>
      </c>
      <c r="G588">
        <v>495.04</v>
      </c>
      <c r="H588">
        <v>495.04</v>
      </c>
    </row>
    <row r="589" spans="1:8" x14ac:dyDescent="0.35">
      <c r="A589">
        <v>103409585</v>
      </c>
      <c r="B589" t="s">
        <v>4076</v>
      </c>
      <c r="C589" s="2">
        <v>44749</v>
      </c>
      <c r="D589">
        <v>1234.05</v>
      </c>
      <c r="E589">
        <v>1</v>
      </c>
      <c r="F589">
        <v>1</v>
      </c>
      <c r="G589">
        <v>1234.05</v>
      </c>
      <c r="H589">
        <v>1234.05</v>
      </c>
    </row>
    <row r="590" spans="1:8" x14ac:dyDescent="0.35">
      <c r="A590">
        <v>103409594</v>
      </c>
      <c r="B590" t="s">
        <v>4076</v>
      </c>
      <c r="C590" s="2">
        <v>44749</v>
      </c>
      <c r="D590">
        <v>2051.14</v>
      </c>
      <c r="E590">
        <v>1</v>
      </c>
      <c r="F590">
        <v>1</v>
      </c>
      <c r="G590">
        <v>2051.14</v>
      </c>
      <c r="H590">
        <v>2051.14</v>
      </c>
    </row>
    <row r="591" spans="1:8" x14ac:dyDescent="0.35">
      <c r="A591">
        <v>103409604</v>
      </c>
      <c r="B591" t="s">
        <v>4076</v>
      </c>
      <c r="C591" s="2">
        <v>44749</v>
      </c>
      <c r="D591">
        <v>2041.55</v>
      </c>
      <c r="E591">
        <v>1</v>
      </c>
      <c r="F591">
        <v>1</v>
      </c>
      <c r="G591">
        <v>2041.55</v>
      </c>
      <c r="H591">
        <v>2041.55</v>
      </c>
    </row>
    <row r="592" spans="1:8" x14ac:dyDescent="0.35">
      <c r="A592">
        <v>103409608</v>
      </c>
      <c r="B592" t="s">
        <v>4076</v>
      </c>
      <c r="C592" s="2">
        <v>44749</v>
      </c>
      <c r="D592">
        <v>1349</v>
      </c>
      <c r="E592">
        <v>1</v>
      </c>
      <c r="F592">
        <v>1</v>
      </c>
      <c r="G592">
        <v>1349</v>
      </c>
      <c r="H592">
        <v>1349</v>
      </c>
    </row>
    <row r="593" spans="1:8" x14ac:dyDescent="0.35">
      <c r="A593">
        <v>103409615</v>
      </c>
      <c r="B593" t="s">
        <v>4076</v>
      </c>
      <c r="C593" s="2">
        <v>44749</v>
      </c>
      <c r="D593">
        <v>2960.2</v>
      </c>
      <c r="E593">
        <v>4</v>
      </c>
      <c r="F593">
        <v>1</v>
      </c>
      <c r="G593">
        <v>740.05</v>
      </c>
      <c r="H593">
        <v>2960.2</v>
      </c>
    </row>
    <row r="594" spans="1:8" x14ac:dyDescent="0.35">
      <c r="A594">
        <v>103409616</v>
      </c>
      <c r="B594" t="s">
        <v>4076</v>
      </c>
      <c r="C594" s="2">
        <v>44749</v>
      </c>
      <c r="D594">
        <v>3490.87</v>
      </c>
      <c r="E594">
        <v>2</v>
      </c>
      <c r="F594">
        <v>1</v>
      </c>
      <c r="G594">
        <v>1745.4349999999999</v>
      </c>
      <c r="H594">
        <v>3490.87</v>
      </c>
    </row>
    <row r="595" spans="1:8" x14ac:dyDescent="0.35">
      <c r="A595">
        <v>103409635</v>
      </c>
      <c r="B595" t="s">
        <v>4076</v>
      </c>
      <c r="C595" s="2">
        <v>44749</v>
      </c>
      <c r="D595">
        <v>937.7</v>
      </c>
      <c r="E595">
        <v>1</v>
      </c>
      <c r="F595">
        <v>1</v>
      </c>
      <c r="G595">
        <v>937.7</v>
      </c>
      <c r="H595">
        <v>937.7</v>
      </c>
    </row>
    <row r="596" spans="1:8" x14ac:dyDescent="0.35">
      <c r="A596">
        <v>103409637</v>
      </c>
      <c r="B596" t="s">
        <v>4076</v>
      </c>
      <c r="C596" s="2">
        <v>44749</v>
      </c>
      <c r="D596">
        <v>4102.1000000000004</v>
      </c>
      <c r="E596">
        <v>2</v>
      </c>
      <c r="F596">
        <v>1</v>
      </c>
      <c r="G596">
        <v>2051.0500000000002</v>
      </c>
      <c r="H596">
        <v>4102.1000000000004</v>
      </c>
    </row>
    <row r="597" spans="1:8" x14ac:dyDescent="0.35">
      <c r="A597">
        <v>103409639</v>
      </c>
      <c r="B597" t="s">
        <v>4076</v>
      </c>
      <c r="C597" s="2">
        <v>44749</v>
      </c>
      <c r="D597">
        <v>3599</v>
      </c>
      <c r="E597">
        <v>1</v>
      </c>
      <c r="F597">
        <v>1</v>
      </c>
      <c r="G597">
        <v>3599</v>
      </c>
      <c r="H597">
        <v>3599</v>
      </c>
    </row>
    <row r="598" spans="1:8" x14ac:dyDescent="0.35">
      <c r="A598">
        <v>103409644</v>
      </c>
      <c r="B598" t="s">
        <v>4076</v>
      </c>
      <c r="C598" s="2">
        <v>44749</v>
      </c>
      <c r="D598">
        <v>3656.55</v>
      </c>
      <c r="E598">
        <v>1</v>
      </c>
      <c r="F598">
        <v>1</v>
      </c>
      <c r="G598">
        <v>3656.55</v>
      </c>
      <c r="H598">
        <v>3656.55</v>
      </c>
    </row>
    <row r="599" spans="1:8" x14ac:dyDescent="0.35">
      <c r="A599">
        <v>103409647</v>
      </c>
      <c r="B599" t="s">
        <v>4076</v>
      </c>
      <c r="C599" s="2">
        <v>44749</v>
      </c>
      <c r="D599">
        <v>2991.64</v>
      </c>
      <c r="E599">
        <v>1</v>
      </c>
      <c r="F599">
        <v>1</v>
      </c>
      <c r="G599">
        <v>2991.64</v>
      </c>
      <c r="H599">
        <v>2991.64</v>
      </c>
    </row>
    <row r="600" spans="1:8" x14ac:dyDescent="0.35">
      <c r="A600">
        <v>103409650</v>
      </c>
      <c r="B600" t="s">
        <v>4076</v>
      </c>
      <c r="C600" s="2">
        <v>44749</v>
      </c>
      <c r="D600">
        <v>1448.1</v>
      </c>
      <c r="E600">
        <v>1</v>
      </c>
      <c r="F600">
        <v>1</v>
      </c>
      <c r="G600">
        <v>1448.1</v>
      </c>
      <c r="H600">
        <v>1448.1</v>
      </c>
    </row>
    <row r="601" spans="1:8" x14ac:dyDescent="0.35">
      <c r="A601">
        <v>103409651</v>
      </c>
      <c r="B601" t="s">
        <v>4076</v>
      </c>
      <c r="C601" s="2">
        <v>44749</v>
      </c>
      <c r="D601">
        <v>3889.39</v>
      </c>
      <c r="E601">
        <v>1</v>
      </c>
      <c r="F601">
        <v>1</v>
      </c>
      <c r="G601">
        <v>3889.39</v>
      </c>
      <c r="H601">
        <v>3889.39</v>
      </c>
    </row>
    <row r="602" spans="1:8" x14ac:dyDescent="0.35">
      <c r="A602">
        <v>103409653</v>
      </c>
      <c r="B602" t="s">
        <v>4076</v>
      </c>
      <c r="C602" s="2">
        <v>44749</v>
      </c>
      <c r="D602">
        <v>559</v>
      </c>
      <c r="E602">
        <v>1</v>
      </c>
      <c r="F602">
        <v>1</v>
      </c>
      <c r="G602">
        <v>559</v>
      </c>
      <c r="H602">
        <v>559</v>
      </c>
    </row>
    <row r="603" spans="1:8" x14ac:dyDescent="0.35">
      <c r="A603">
        <v>103409656</v>
      </c>
      <c r="B603" t="s">
        <v>4076</v>
      </c>
      <c r="C603" s="2">
        <v>44749</v>
      </c>
      <c r="D603">
        <v>4899</v>
      </c>
      <c r="E603">
        <v>1</v>
      </c>
      <c r="F603">
        <v>1</v>
      </c>
      <c r="G603">
        <v>4899</v>
      </c>
      <c r="H603">
        <v>4899</v>
      </c>
    </row>
    <row r="604" spans="1:8" x14ac:dyDescent="0.35">
      <c r="A604">
        <v>103409657</v>
      </c>
      <c r="B604" t="s">
        <v>4076</v>
      </c>
      <c r="C604" s="2">
        <v>44749</v>
      </c>
      <c r="D604">
        <v>3499</v>
      </c>
      <c r="E604">
        <v>1</v>
      </c>
      <c r="F604">
        <v>1</v>
      </c>
      <c r="G604">
        <v>3499</v>
      </c>
      <c r="H604">
        <v>3499</v>
      </c>
    </row>
    <row r="605" spans="1:8" x14ac:dyDescent="0.35">
      <c r="A605">
        <v>103409661</v>
      </c>
      <c r="B605" t="s">
        <v>4076</v>
      </c>
      <c r="C605" s="2">
        <v>44749</v>
      </c>
      <c r="D605">
        <v>329</v>
      </c>
      <c r="E605">
        <v>1</v>
      </c>
      <c r="F605">
        <v>1</v>
      </c>
      <c r="G605">
        <v>329</v>
      </c>
      <c r="H605">
        <v>329</v>
      </c>
    </row>
    <row r="606" spans="1:8" x14ac:dyDescent="0.35">
      <c r="A606">
        <v>103409673</v>
      </c>
      <c r="B606" t="s">
        <v>4076</v>
      </c>
      <c r="C606" s="2">
        <v>44749</v>
      </c>
      <c r="D606">
        <v>3899</v>
      </c>
      <c r="E606">
        <v>1</v>
      </c>
      <c r="F606">
        <v>1</v>
      </c>
      <c r="G606">
        <v>3899</v>
      </c>
      <c r="H606">
        <v>3899</v>
      </c>
    </row>
    <row r="607" spans="1:8" x14ac:dyDescent="0.35">
      <c r="A607">
        <v>103409678</v>
      </c>
      <c r="B607" t="s">
        <v>4076</v>
      </c>
      <c r="C607" s="2">
        <v>44749</v>
      </c>
      <c r="D607">
        <v>2849.05</v>
      </c>
      <c r="E607">
        <v>1</v>
      </c>
      <c r="F607">
        <v>1</v>
      </c>
      <c r="G607">
        <v>2849.05</v>
      </c>
      <c r="H607">
        <v>2849.05</v>
      </c>
    </row>
    <row r="608" spans="1:8" x14ac:dyDescent="0.35">
      <c r="A608">
        <v>103409681</v>
      </c>
      <c r="B608" t="s">
        <v>4076</v>
      </c>
      <c r="C608" s="2">
        <v>44749</v>
      </c>
      <c r="D608">
        <v>2048</v>
      </c>
      <c r="E608">
        <v>2</v>
      </c>
      <c r="F608">
        <v>1</v>
      </c>
      <c r="G608">
        <v>1024</v>
      </c>
      <c r="H608">
        <v>2048</v>
      </c>
    </row>
    <row r="609" spans="1:8" x14ac:dyDescent="0.35">
      <c r="A609">
        <v>103409688</v>
      </c>
      <c r="B609" t="s">
        <v>4076</v>
      </c>
      <c r="C609" s="2">
        <v>44749</v>
      </c>
      <c r="D609">
        <v>4998</v>
      </c>
      <c r="E609">
        <v>2</v>
      </c>
      <c r="F609">
        <v>1</v>
      </c>
      <c r="G609">
        <v>2499</v>
      </c>
      <c r="H609">
        <v>4998</v>
      </c>
    </row>
    <row r="610" spans="1:8" x14ac:dyDescent="0.35">
      <c r="A610">
        <v>103409690</v>
      </c>
      <c r="B610" t="s">
        <v>4076</v>
      </c>
      <c r="C610" s="2">
        <v>44749</v>
      </c>
      <c r="D610">
        <v>579</v>
      </c>
      <c r="E610">
        <v>1</v>
      </c>
      <c r="F610">
        <v>1</v>
      </c>
      <c r="G610">
        <v>579</v>
      </c>
      <c r="H610">
        <v>579</v>
      </c>
    </row>
    <row r="611" spans="1:8" x14ac:dyDescent="0.35">
      <c r="A611">
        <v>103409691</v>
      </c>
      <c r="B611" t="s">
        <v>4076</v>
      </c>
      <c r="C611" s="2">
        <v>44749</v>
      </c>
      <c r="D611">
        <v>1414.55</v>
      </c>
      <c r="E611">
        <v>1</v>
      </c>
      <c r="F611">
        <v>1</v>
      </c>
      <c r="G611">
        <v>1414.55</v>
      </c>
      <c r="H611">
        <v>1414.55</v>
      </c>
    </row>
    <row r="612" spans="1:8" x14ac:dyDescent="0.35">
      <c r="A612">
        <v>103409697</v>
      </c>
      <c r="B612" t="s">
        <v>4076</v>
      </c>
      <c r="C612" s="2">
        <v>44749</v>
      </c>
      <c r="D612">
        <v>2345.6</v>
      </c>
      <c r="E612">
        <v>1</v>
      </c>
      <c r="F612">
        <v>1</v>
      </c>
      <c r="G612">
        <v>2345.6</v>
      </c>
      <c r="H612">
        <v>2345.6</v>
      </c>
    </row>
    <row r="613" spans="1:8" x14ac:dyDescent="0.35">
      <c r="A613">
        <v>103409698</v>
      </c>
      <c r="B613" t="s">
        <v>4076</v>
      </c>
      <c r="C613" s="2">
        <v>44749</v>
      </c>
      <c r="D613">
        <v>1499</v>
      </c>
      <c r="E613">
        <v>1</v>
      </c>
      <c r="F613">
        <v>1</v>
      </c>
      <c r="G613">
        <v>1499</v>
      </c>
      <c r="H613">
        <v>1499</v>
      </c>
    </row>
    <row r="614" spans="1:8" x14ac:dyDescent="0.35">
      <c r="A614">
        <v>103409699</v>
      </c>
      <c r="B614" t="s">
        <v>4076</v>
      </c>
      <c r="C614" s="2">
        <v>44749</v>
      </c>
      <c r="D614">
        <v>2089.0500000000002</v>
      </c>
      <c r="E614">
        <v>1</v>
      </c>
      <c r="F614">
        <v>1</v>
      </c>
      <c r="G614">
        <v>2089.0500000000002</v>
      </c>
      <c r="H614">
        <v>2089.0500000000002</v>
      </c>
    </row>
    <row r="615" spans="1:8" x14ac:dyDescent="0.35">
      <c r="A615">
        <v>103409706</v>
      </c>
      <c r="B615" t="s">
        <v>4076</v>
      </c>
      <c r="C615" s="2">
        <v>44749</v>
      </c>
      <c r="D615">
        <v>269</v>
      </c>
      <c r="E615">
        <v>1</v>
      </c>
      <c r="F615">
        <v>1</v>
      </c>
      <c r="G615">
        <v>269</v>
      </c>
      <c r="H615">
        <v>269</v>
      </c>
    </row>
    <row r="616" spans="1:8" x14ac:dyDescent="0.35">
      <c r="A616">
        <v>103409709</v>
      </c>
      <c r="B616" t="s">
        <v>4076</v>
      </c>
      <c r="C616" s="2">
        <v>44749</v>
      </c>
      <c r="D616">
        <v>2279.0500000000002</v>
      </c>
      <c r="E616">
        <v>1</v>
      </c>
      <c r="F616">
        <v>1</v>
      </c>
      <c r="G616">
        <v>2279.0500000000002</v>
      </c>
      <c r="H616">
        <v>2279.0500000000002</v>
      </c>
    </row>
    <row r="617" spans="1:8" x14ac:dyDescent="0.35">
      <c r="A617">
        <v>103409715</v>
      </c>
      <c r="B617" t="s">
        <v>4076</v>
      </c>
      <c r="C617" s="2">
        <v>44749</v>
      </c>
      <c r="D617">
        <v>1299</v>
      </c>
      <c r="E617">
        <v>1</v>
      </c>
      <c r="F617">
        <v>1</v>
      </c>
      <c r="G617">
        <v>1299</v>
      </c>
      <c r="H617">
        <v>1299</v>
      </c>
    </row>
    <row r="618" spans="1:8" x14ac:dyDescent="0.35">
      <c r="A618">
        <v>103409718</v>
      </c>
      <c r="B618" t="s">
        <v>4076</v>
      </c>
      <c r="C618" s="2">
        <v>44749</v>
      </c>
      <c r="D618">
        <v>1189</v>
      </c>
      <c r="E618">
        <v>1</v>
      </c>
      <c r="F618">
        <v>1</v>
      </c>
      <c r="G618">
        <v>1189</v>
      </c>
      <c r="H618">
        <v>1189</v>
      </c>
    </row>
    <row r="619" spans="1:8" x14ac:dyDescent="0.35">
      <c r="A619">
        <v>103409720</v>
      </c>
      <c r="B619" t="s">
        <v>4076</v>
      </c>
      <c r="C619" s="2">
        <v>44749</v>
      </c>
      <c r="D619">
        <v>3532.1</v>
      </c>
      <c r="E619">
        <v>2</v>
      </c>
      <c r="F619">
        <v>1</v>
      </c>
      <c r="G619">
        <v>1766.05</v>
      </c>
      <c r="H619">
        <v>3532.1</v>
      </c>
    </row>
    <row r="620" spans="1:8" x14ac:dyDescent="0.35">
      <c r="A620">
        <v>103409721</v>
      </c>
      <c r="B620" t="s">
        <v>4076</v>
      </c>
      <c r="C620" s="2">
        <v>44749</v>
      </c>
      <c r="D620">
        <v>1868</v>
      </c>
      <c r="E620">
        <v>2</v>
      </c>
      <c r="F620">
        <v>1</v>
      </c>
      <c r="G620">
        <v>934</v>
      </c>
      <c r="H620">
        <v>1868</v>
      </c>
    </row>
    <row r="621" spans="1:8" x14ac:dyDescent="0.35">
      <c r="A621">
        <v>103409722</v>
      </c>
      <c r="B621" t="s">
        <v>4076</v>
      </c>
      <c r="C621" s="2">
        <v>44749</v>
      </c>
      <c r="D621">
        <v>674.1</v>
      </c>
      <c r="E621">
        <v>1</v>
      </c>
      <c r="F621">
        <v>1</v>
      </c>
      <c r="G621">
        <v>674.1</v>
      </c>
      <c r="H621">
        <v>674.1</v>
      </c>
    </row>
    <row r="622" spans="1:8" x14ac:dyDescent="0.35">
      <c r="A622">
        <v>103409729</v>
      </c>
      <c r="B622" t="s">
        <v>4076</v>
      </c>
      <c r="C622" s="2">
        <v>44749</v>
      </c>
      <c r="D622">
        <v>4799</v>
      </c>
      <c r="E622">
        <v>1</v>
      </c>
      <c r="F622">
        <v>1</v>
      </c>
      <c r="G622">
        <v>4799</v>
      </c>
      <c r="H622">
        <v>4799</v>
      </c>
    </row>
    <row r="623" spans="1:8" x14ac:dyDescent="0.35">
      <c r="A623">
        <v>103409739</v>
      </c>
      <c r="B623" t="s">
        <v>4076</v>
      </c>
      <c r="C623" s="2">
        <v>44749</v>
      </c>
      <c r="D623">
        <v>6839.05</v>
      </c>
      <c r="E623">
        <v>1</v>
      </c>
      <c r="F623">
        <v>1</v>
      </c>
      <c r="G623">
        <v>6839.05</v>
      </c>
      <c r="H623">
        <v>6839.05</v>
      </c>
    </row>
    <row r="624" spans="1:8" x14ac:dyDescent="0.35">
      <c r="A624">
        <v>103409741</v>
      </c>
      <c r="B624" t="s">
        <v>4076</v>
      </c>
      <c r="C624" s="2">
        <v>44749</v>
      </c>
      <c r="D624">
        <v>1259</v>
      </c>
      <c r="E624">
        <v>1</v>
      </c>
      <c r="F624">
        <v>1</v>
      </c>
      <c r="G624">
        <v>1259</v>
      </c>
      <c r="H624">
        <v>1259</v>
      </c>
    </row>
    <row r="625" spans="1:8" x14ac:dyDescent="0.35">
      <c r="A625">
        <v>103409744</v>
      </c>
      <c r="B625" t="s">
        <v>4076</v>
      </c>
      <c r="C625" s="2">
        <v>44749</v>
      </c>
      <c r="D625">
        <v>3324.05</v>
      </c>
      <c r="E625">
        <v>1</v>
      </c>
      <c r="F625">
        <v>1</v>
      </c>
      <c r="G625">
        <v>3324.05</v>
      </c>
      <c r="H625">
        <v>3324.05</v>
      </c>
    </row>
    <row r="626" spans="1:8" x14ac:dyDescent="0.35">
      <c r="A626">
        <v>103409746</v>
      </c>
      <c r="B626" t="s">
        <v>4076</v>
      </c>
      <c r="C626" s="2">
        <v>44749</v>
      </c>
      <c r="D626">
        <v>797.05</v>
      </c>
      <c r="E626">
        <v>1</v>
      </c>
      <c r="F626">
        <v>1</v>
      </c>
      <c r="G626">
        <v>797.05</v>
      </c>
      <c r="H626">
        <v>797.05</v>
      </c>
    </row>
    <row r="627" spans="1:8" x14ac:dyDescent="0.35">
      <c r="A627">
        <v>103409748</v>
      </c>
      <c r="B627" t="s">
        <v>4076</v>
      </c>
      <c r="C627" s="2">
        <v>44749</v>
      </c>
      <c r="D627">
        <v>4616.1400000000003</v>
      </c>
      <c r="E627">
        <v>1</v>
      </c>
      <c r="F627">
        <v>1</v>
      </c>
      <c r="G627">
        <v>4616.1400000000003</v>
      </c>
      <c r="H627">
        <v>4616.1400000000003</v>
      </c>
    </row>
    <row r="628" spans="1:8" x14ac:dyDescent="0.35">
      <c r="A628">
        <v>103409749</v>
      </c>
      <c r="B628" t="s">
        <v>4076</v>
      </c>
      <c r="C628" s="2">
        <v>44749</v>
      </c>
      <c r="D628">
        <v>2634.4</v>
      </c>
      <c r="E628">
        <v>1</v>
      </c>
      <c r="F628">
        <v>1</v>
      </c>
      <c r="G628">
        <v>2634.4</v>
      </c>
      <c r="H628">
        <v>2634.4</v>
      </c>
    </row>
    <row r="629" spans="1:8" x14ac:dyDescent="0.35">
      <c r="A629">
        <v>103409752</v>
      </c>
      <c r="B629" t="s">
        <v>4076</v>
      </c>
      <c r="C629" s="2">
        <v>44749</v>
      </c>
      <c r="D629">
        <v>3134.05</v>
      </c>
      <c r="E629">
        <v>1</v>
      </c>
      <c r="F629">
        <v>1</v>
      </c>
      <c r="G629">
        <v>3134.05</v>
      </c>
      <c r="H629">
        <v>3134.05</v>
      </c>
    </row>
    <row r="630" spans="1:8" x14ac:dyDescent="0.35">
      <c r="A630">
        <v>103409754</v>
      </c>
      <c r="B630" t="s">
        <v>4076</v>
      </c>
      <c r="C630" s="2">
        <v>44749</v>
      </c>
      <c r="D630">
        <v>1994.05</v>
      </c>
      <c r="E630">
        <v>1</v>
      </c>
      <c r="F630">
        <v>1</v>
      </c>
      <c r="G630">
        <v>1994.05</v>
      </c>
      <c r="H630">
        <v>1994.05</v>
      </c>
    </row>
    <row r="631" spans="1:8" x14ac:dyDescent="0.35">
      <c r="A631">
        <v>103409755</v>
      </c>
      <c r="B631" t="s">
        <v>4076</v>
      </c>
      <c r="C631" s="2">
        <v>44749</v>
      </c>
      <c r="D631">
        <v>1539</v>
      </c>
      <c r="E631">
        <v>1</v>
      </c>
      <c r="F631">
        <v>1</v>
      </c>
      <c r="G631">
        <v>1539</v>
      </c>
      <c r="H631">
        <v>1539</v>
      </c>
    </row>
    <row r="632" spans="1:8" x14ac:dyDescent="0.35">
      <c r="A632">
        <v>103409757</v>
      </c>
      <c r="B632" t="s">
        <v>4076</v>
      </c>
      <c r="C632" s="2">
        <v>44749</v>
      </c>
      <c r="D632">
        <v>4008.05</v>
      </c>
      <c r="E632">
        <v>1</v>
      </c>
      <c r="F632">
        <v>1</v>
      </c>
      <c r="G632">
        <v>4008.05</v>
      </c>
      <c r="H632">
        <v>4008.05</v>
      </c>
    </row>
    <row r="633" spans="1:8" x14ac:dyDescent="0.35">
      <c r="A633">
        <v>103409762</v>
      </c>
      <c r="B633" t="s">
        <v>4076</v>
      </c>
      <c r="C633" s="2">
        <v>44749</v>
      </c>
      <c r="D633">
        <v>417.05</v>
      </c>
      <c r="E633">
        <v>1</v>
      </c>
      <c r="F633">
        <v>1</v>
      </c>
      <c r="G633">
        <v>417.05</v>
      </c>
      <c r="H633">
        <v>417.05</v>
      </c>
    </row>
    <row r="634" spans="1:8" x14ac:dyDescent="0.35">
      <c r="A634">
        <v>103409769</v>
      </c>
      <c r="B634" t="s">
        <v>4076</v>
      </c>
      <c r="C634" s="2">
        <v>44749</v>
      </c>
      <c r="D634">
        <v>493.05</v>
      </c>
      <c r="E634">
        <v>1</v>
      </c>
      <c r="F634">
        <v>1</v>
      </c>
      <c r="G634">
        <v>493.05</v>
      </c>
      <c r="H634">
        <v>493.05</v>
      </c>
    </row>
    <row r="635" spans="1:8" x14ac:dyDescent="0.35">
      <c r="A635">
        <v>103409775</v>
      </c>
      <c r="B635" t="s">
        <v>4076</v>
      </c>
      <c r="C635" s="2">
        <v>44749</v>
      </c>
      <c r="D635">
        <v>2099</v>
      </c>
      <c r="E635">
        <v>1</v>
      </c>
      <c r="F635">
        <v>1</v>
      </c>
      <c r="G635">
        <v>2099</v>
      </c>
      <c r="H635">
        <v>2099</v>
      </c>
    </row>
    <row r="636" spans="1:8" x14ac:dyDescent="0.35">
      <c r="A636">
        <v>103409784</v>
      </c>
      <c r="B636" t="s">
        <v>4076</v>
      </c>
      <c r="C636" s="2">
        <v>44749</v>
      </c>
      <c r="D636">
        <v>2399</v>
      </c>
      <c r="E636">
        <v>1</v>
      </c>
      <c r="F636">
        <v>1</v>
      </c>
      <c r="G636">
        <v>2399</v>
      </c>
      <c r="H636">
        <v>2399</v>
      </c>
    </row>
    <row r="637" spans="1:8" x14ac:dyDescent="0.35">
      <c r="A637">
        <v>103409793</v>
      </c>
      <c r="B637" t="s">
        <v>4076</v>
      </c>
      <c r="C637" s="2">
        <v>44749</v>
      </c>
      <c r="D637">
        <v>2449</v>
      </c>
      <c r="E637">
        <v>1</v>
      </c>
      <c r="F637">
        <v>1</v>
      </c>
      <c r="G637">
        <v>2449</v>
      </c>
      <c r="H637">
        <v>2449</v>
      </c>
    </row>
    <row r="638" spans="1:8" x14ac:dyDescent="0.35">
      <c r="A638">
        <v>103409797</v>
      </c>
      <c r="B638" t="s">
        <v>4076</v>
      </c>
      <c r="C638" s="2">
        <v>44749</v>
      </c>
      <c r="D638">
        <v>3590.14</v>
      </c>
      <c r="E638">
        <v>1</v>
      </c>
      <c r="F638">
        <v>1</v>
      </c>
      <c r="G638">
        <v>3590.14</v>
      </c>
      <c r="H638">
        <v>3590.14</v>
      </c>
    </row>
    <row r="639" spans="1:8" x14ac:dyDescent="0.35">
      <c r="A639">
        <v>103409801</v>
      </c>
      <c r="B639" t="s">
        <v>4076</v>
      </c>
      <c r="C639" s="2">
        <v>44749</v>
      </c>
      <c r="D639">
        <v>571.99</v>
      </c>
      <c r="E639">
        <v>1</v>
      </c>
      <c r="F639">
        <v>1</v>
      </c>
      <c r="G639">
        <v>571.99</v>
      </c>
      <c r="H639">
        <v>571.99</v>
      </c>
    </row>
    <row r="640" spans="1:8" x14ac:dyDescent="0.35">
      <c r="A640">
        <v>103409810</v>
      </c>
      <c r="B640" t="s">
        <v>4076</v>
      </c>
      <c r="C640" s="2">
        <v>44749</v>
      </c>
      <c r="D640">
        <v>3134.05</v>
      </c>
      <c r="E640">
        <v>1</v>
      </c>
      <c r="F640">
        <v>1</v>
      </c>
      <c r="G640">
        <v>3134.05</v>
      </c>
      <c r="H640">
        <v>3134.05</v>
      </c>
    </row>
    <row r="641" spans="1:8" x14ac:dyDescent="0.35">
      <c r="A641">
        <v>103409817</v>
      </c>
      <c r="B641" t="s">
        <v>4076</v>
      </c>
      <c r="C641" s="2">
        <v>44749</v>
      </c>
      <c r="D641">
        <v>899</v>
      </c>
      <c r="E641">
        <v>1</v>
      </c>
      <c r="F641">
        <v>1</v>
      </c>
      <c r="G641">
        <v>899</v>
      </c>
      <c r="H641">
        <v>899</v>
      </c>
    </row>
    <row r="642" spans="1:8" x14ac:dyDescent="0.35">
      <c r="A642">
        <v>103409818</v>
      </c>
      <c r="B642" t="s">
        <v>4076</v>
      </c>
      <c r="C642" s="2">
        <v>44749</v>
      </c>
      <c r="D642">
        <v>969</v>
      </c>
      <c r="E642">
        <v>1</v>
      </c>
      <c r="F642">
        <v>1</v>
      </c>
      <c r="G642">
        <v>969</v>
      </c>
      <c r="H642">
        <v>969</v>
      </c>
    </row>
    <row r="643" spans="1:8" x14ac:dyDescent="0.35">
      <c r="A643">
        <v>103409833</v>
      </c>
      <c r="B643" t="s">
        <v>4076</v>
      </c>
      <c r="C643" s="2">
        <v>44749</v>
      </c>
      <c r="D643">
        <v>699</v>
      </c>
      <c r="E643">
        <v>1</v>
      </c>
      <c r="F643">
        <v>1</v>
      </c>
      <c r="G643">
        <v>699</v>
      </c>
      <c r="H643">
        <v>699</v>
      </c>
    </row>
    <row r="644" spans="1:8" x14ac:dyDescent="0.35">
      <c r="A644">
        <v>103409834</v>
      </c>
      <c r="B644" t="s">
        <v>4076</v>
      </c>
      <c r="C644" s="2">
        <v>44749</v>
      </c>
      <c r="D644">
        <v>969</v>
      </c>
      <c r="E644">
        <v>1</v>
      </c>
      <c r="F644">
        <v>1</v>
      </c>
      <c r="G644">
        <v>969</v>
      </c>
      <c r="H644">
        <v>969</v>
      </c>
    </row>
    <row r="645" spans="1:8" x14ac:dyDescent="0.35">
      <c r="A645">
        <v>103409839</v>
      </c>
      <c r="B645" t="s">
        <v>4076</v>
      </c>
      <c r="C645" s="2">
        <v>44749</v>
      </c>
      <c r="D645">
        <v>2849.05</v>
      </c>
      <c r="E645">
        <v>1</v>
      </c>
      <c r="F645">
        <v>1</v>
      </c>
      <c r="G645">
        <v>2849.05</v>
      </c>
      <c r="H645">
        <v>2849.05</v>
      </c>
    </row>
    <row r="646" spans="1:8" x14ac:dyDescent="0.35">
      <c r="A646">
        <v>103409842</v>
      </c>
      <c r="B646" t="s">
        <v>4076</v>
      </c>
      <c r="C646" s="2">
        <v>44749</v>
      </c>
      <c r="D646">
        <v>419</v>
      </c>
      <c r="E646">
        <v>1</v>
      </c>
      <c r="F646">
        <v>1</v>
      </c>
      <c r="G646">
        <v>419</v>
      </c>
      <c r="H646">
        <v>419</v>
      </c>
    </row>
    <row r="647" spans="1:8" x14ac:dyDescent="0.35">
      <c r="A647">
        <v>103409845</v>
      </c>
      <c r="B647" t="s">
        <v>4076</v>
      </c>
      <c r="C647" s="2">
        <v>44749</v>
      </c>
      <c r="D647">
        <v>629</v>
      </c>
      <c r="E647">
        <v>1</v>
      </c>
      <c r="F647">
        <v>1</v>
      </c>
      <c r="G647">
        <v>629</v>
      </c>
      <c r="H647">
        <v>629</v>
      </c>
    </row>
    <row r="648" spans="1:8" x14ac:dyDescent="0.35">
      <c r="A648">
        <v>103409846</v>
      </c>
      <c r="B648" t="s">
        <v>4076</v>
      </c>
      <c r="C648" s="2">
        <v>44749</v>
      </c>
      <c r="D648">
        <v>3077.14</v>
      </c>
      <c r="E648">
        <v>1</v>
      </c>
      <c r="F648">
        <v>1</v>
      </c>
      <c r="G648">
        <v>3077.14</v>
      </c>
      <c r="H648">
        <v>3077.14</v>
      </c>
    </row>
    <row r="649" spans="1:8" x14ac:dyDescent="0.35">
      <c r="A649">
        <v>103409853</v>
      </c>
      <c r="B649" t="s">
        <v>4076</v>
      </c>
      <c r="C649" s="2">
        <v>44749</v>
      </c>
      <c r="D649">
        <v>2155.5500000000002</v>
      </c>
      <c r="E649">
        <v>1</v>
      </c>
      <c r="F649">
        <v>1</v>
      </c>
      <c r="G649">
        <v>2155.5500000000002</v>
      </c>
      <c r="H649">
        <v>2155.5500000000002</v>
      </c>
    </row>
    <row r="650" spans="1:8" x14ac:dyDescent="0.35">
      <c r="A650">
        <v>103409859</v>
      </c>
      <c r="B650" t="s">
        <v>4076</v>
      </c>
      <c r="C650" s="2">
        <v>44749</v>
      </c>
      <c r="D650">
        <v>2999</v>
      </c>
      <c r="E650">
        <v>1</v>
      </c>
      <c r="F650">
        <v>1</v>
      </c>
      <c r="G650">
        <v>2999</v>
      </c>
      <c r="H650">
        <v>2999</v>
      </c>
    </row>
    <row r="651" spans="1:8" x14ac:dyDescent="0.35">
      <c r="A651">
        <v>103409868</v>
      </c>
      <c r="B651" t="s">
        <v>4076</v>
      </c>
      <c r="C651" s="2">
        <v>44749</v>
      </c>
      <c r="D651">
        <v>1899.05</v>
      </c>
      <c r="E651">
        <v>1</v>
      </c>
      <c r="F651">
        <v>1</v>
      </c>
      <c r="G651">
        <v>1899.05</v>
      </c>
      <c r="H651">
        <v>1899.05</v>
      </c>
    </row>
    <row r="652" spans="1:8" x14ac:dyDescent="0.35">
      <c r="A652">
        <v>103409871</v>
      </c>
      <c r="B652" t="s">
        <v>4076</v>
      </c>
      <c r="C652" s="2">
        <v>44749</v>
      </c>
      <c r="D652">
        <v>489</v>
      </c>
      <c r="E652">
        <v>1</v>
      </c>
      <c r="F652">
        <v>1</v>
      </c>
      <c r="G652">
        <v>489</v>
      </c>
      <c r="H652">
        <v>489</v>
      </c>
    </row>
    <row r="653" spans="1:8" x14ac:dyDescent="0.35">
      <c r="A653">
        <v>103409875</v>
      </c>
      <c r="B653" t="s">
        <v>4076</v>
      </c>
      <c r="C653" s="2">
        <v>44749</v>
      </c>
      <c r="D653">
        <v>4799</v>
      </c>
      <c r="E653">
        <v>1</v>
      </c>
      <c r="F653">
        <v>1</v>
      </c>
      <c r="G653">
        <v>4799</v>
      </c>
      <c r="H653">
        <v>4799</v>
      </c>
    </row>
    <row r="654" spans="1:8" x14ac:dyDescent="0.35">
      <c r="A654">
        <v>103409885</v>
      </c>
      <c r="B654" t="s">
        <v>4076</v>
      </c>
      <c r="C654" s="2">
        <v>44749</v>
      </c>
      <c r="D654">
        <v>1049</v>
      </c>
      <c r="E654">
        <v>1</v>
      </c>
      <c r="F654">
        <v>1</v>
      </c>
      <c r="G654">
        <v>1049</v>
      </c>
      <c r="H654">
        <v>1049</v>
      </c>
    </row>
    <row r="655" spans="1:8" x14ac:dyDescent="0.35">
      <c r="A655">
        <v>103409886</v>
      </c>
      <c r="B655" t="s">
        <v>4076</v>
      </c>
      <c r="C655" s="2">
        <v>44749</v>
      </c>
      <c r="D655">
        <v>2041.55</v>
      </c>
      <c r="E655">
        <v>1</v>
      </c>
      <c r="F655">
        <v>1</v>
      </c>
      <c r="G655">
        <v>2041.55</v>
      </c>
      <c r="H655">
        <v>2041.55</v>
      </c>
    </row>
    <row r="656" spans="1:8" x14ac:dyDescent="0.35">
      <c r="A656">
        <v>103409893</v>
      </c>
      <c r="B656" t="s">
        <v>4076</v>
      </c>
      <c r="C656" s="2">
        <v>44749</v>
      </c>
      <c r="D656">
        <v>4984.6499999999996</v>
      </c>
      <c r="E656">
        <v>3</v>
      </c>
      <c r="F656">
        <v>1</v>
      </c>
      <c r="G656">
        <v>1661.55</v>
      </c>
      <c r="H656">
        <v>4984.6499999999996</v>
      </c>
    </row>
    <row r="657" spans="1:8" x14ac:dyDescent="0.35">
      <c r="A657">
        <v>103409897</v>
      </c>
      <c r="B657" t="s">
        <v>4076</v>
      </c>
      <c r="C657" s="2">
        <v>44749</v>
      </c>
      <c r="D657">
        <v>3574.45</v>
      </c>
      <c r="E657">
        <v>1</v>
      </c>
      <c r="F657">
        <v>1</v>
      </c>
      <c r="G657">
        <v>3574.45</v>
      </c>
      <c r="H657">
        <v>3574.45</v>
      </c>
    </row>
    <row r="658" spans="1:8" x14ac:dyDescent="0.35">
      <c r="A658">
        <v>103409902</v>
      </c>
      <c r="B658" t="s">
        <v>4076</v>
      </c>
      <c r="C658" s="2">
        <v>44749</v>
      </c>
      <c r="D658">
        <v>1110.6400000000001</v>
      </c>
      <c r="E658">
        <v>1</v>
      </c>
      <c r="F658">
        <v>1</v>
      </c>
      <c r="G658">
        <v>1110.6400000000001</v>
      </c>
      <c r="H658">
        <v>1110.6400000000001</v>
      </c>
    </row>
    <row r="659" spans="1:8" x14ac:dyDescent="0.35">
      <c r="A659">
        <v>103409904</v>
      </c>
      <c r="B659" t="s">
        <v>4076</v>
      </c>
      <c r="C659" s="2">
        <v>44749</v>
      </c>
      <c r="D659">
        <v>1157.0999999999999</v>
      </c>
      <c r="E659">
        <v>2</v>
      </c>
      <c r="F659">
        <v>1</v>
      </c>
      <c r="G659">
        <v>578.54999999999995</v>
      </c>
      <c r="H659">
        <v>1157.0999999999999</v>
      </c>
    </row>
    <row r="660" spans="1:8" x14ac:dyDescent="0.35">
      <c r="A660">
        <v>103409906</v>
      </c>
      <c r="B660" t="s">
        <v>4076</v>
      </c>
      <c r="C660" s="2">
        <v>44749</v>
      </c>
      <c r="D660">
        <v>1025.05</v>
      </c>
      <c r="E660">
        <v>1</v>
      </c>
      <c r="F660">
        <v>1</v>
      </c>
      <c r="G660">
        <v>1025.05</v>
      </c>
      <c r="H660">
        <v>1025.05</v>
      </c>
    </row>
    <row r="661" spans="1:8" x14ac:dyDescent="0.35">
      <c r="A661">
        <v>103409907</v>
      </c>
      <c r="B661" t="s">
        <v>4076</v>
      </c>
      <c r="C661" s="2">
        <v>44749</v>
      </c>
      <c r="D661">
        <v>1451.6</v>
      </c>
      <c r="E661">
        <v>2</v>
      </c>
      <c r="F661">
        <v>1</v>
      </c>
      <c r="G661">
        <v>725.8</v>
      </c>
      <c r="H661">
        <v>1451.6</v>
      </c>
    </row>
    <row r="662" spans="1:8" x14ac:dyDescent="0.35">
      <c r="A662">
        <v>103409909</v>
      </c>
      <c r="B662" t="s">
        <v>4076</v>
      </c>
      <c r="C662" s="2">
        <v>44749</v>
      </c>
      <c r="D662">
        <v>521.54999999999995</v>
      </c>
      <c r="E662">
        <v>1</v>
      </c>
      <c r="F662">
        <v>1</v>
      </c>
      <c r="G662">
        <v>521.54999999999995</v>
      </c>
      <c r="H662">
        <v>521.54999999999995</v>
      </c>
    </row>
    <row r="663" spans="1:8" x14ac:dyDescent="0.35">
      <c r="A663">
        <v>103409911</v>
      </c>
      <c r="B663" t="s">
        <v>4076</v>
      </c>
      <c r="C663" s="2">
        <v>44749</v>
      </c>
      <c r="D663">
        <v>1310.05</v>
      </c>
      <c r="E663">
        <v>1</v>
      </c>
      <c r="F663">
        <v>1</v>
      </c>
      <c r="G663">
        <v>1310.05</v>
      </c>
      <c r="H663">
        <v>1310.05</v>
      </c>
    </row>
    <row r="664" spans="1:8" x14ac:dyDescent="0.35">
      <c r="A664">
        <v>103409915</v>
      </c>
      <c r="B664" t="s">
        <v>4076</v>
      </c>
      <c r="C664" s="2">
        <v>44749</v>
      </c>
      <c r="D664">
        <v>4008.05</v>
      </c>
      <c r="E664">
        <v>1</v>
      </c>
      <c r="F664">
        <v>1</v>
      </c>
      <c r="G664">
        <v>4008.05</v>
      </c>
      <c r="H664">
        <v>4008.05</v>
      </c>
    </row>
    <row r="665" spans="1:8" x14ac:dyDescent="0.35">
      <c r="A665">
        <v>103409923</v>
      </c>
      <c r="B665" t="s">
        <v>4076</v>
      </c>
      <c r="C665" s="2">
        <v>44749</v>
      </c>
      <c r="D665">
        <v>2999</v>
      </c>
      <c r="E665">
        <v>1</v>
      </c>
      <c r="F665">
        <v>1</v>
      </c>
      <c r="G665">
        <v>2999</v>
      </c>
      <c r="H665">
        <v>2999</v>
      </c>
    </row>
    <row r="666" spans="1:8" x14ac:dyDescent="0.35">
      <c r="A666">
        <v>103409926</v>
      </c>
      <c r="B666" t="s">
        <v>4076</v>
      </c>
      <c r="C666" s="2">
        <v>44749</v>
      </c>
      <c r="D666">
        <v>1249</v>
      </c>
      <c r="E666">
        <v>1</v>
      </c>
      <c r="F666">
        <v>1</v>
      </c>
      <c r="G666">
        <v>1249</v>
      </c>
      <c r="H666">
        <v>1249</v>
      </c>
    </row>
    <row r="667" spans="1:8" x14ac:dyDescent="0.35">
      <c r="A667">
        <v>103409941</v>
      </c>
      <c r="B667" t="s">
        <v>4076</v>
      </c>
      <c r="C667" s="2">
        <v>44749</v>
      </c>
      <c r="D667">
        <v>569.04999999999995</v>
      </c>
      <c r="E667">
        <v>1</v>
      </c>
      <c r="F667">
        <v>1</v>
      </c>
      <c r="G667">
        <v>569.04999999999995</v>
      </c>
      <c r="H667">
        <v>569.04999999999995</v>
      </c>
    </row>
    <row r="668" spans="1:8" x14ac:dyDescent="0.35">
      <c r="A668">
        <v>103409945</v>
      </c>
      <c r="B668" t="s">
        <v>4076</v>
      </c>
      <c r="C668" s="2">
        <v>44749</v>
      </c>
      <c r="D668">
        <v>4899</v>
      </c>
      <c r="E668">
        <v>1</v>
      </c>
      <c r="F668">
        <v>1</v>
      </c>
      <c r="G668">
        <v>4899</v>
      </c>
      <c r="H668">
        <v>4899</v>
      </c>
    </row>
    <row r="669" spans="1:8" x14ac:dyDescent="0.35">
      <c r="A669">
        <v>103409953</v>
      </c>
      <c r="B669" t="s">
        <v>4076</v>
      </c>
      <c r="C669" s="2">
        <v>44749</v>
      </c>
      <c r="D669">
        <v>1799.1</v>
      </c>
      <c r="E669">
        <v>1</v>
      </c>
      <c r="F669">
        <v>1</v>
      </c>
      <c r="G669">
        <v>1799.1</v>
      </c>
      <c r="H669">
        <v>1799.1</v>
      </c>
    </row>
    <row r="670" spans="1:8" x14ac:dyDescent="0.35">
      <c r="A670">
        <v>103409954</v>
      </c>
      <c r="B670" t="s">
        <v>4076</v>
      </c>
      <c r="C670" s="2">
        <v>44749</v>
      </c>
      <c r="D670">
        <v>2345.5500000000002</v>
      </c>
      <c r="E670">
        <v>1</v>
      </c>
      <c r="F670">
        <v>1</v>
      </c>
      <c r="G670">
        <v>2345.5500000000002</v>
      </c>
      <c r="H670">
        <v>2345.5500000000002</v>
      </c>
    </row>
    <row r="671" spans="1:8" x14ac:dyDescent="0.35">
      <c r="A671">
        <v>103409961</v>
      </c>
      <c r="B671" t="s">
        <v>4076</v>
      </c>
      <c r="C671" s="2">
        <v>44749</v>
      </c>
      <c r="D671">
        <v>6174.05</v>
      </c>
      <c r="E671">
        <v>1</v>
      </c>
      <c r="F671">
        <v>1</v>
      </c>
      <c r="G671">
        <v>6174.05</v>
      </c>
      <c r="H671">
        <v>6174.05</v>
      </c>
    </row>
    <row r="672" spans="1:8" x14ac:dyDescent="0.35">
      <c r="A672">
        <v>103409962</v>
      </c>
      <c r="B672" t="s">
        <v>4076</v>
      </c>
      <c r="C672" s="2">
        <v>44749</v>
      </c>
      <c r="D672">
        <v>1838</v>
      </c>
      <c r="E672">
        <v>2</v>
      </c>
      <c r="F672">
        <v>1</v>
      </c>
      <c r="G672">
        <v>919</v>
      </c>
      <c r="H672">
        <v>1838</v>
      </c>
    </row>
    <row r="673" spans="1:8" x14ac:dyDescent="0.35">
      <c r="A673">
        <v>103409964</v>
      </c>
      <c r="B673" t="s">
        <v>4076</v>
      </c>
      <c r="C673" s="2">
        <v>44749</v>
      </c>
      <c r="D673">
        <v>3304.1</v>
      </c>
      <c r="E673">
        <v>2</v>
      </c>
      <c r="F673">
        <v>1</v>
      </c>
      <c r="G673">
        <v>1652.05</v>
      </c>
      <c r="H673">
        <v>3304.1</v>
      </c>
    </row>
    <row r="674" spans="1:8" x14ac:dyDescent="0.35">
      <c r="A674">
        <v>103409970</v>
      </c>
      <c r="B674" t="s">
        <v>4076</v>
      </c>
      <c r="C674" s="2">
        <v>44749</v>
      </c>
      <c r="D674">
        <v>768.55</v>
      </c>
      <c r="E674">
        <v>1</v>
      </c>
      <c r="F674">
        <v>1</v>
      </c>
      <c r="G674">
        <v>768.55</v>
      </c>
      <c r="H674">
        <v>768.55</v>
      </c>
    </row>
    <row r="675" spans="1:8" x14ac:dyDescent="0.35">
      <c r="A675">
        <v>103409971</v>
      </c>
      <c r="B675" t="s">
        <v>4076</v>
      </c>
      <c r="C675" s="2">
        <v>44749</v>
      </c>
      <c r="D675">
        <v>2269</v>
      </c>
      <c r="E675">
        <v>1</v>
      </c>
      <c r="F675">
        <v>1</v>
      </c>
      <c r="G675">
        <v>2269</v>
      </c>
      <c r="H675">
        <v>2269</v>
      </c>
    </row>
    <row r="676" spans="1:8" x14ac:dyDescent="0.35">
      <c r="A676">
        <v>103409975</v>
      </c>
      <c r="B676" t="s">
        <v>4076</v>
      </c>
      <c r="C676" s="2">
        <v>44749</v>
      </c>
      <c r="D676">
        <v>5229.75</v>
      </c>
      <c r="E676">
        <v>5</v>
      </c>
      <c r="F676">
        <v>1</v>
      </c>
      <c r="G676">
        <v>1045.95</v>
      </c>
      <c r="H676">
        <v>5229.75</v>
      </c>
    </row>
    <row r="677" spans="1:8" x14ac:dyDescent="0.35">
      <c r="A677">
        <v>103409981</v>
      </c>
      <c r="B677" t="s">
        <v>4076</v>
      </c>
      <c r="C677" s="2">
        <v>44749</v>
      </c>
      <c r="D677">
        <v>635.54999999999995</v>
      </c>
      <c r="E677">
        <v>1</v>
      </c>
      <c r="F677">
        <v>1</v>
      </c>
      <c r="G677">
        <v>635.54999999999995</v>
      </c>
      <c r="H677">
        <v>635.54999999999995</v>
      </c>
    </row>
    <row r="678" spans="1:8" x14ac:dyDescent="0.35">
      <c r="A678">
        <v>103409982</v>
      </c>
      <c r="B678" t="s">
        <v>4076</v>
      </c>
      <c r="C678" s="2">
        <v>44749</v>
      </c>
      <c r="D678">
        <v>797.05</v>
      </c>
      <c r="E678">
        <v>1</v>
      </c>
      <c r="F678">
        <v>1</v>
      </c>
      <c r="G678">
        <v>797.05</v>
      </c>
      <c r="H678">
        <v>797.05</v>
      </c>
    </row>
    <row r="679" spans="1:8" x14ac:dyDescent="0.35">
      <c r="A679">
        <v>103409985</v>
      </c>
      <c r="B679" t="s">
        <v>4076</v>
      </c>
      <c r="C679" s="2">
        <v>44749</v>
      </c>
      <c r="D679">
        <v>740.05</v>
      </c>
      <c r="E679">
        <v>1</v>
      </c>
      <c r="F679">
        <v>1</v>
      </c>
      <c r="G679">
        <v>740.05</v>
      </c>
      <c r="H679">
        <v>740.05</v>
      </c>
    </row>
    <row r="680" spans="1:8" x14ac:dyDescent="0.35">
      <c r="A680">
        <v>103409991</v>
      </c>
      <c r="B680" t="s">
        <v>4076</v>
      </c>
      <c r="C680" s="2">
        <v>44749</v>
      </c>
      <c r="D680">
        <v>512.04999999999995</v>
      </c>
      <c r="E680">
        <v>1</v>
      </c>
      <c r="F680">
        <v>1</v>
      </c>
      <c r="G680">
        <v>512.04999999999995</v>
      </c>
      <c r="H680">
        <v>512.04999999999995</v>
      </c>
    </row>
    <row r="681" spans="1:8" x14ac:dyDescent="0.35">
      <c r="A681">
        <v>103409995</v>
      </c>
      <c r="B681" t="s">
        <v>4076</v>
      </c>
      <c r="C681" s="2">
        <v>44749</v>
      </c>
      <c r="D681">
        <v>1379</v>
      </c>
      <c r="E681">
        <v>1</v>
      </c>
      <c r="F681">
        <v>1</v>
      </c>
      <c r="G681">
        <v>1379</v>
      </c>
      <c r="H681">
        <v>1379</v>
      </c>
    </row>
    <row r="682" spans="1:8" x14ac:dyDescent="0.35">
      <c r="A682">
        <v>103409996</v>
      </c>
      <c r="B682" t="s">
        <v>4076</v>
      </c>
      <c r="C682" s="2">
        <v>44749</v>
      </c>
      <c r="D682">
        <v>2919</v>
      </c>
      <c r="E682">
        <v>1</v>
      </c>
      <c r="F682">
        <v>1</v>
      </c>
      <c r="G682">
        <v>2919</v>
      </c>
      <c r="H682">
        <v>2919</v>
      </c>
    </row>
    <row r="683" spans="1:8" x14ac:dyDescent="0.35">
      <c r="A683">
        <v>103410007</v>
      </c>
      <c r="B683" t="s">
        <v>4076</v>
      </c>
      <c r="C683" s="2">
        <v>44749</v>
      </c>
      <c r="D683">
        <v>1922.89</v>
      </c>
      <c r="E683">
        <v>1</v>
      </c>
      <c r="F683">
        <v>1</v>
      </c>
      <c r="G683">
        <v>1922.89</v>
      </c>
      <c r="H683">
        <v>1922.89</v>
      </c>
    </row>
    <row r="684" spans="1:8" x14ac:dyDescent="0.35">
      <c r="A684">
        <v>103410008</v>
      </c>
      <c r="B684" t="s">
        <v>4076</v>
      </c>
      <c r="C684" s="2">
        <v>44749</v>
      </c>
      <c r="D684">
        <v>3599</v>
      </c>
      <c r="E684">
        <v>1</v>
      </c>
      <c r="F684">
        <v>1</v>
      </c>
      <c r="G684">
        <v>3599</v>
      </c>
      <c r="H684">
        <v>3599</v>
      </c>
    </row>
    <row r="685" spans="1:8" x14ac:dyDescent="0.35">
      <c r="A685">
        <v>103410010</v>
      </c>
      <c r="B685" t="s">
        <v>4076</v>
      </c>
      <c r="C685" s="2">
        <v>44749</v>
      </c>
      <c r="D685">
        <v>6613.2</v>
      </c>
      <c r="E685">
        <v>2</v>
      </c>
      <c r="F685">
        <v>1</v>
      </c>
      <c r="G685">
        <v>3306.6</v>
      </c>
      <c r="H685">
        <v>6613.2</v>
      </c>
    </row>
    <row r="686" spans="1:8" x14ac:dyDescent="0.35">
      <c r="A686">
        <v>103410013</v>
      </c>
      <c r="B686" t="s">
        <v>4076</v>
      </c>
      <c r="C686" s="2">
        <v>44749</v>
      </c>
      <c r="D686">
        <v>3849</v>
      </c>
      <c r="E686">
        <v>1</v>
      </c>
      <c r="F686">
        <v>1</v>
      </c>
      <c r="G686">
        <v>3849</v>
      </c>
      <c r="H686">
        <v>3849</v>
      </c>
    </row>
    <row r="687" spans="1:8" x14ac:dyDescent="0.35">
      <c r="A687">
        <v>103410017</v>
      </c>
      <c r="B687" t="s">
        <v>4076</v>
      </c>
      <c r="C687" s="2">
        <v>44749</v>
      </c>
      <c r="D687">
        <v>5603.1</v>
      </c>
      <c r="E687">
        <v>2</v>
      </c>
      <c r="F687">
        <v>1</v>
      </c>
      <c r="G687">
        <v>2801.55</v>
      </c>
      <c r="H687">
        <v>5603.1</v>
      </c>
    </row>
    <row r="688" spans="1:8" x14ac:dyDescent="0.35">
      <c r="A688">
        <v>103410019</v>
      </c>
      <c r="B688" t="s">
        <v>4076</v>
      </c>
      <c r="C688" s="2">
        <v>44749</v>
      </c>
      <c r="D688">
        <v>1269</v>
      </c>
      <c r="E688">
        <v>1</v>
      </c>
      <c r="F688">
        <v>1</v>
      </c>
      <c r="G688">
        <v>1269</v>
      </c>
      <c r="H688">
        <v>1269</v>
      </c>
    </row>
    <row r="689" spans="1:8" x14ac:dyDescent="0.35">
      <c r="A689">
        <v>103410026</v>
      </c>
      <c r="B689" t="s">
        <v>4076</v>
      </c>
      <c r="C689" s="2">
        <v>44749</v>
      </c>
      <c r="D689">
        <v>4999</v>
      </c>
      <c r="E689">
        <v>1</v>
      </c>
      <c r="F689">
        <v>1</v>
      </c>
      <c r="G689">
        <v>4999</v>
      </c>
      <c r="H689">
        <v>4999</v>
      </c>
    </row>
    <row r="690" spans="1:8" x14ac:dyDescent="0.35">
      <c r="A690">
        <v>103410029</v>
      </c>
      <c r="B690" t="s">
        <v>4076</v>
      </c>
      <c r="C690" s="2">
        <v>44749</v>
      </c>
      <c r="D690">
        <v>4999</v>
      </c>
      <c r="E690">
        <v>1</v>
      </c>
      <c r="F690">
        <v>1</v>
      </c>
      <c r="G690">
        <v>4999</v>
      </c>
      <c r="H690">
        <v>4999</v>
      </c>
    </row>
    <row r="691" spans="1:8" x14ac:dyDescent="0.35">
      <c r="A691">
        <v>103410035</v>
      </c>
      <c r="B691" t="s">
        <v>4076</v>
      </c>
      <c r="C691" s="2">
        <v>44749</v>
      </c>
      <c r="D691">
        <v>2238</v>
      </c>
      <c r="E691">
        <v>2</v>
      </c>
      <c r="F691">
        <v>1</v>
      </c>
      <c r="G691">
        <v>1119</v>
      </c>
      <c r="H691">
        <v>2238</v>
      </c>
    </row>
    <row r="692" spans="1:8" x14ac:dyDescent="0.35">
      <c r="A692">
        <v>103410041</v>
      </c>
      <c r="B692" t="s">
        <v>4076</v>
      </c>
      <c r="C692" s="2">
        <v>44749</v>
      </c>
      <c r="D692">
        <v>4103.1400000000003</v>
      </c>
      <c r="E692">
        <v>1</v>
      </c>
      <c r="F692">
        <v>1</v>
      </c>
      <c r="G692">
        <v>4103.1400000000003</v>
      </c>
      <c r="H692">
        <v>4103.1400000000003</v>
      </c>
    </row>
    <row r="693" spans="1:8" x14ac:dyDescent="0.35">
      <c r="A693">
        <v>103410047</v>
      </c>
      <c r="B693" t="s">
        <v>4076</v>
      </c>
      <c r="C693" s="2">
        <v>44749</v>
      </c>
      <c r="D693">
        <v>768.55</v>
      </c>
      <c r="E693">
        <v>1</v>
      </c>
      <c r="F693">
        <v>1</v>
      </c>
      <c r="G693">
        <v>768.55</v>
      </c>
      <c r="H693">
        <v>768.55</v>
      </c>
    </row>
    <row r="694" spans="1:8" x14ac:dyDescent="0.35">
      <c r="A694">
        <v>103410048</v>
      </c>
      <c r="B694" t="s">
        <v>4076</v>
      </c>
      <c r="C694" s="2">
        <v>44749</v>
      </c>
      <c r="D694">
        <v>1918</v>
      </c>
      <c r="E694">
        <v>2</v>
      </c>
      <c r="F694">
        <v>1</v>
      </c>
      <c r="G694">
        <v>959</v>
      </c>
      <c r="H694">
        <v>1918</v>
      </c>
    </row>
    <row r="695" spans="1:8" x14ac:dyDescent="0.35">
      <c r="A695">
        <v>103410057</v>
      </c>
      <c r="B695" t="s">
        <v>4076</v>
      </c>
      <c r="C695" s="2">
        <v>44749</v>
      </c>
      <c r="D695">
        <v>1775.55</v>
      </c>
      <c r="E695">
        <v>1</v>
      </c>
      <c r="F695">
        <v>1</v>
      </c>
      <c r="G695">
        <v>1775.55</v>
      </c>
      <c r="H695">
        <v>1775.55</v>
      </c>
    </row>
    <row r="696" spans="1:8" x14ac:dyDescent="0.35">
      <c r="A696">
        <v>103410059</v>
      </c>
      <c r="B696" t="s">
        <v>4076</v>
      </c>
      <c r="C696" s="2">
        <v>44749</v>
      </c>
      <c r="D696">
        <v>1499</v>
      </c>
      <c r="E696">
        <v>1</v>
      </c>
      <c r="F696">
        <v>1</v>
      </c>
      <c r="G696">
        <v>1499</v>
      </c>
      <c r="H696">
        <v>1499</v>
      </c>
    </row>
    <row r="697" spans="1:8" x14ac:dyDescent="0.35">
      <c r="A697">
        <v>103410067</v>
      </c>
      <c r="B697" t="s">
        <v>4076</v>
      </c>
      <c r="C697" s="2">
        <v>44749</v>
      </c>
      <c r="D697">
        <v>9999</v>
      </c>
      <c r="E697">
        <v>1</v>
      </c>
      <c r="F697">
        <v>1</v>
      </c>
      <c r="G697">
        <v>9999</v>
      </c>
      <c r="H697">
        <v>9999</v>
      </c>
    </row>
    <row r="698" spans="1:8" x14ac:dyDescent="0.35">
      <c r="A698">
        <v>103410068</v>
      </c>
      <c r="B698" t="s">
        <v>4076</v>
      </c>
      <c r="C698" s="2">
        <v>44749</v>
      </c>
      <c r="D698">
        <v>1399</v>
      </c>
      <c r="E698">
        <v>1</v>
      </c>
      <c r="F698">
        <v>1</v>
      </c>
      <c r="G698">
        <v>1399</v>
      </c>
      <c r="H698">
        <v>1399</v>
      </c>
    </row>
    <row r="699" spans="1:8" x14ac:dyDescent="0.35">
      <c r="A699">
        <v>103410074</v>
      </c>
      <c r="B699" t="s">
        <v>4076</v>
      </c>
      <c r="C699" s="2">
        <v>44749</v>
      </c>
      <c r="D699">
        <v>3499</v>
      </c>
      <c r="E699">
        <v>1</v>
      </c>
      <c r="F699">
        <v>1</v>
      </c>
      <c r="G699">
        <v>3499</v>
      </c>
      <c r="H699">
        <v>3499</v>
      </c>
    </row>
    <row r="700" spans="1:8" x14ac:dyDescent="0.35">
      <c r="A700">
        <v>103410077</v>
      </c>
      <c r="B700" t="s">
        <v>4076</v>
      </c>
      <c r="C700" s="2">
        <v>44749</v>
      </c>
      <c r="D700">
        <v>740.05</v>
      </c>
      <c r="E700">
        <v>1</v>
      </c>
      <c r="F700">
        <v>1</v>
      </c>
      <c r="G700">
        <v>740.05</v>
      </c>
      <c r="H700">
        <v>740.05</v>
      </c>
    </row>
    <row r="701" spans="1:8" x14ac:dyDescent="0.35">
      <c r="A701">
        <v>103410080</v>
      </c>
      <c r="B701" t="s">
        <v>4076</v>
      </c>
      <c r="C701" s="2">
        <v>44749</v>
      </c>
      <c r="D701">
        <v>1678</v>
      </c>
      <c r="E701">
        <v>2</v>
      </c>
      <c r="F701">
        <v>1</v>
      </c>
      <c r="G701">
        <v>839</v>
      </c>
      <c r="H701">
        <v>1678</v>
      </c>
    </row>
    <row r="702" spans="1:8" x14ac:dyDescent="0.35">
      <c r="A702">
        <v>103410082</v>
      </c>
      <c r="B702" t="s">
        <v>4076</v>
      </c>
      <c r="C702" s="2">
        <v>44749</v>
      </c>
      <c r="D702">
        <v>1199</v>
      </c>
      <c r="E702">
        <v>1</v>
      </c>
      <c r="F702">
        <v>1</v>
      </c>
      <c r="G702">
        <v>1199</v>
      </c>
      <c r="H702">
        <v>1199</v>
      </c>
    </row>
    <row r="703" spans="1:8" x14ac:dyDescent="0.35">
      <c r="A703">
        <v>103410084</v>
      </c>
      <c r="B703" t="s">
        <v>4076</v>
      </c>
      <c r="C703" s="2">
        <v>44749</v>
      </c>
      <c r="D703">
        <v>2199</v>
      </c>
      <c r="E703">
        <v>1</v>
      </c>
      <c r="F703">
        <v>1</v>
      </c>
      <c r="G703">
        <v>2199</v>
      </c>
      <c r="H703">
        <v>2199</v>
      </c>
    </row>
    <row r="704" spans="1:8" x14ac:dyDescent="0.35">
      <c r="A704">
        <v>103410096</v>
      </c>
      <c r="B704" t="s">
        <v>4076</v>
      </c>
      <c r="C704" s="2">
        <v>44749</v>
      </c>
      <c r="D704">
        <v>1369</v>
      </c>
      <c r="E704">
        <v>1</v>
      </c>
      <c r="F704">
        <v>1</v>
      </c>
      <c r="G704">
        <v>1369</v>
      </c>
      <c r="H704">
        <v>1369</v>
      </c>
    </row>
    <row r="705" spans="1:8" x14ac:dyDescent="0.35">
      <c r="A705">
        <v>103410099</v>
      </c>
      <c r="B705" t="s">
        <v>4076</v>
      </c>
      <c r="C705" s="2">
        <v>44749</v>
      </c>
      <c r="D705">
        <v>1196.05</v>
      </c>
      <c r="E705">
        <v>1</v>
      </c>
      <c r="F705">
        <v>1</v>
      </c>
      <c r="G705">
        <v>1196.05</v>
      </c>
      <c r="H705">
        <v>1196.05</v>
      </c>
    </row>
    <row r="706" spans="1:8" x14ac:dyDescent="0.35">
      <c r="A706">
        <v>103410100</v>
      </c>
      <c r="B706" t="s">
        <v>4076</v>
      </c>
      <c r="C706" s="2">
        <v>44749</v>
      </c>
      <c r="D706">
        <v>3704.05</v>
      </c>
      <c r="E706">
        <v>1</v>
      </c>
      <c r="F706">
        <v>1</v>
      </c>
      <c r="G706">
        <v>3704.05</v>
      </c>
      <c r="H706">
        <v>3704.05</v>
      </c>
    </row>
    <row r="707" spans="1:8" x14ac:dyDescent="0.35">
      <c r="A707">
        <v>103410109</v>
      </c>
      <c r="B707" t="s">
        <v>4076</v>
      </c>
      <c r="C707" s="2">
        <v>44749</v>
      </c>
      <c r="D707">
        <v>768.55</v>
      </c>
      <c r="E707">
        <v>1</v>
      </c>
      <c r="F707">
        <v>1</v>
      </c>
      <c r="G707">
        <v>768.55</v>
      </c>
      <c r="H707">
        <v>768.55</v>
      </c>
    </row>
    <row r="708" spans="1:8" x14ac:dyDescent="0.35">
      <c r="A708">
        <v>103410113</v>
      </c>
      <c r="B708" t="s">
        <v>4076</v>
      </c>
      <c r="C708" s="2">
        <v>44749</v>
      </c>
      <c r="D708">
        <v>3521.65</v>
      </c>
      <c r="E708">
        <v>3</v>
      </c>
      <c r="F708">
        <v>1</v>
      </c>
      <c r="G708">
        <v>1173.88333333333</v>
      </c>
      <c r="H708">
        <v>3521.65</v>
      </c>
    </row>
    <row r="709" spans="1:8" x14ac:dyDescent="0.35">
      <c r="A709">
        <v>103410117</v>
      </c>
      <c r="B709" t="s">
        <v>4076</v>
      </c>
      <c r="C709" s="2">
        <v>44749</v>
      </c>
      <c r="D709">
        <v>2029.72</v>
      </c>
      <c r="E709">
        <v>1</v>
      </c>
      <c r="F709">
        <v>1</v>
      </c>
      <c r="G709">
        <v>2029.72</v>
      </c>
      <c r="H709">
        <v>2029.72</v>
      </c>
    </row>
    <row r="710" spans="1:8" x14ac:dyDescent="0.35">
      <c r="A710">
        <v>103410121</v>
      </c>
      <c r="B710" t="s">
        <v>4076</v>
      </c>
      <c r="C710" s="2">
        <v>44749</v>
      </c>
      <c r="D710">
        <v>4273.29</v>
      </c>
      <c r="E710">
        <v>2</v>
      </c>
      <c r="F710">
        <v>1</v>
      </c>
      <c r="G710">
        <v>2136.645</v>
      </c>
      <c r="H710">
        <v>4273.29</v>
      </c>
    </row>
    <row r="711" spans="1:8" x14ac:dyDescent="0.35">
      <c r="A711">
        <v>103410123</v>
      </c>
      <c r="B711" t="s">
        <v>4076</v>
      </c>
      <c r="C711" s="2">
        <v>44749</v>
      </c>
      <c r="D711">
        <v>2699.1</v>
      </c>
      <c r="E711">
        <v>1</v>
      </c>
      <c r="F711">
        <v>1</v>
      </c>
      <c r="G711">
        <v>2699.1</v>
      </c>
      <c r="H711">
        <v>2699.1</v>
      </c>
    </row>
    <row r="712" spans="1:8" x14ac:dyDescent="0.35">
      <c r="A712">
        <v>103410128</v>
      </c>
      <c r="B712" t="s">
        <v>4076</v>
      </c>
      <c r="C712" s="2">
        <v>44749</v>
      </c>
      <c r="D712">
        <v>1299</v>
      </c>
      <c r="E712">
        <v>1</v>
      </c>
      <c r="F712">
        <v>1</v>
      </c>
      <c r="G712">
        <v>1299</v>
      </c>
      <c r="H712">
        <v>1299</v>
      </c>
    </row>
    <row r="713" spans="1:8" x14ac:dyDescent="0.35">
      <c r="A713">
        <v>103410134</v>
      </c>
      <c r="B713" t="s">
        <v>4076</v>
      </c>
      <c r="C713" s="2">
        <v>44749</v>
      </c>
      <c r="D713">
        <v>1110.55</v>
      </c>
      <c r="E713">
        <v>1</v>
      </c>
      <c r="F713">
        <v>1</v>
      </c>
      <c r="G713">
        <v>1110.55</v>
      </c>
      <c r="H713">
        <v>1110.55</v>
      </c>
    </row>
    <row r="714" spans="1:8" x14ac:dyDescent="0.35">
      <c r="A714">
        <v>103410141</v>
      </c>
      <c r="B714" t="s">
        <v>4076</v>
      </c>
      <c r="C714" s="2">
        <v>44749</v>
      </c>
      <c r="D714">
        <v>1399</v>
      </c>
      <c r="E714">
        <v>1</v>
      </c>
      <c r="F714">
        <v>1</v>
      </c>
      <c r="G714">
        <v>1399</v>
      </c>
      <c r="H714">
        <v>1399</v>
      </c>
    </row>
    <row r="715" spans="1:8" x14ac:dyDescent="0.35">
      <c r="A715">
        <v>103410158</v>
      </c>
      <c r="B715" t="s">
        <v>4076</v>
      </c>
      <c r="C715" s="2">
        <v>44749</v>
      </c>
      <c r="D715">
        <v>4859.1000000000004</v>
      </c>
      <c r="E715">
        <v>1</v>
      </c>
      <c r="F715">
        <v>1</v>
      </c>
      <c r="G715">
        <v>4859.1000000000004</v>
      </c>
      <c r="H715">
        <v>4859.1000000000004</v>
      </c>
    </row>
    <row r="716" spans="1:8" x14ac:dyDescent="0.35">
      <c r="A716">
        <v>103410160</v>
      </c>
      <c r="B716" t="s">
        <v>4076</v>
      </c>
      <c r="C716" s="2">
        <v>44749</v>
      </c>
      <c r="D716">
        <v>2757.37</v>
      </c>
      <c r="E716">
        <v>5</v>
      </c>
      <c r="F716">
        <v>1</v>
      </c>
      <c r="G716">
        <v>551.47399999999902</v>
      </c>
      <c r="H716">
        <v>2757.37</v>
      </c>
    </row>
    <row r="717" spans="1:8" x14ac:dyDescent="0.35">
      <c r="A717">
        <v>103410164</v>
      </c>
      <c r="B717" t="s">
        <v>4076</v>
      </c>
      <c r="C717" s="2">
        <v>44749</v>
      </c>
      <c r="D717">
        <v>2991.64</v>
      </c>
      <c r="E717">
        <v>1</v>
      </c>
      <c r="F717">
        <v>1</v>
      </c>
      <c r="G717">
        <v>2991.64</v>
      </c>
      <c r="H717">
        <v>2991.64</v>
      </c>
    </row>
    <row r="718" spans="1:8" x14ac:dyDescent="0.35">
      <c r="A718">
        <v>103410174</v>
      </c>
      <c r="B718" t="s">
        <v>4076</v>
      </c>
      <c r="C718" s="2">
        <v>44749</v>
      </c>
      <c r="D718">
        <v>799</v>
      </c>
      <c r="E718">
        <v>1</v>
      </c>
      <c r="F718">
        <v>1</v>
      </c>
      <c r="G718">
        <v>799</v>
      </c>
      <c r="H718">
        <v>799</v>
      </c>
    </row>
    <row r="719" spans="1:8" x14ac:dyDescent="0.35">
      <c r="A719">
        <v>103410175</v>
      </c>
      <c r="B719" t="s">
        <v>4076</v>
      </c>
      <c r="C719" s="2">
        <v>44749</v>
      </c>
      <c r="D719">
        <v>1798</v>
      </c>
      <c r="E719">
        <v>2</v>
      </c>
      <c r="F719">
        <v>1</v>
      </c>
      <c r="G719">
        <v>899</v>
      </c>
      <c r="H719">
        <v>1798</v>
      </c>
    </row>
    <row r="720" spans="1:8" x14ac:dyDescent="0.35">
      <c r="A720">
        <v>103410177</v>
      </c>
      <c r="B720" t="s">
        <v>4076</v>
      </c>
      <c r="C720" s="2">
        <v>44749</v>
      </c>
      <c r="D720">
        <v>2849.05</v>
      </c>
      <c r="E720">
        <v>1</v>
      </c>
      <c r="F720">
        <v>1</v>
      </c>
      <c r="G720">
        <v>2849.05</v>
      </c>
      <c r="H720">
        <v>2849.05</v>
      </c>
    </row>
    <row r="721" spans="1:8" x14ac:dyDescent="0.35">
      <c r="A721">
        <v>103410183</v>
      </c>
      <c r="B721" t="s">
        <v>4076</v>
      </c>
      <c r="C721" s="2">
        <v>44749</v>
      </c>
      <c r="D721">
        <v>2469</v>
      </c>
      <c r="E721">
        <v>1</v>
      </c>
      <c r="F721">
        <v>1</v>
      </c>
      <c r="G721">
        <v>2469</v>
      </c>
      <c r="H721">
        <v>2469</v>
      </c>
    </row>
    <row r="722" spans="1:8" x14ac:dyDescent="0.35">
      <c r="A722">
        <v>103410184</v>
      </c>
      <c r="B722" t="s">
        <v>4076</v>
      </c>
      <c r="C722" s="2">
        <v>44749</v>
      </c>
      <c r="D722">
        <v>2339.1</v>
      </c>
      <c r="E722">
        <v>1</v>
      </c>
      <c r="F722">
        <v>1</v>
      </c>
      <c r="G722">
        <v>2339.1</v>
      </c>
      <c r="H722">
        <v>2339.1</v>
      </c>
    </row>
    <row r="723" spans="1:8" x14ac:dyDescent="0.35">
      <c r="A723">
        <v>103410195</v>
      </c>
      <c r="B723" t="s">
        <v>4076</v>
      </c>
      <c r="C723" s="2">
        <v>44749</v>
      </c>
      <c r="D723">
        <v>1999</v>
      </c>
      <c r="E723">
        <v>1</v>
      </c>
      <c r="F723">
        <v>1</v>
      </c>
      <c r="G723">
        <v>1999</v>
      </c>
      <c r="H723">
        <v>1999</v>
      </c>
    </row>
    <row r="724" spans="1:8" x14ac:dyDescent="0.35">
      <c r="A724">
        <v>103410213</v>
      </c>
      <c r="B724" t="s">
        <v>4076</v>
      </c>
      <c r="C724" s="2">
        <v>44749</v>
      </c>
      <c r="D724">
        <v>1499</v>
      </c>
      <c r="E724">
        <v>1</v>
      </c>
      <c r="F724">
        <v>1</v>
      </c>
      <c r="G724">
        <v>1499</v>
      </c>
      <c r="H724">
        <v>1499</v>
      </c>
    </row>
    <row r="725" spans="1:8" x14ac:dyDescent="0.35">
      <c r="A725">
        <v>103410217</v>
      </c>
      <c r="B725" t="s">
        <v>4076</v>
      </c>
      <c r="C725" s="2">
        <v>44749</v>
      </c>
      <c r="D725">
        <v>1300.55</v>
      </c>
      <c r="E725">
        <v>1</v>
      </c>
      <c r="F725">
        <v>1</v>
      </c>
      <c r="G725">
        <v>1300.55</v>
      </c>
      <c r="H725">
        <v>1300.55</v>
      </c>
    </row>
    <row r="726" spans="1:8" x14ac:dyDescent="0.35">
      <c r="A726">
        <v>103410226</v>
      </c>
      <c r="B726" t="s">
        <v>4076</v>
      </c>
      <c r="C726" s="2">
        <v>44749</v>
      </c>
      <c r="D726">
        <v>3333.64</v>
      </c>
      <c r="E726">
        <v>1</v>
      </c>
      <c r="F726">
        <v>1</v>
      </c>
      <c r="G726">
        <v>3333.64</v>
      </c>
      <c r="H726">
        <v>3333.64</v>
      </c>
    </row>
    <row r="727" spans="1:8" x14ac:dyDescent="0.35">
      <c r="A727">
        <v>103410228</v>
      </c>
      <c r="B727" t="s">
        <v>4076</v>
      </c>
      <c r="C727" s="2">
        <v>44749</v>
      </c>
      <c r="D727">
        <v>2919</v>
      </c>
      <c r="E727">
        <v>1</v>
      </c>
      <c r="F727">
        <v>1</v>
      </c>
      <c r="G727">
        <v>2919</v>
      </c>
      <c r="H727">
        <v>2919</v>
      </c>
    </row>
    <row r="728" spans="1:8" x14ac:dyDescent="0.35">
      <c r="A728">
        <v>103410229</v>
      </c>
      <c r="B728" t="s">
        <v>4076</v>
      </c>
      <c r="C728" s="2">
        <v>44749</v>
      </c>
      <c r="D728">
        <v>1918.05</v>
      </c>
      <c r="E728">
        <v>1</v>
      </c>
      <c r="F728">
        <v>1</v>
      </c>
      <c r="G728">
        <v>1918.05</v>
      </c>
      <c r="H728">
        <v>1918.05</v>
      </c>
    </row>
    <row r="729" spans="1:8" x14ac:dyDescent="0.35">
      <c r="A729">
        <v>103410236</v>
      </c>
      <c r="B729" t="s">
        <v>4076</v>
      </c>
      <c r="C729" s="2">
        <v>44749</v>
      </c>
      <c r="D729">
        <v>315.49</v>
      </c>
      <c r="E729">
        <v>1</v>
      </c>
      <c r="F729">
        <v>1</v>
      </c>
      <c r="G729">
        <v>315.49</v>
      </c>
      <c r="H729">
        <v>315.49</v>
      </c>
    </row>
    <row r="730" spans="1:8" x14ac:dyDescent="0.35">
      <c r="A730">
        <v>103410237</v>
      </c>
      <c r="B730" t="s">
        <v>4076</v>
      </c>
      <c r="C730" s="2">
        <v>44749</v>
      </c>
      <c r="D730">
        <v>2498</v>
      </c>
      <c r="E730">
        <v>2</v>
      </c>
      <c r="F730">
        <v>1</v>
      </c>
      <c r="G730">
        <v>1249</v>
      </c>
      <c r="H730">
        <v>2498</v>
      </c>
    </row>
    <row r="731" spans="1:8" x14ac:dyDescent="0.35">
      <c r="A731">
        <v>103410243</v>
      </c>
      <c r="B731" t="s">
        <v>4076</v>
      </c>
      <c r="C731" s="2">
        <v>44749</v>
      </c>
      <c r="D731">
        <v>4799</v>
      </c>
      <c r="E731">
        <v>1</v>
      </c>
      <c r="F731">
        <v>1</v>
      </c>
      <c r="G731">
        <v>4799</v>
      </c>
      <c r="H731">
        <v>4799</v>
      </c>
    </row>
    <row r="732" spans="1:8" x14ac:dyDescent="0.35">
      <c r="A732">
        <v>103410250</v>
      </c>
      <c r="B732" t="s">
        <v>4076</v>
      </c>
      <c r="C732" s="2">
        <v>44749</v>
      </c>
      <c r="D732">
        <v>3149</v>
      </c>
      <c r="E732">
        <v>1</v>
      </c>
      <c r="F732">
        <v>1</v>
      </c>
      <c r="G732">
        <v>3149</v>
      </c>
      <c r="H732">
        <v>3149</v>
      </c>
    </row>
    <row r="733" spans="1:8" x14ac:dyDescent="0.35">
      <c r="A733">
        <v>103410254</v>
      </c>
      <c r="B733" t="s">
        <v>4076</v>
      </c>
      <c r="C733" s="2">
        <v>44749</v>
      </c>
      <c r="D733">
        <v>5599</v>
      </c>
      <c r="E733">
        <v>1</v>
      </c>
      <c r="F733">
        <v>1</v>
      </c>
      <c r="G733">
        <v>5599</v>
      </c>
      <c r="H733">
        <v>5599</v>
      </c>
    </row>
    <row r="734" spans="1:8" x14ac:dyDescent="0.35">
      <c r="A734">
        <v>103410266</v>
      </c>
      <c r="B734" t="s">
        <v>4076</v>
      </c>
      <c r="C734" s="2">
        <v>44749</v>
      </c>
      <c r="D734">
        <v>1470.6</v>
      </c>
      <c r="E734">
        <v>2</v>
      </c>
      <c r="F734">
        <v>1</v>
      </c>
      <c r="G734">
        <v>735.3</v>
      </c>
      <c r="H734">
        <v>1470.6</v>
      </c>
    </row>
    <row r="735" spans="1:8" x14ac:dyDescent="0.35">
      <c r="A735">
        <v>103410273</v>
      </c>
      <c r="B735" t="s">
        <v>4076</v>
      </c>
      <c r="C735" s="2">
        <v>44749</v>
      </c>
      <c r="D735">
        <v>2611.5500000000002</v>
      </c>
      <c r="E735">
        <v>1</v>
      </c>
      <c r="F735">
        <v>1</v>
      </c>
      <c r="G735">
        <v>2611.5500000000002</v>
      </c>
      <c r="H735">
        <v>2611.5500000000002</v>
      </c>
    </row>
    <row r="736" spans="1:8" x14ac:dyDescent="0.35">
      <c r="A736">
        <v>103410277</v>
      </c>
      <c r="B736" t="s">
        <v>4076</v>
      </c>
      <c r="C736" s="2">
        <v>44749</v>
      </c>
      <c r="D736">
        <v>5385.64</v>
      </c>
      <c r="E736">
        <v>1</v>
      </c>
      <c r="F736">
        <v>1</v>
      </c>
      <c r="G736">
        <v>5385.64</v>
      </c>
      <c r="H736">
        <v>5385.64</v>
      </c>
    </row>
    <row r="737" spans="1:8" x14ac:dyDescent="0.35">
      <c r="A737">
        <v>103410278</v>
      </c>
      <c r="B737" t="s">
        <v>4076</v>
      </c>
      <c r="C737" s="2">
        <v>44749</v>
      </c>
      <c r="D737">
        <v>1709.14</v>
      </c>
      <c r="E737">
        <v>1</v>
      </c>
      <c r="F737">
        <v>1</v>
      </c>
      <c r="G737">
        <v>1709.14</v>
      </c>
      <c r="H737">
        <v>1709.14</v>
      </c>
    </row>
    <row r="738" spans="1:8" x14ac:dyDescent="0.35">
      <c r="A738">
        <v>103410293</v>
      </c>
      <c r="B738" t="s">
        <v>4076</v>
      </c>
      <c r="C738" s="2">
        <v>44749</v>
      </c>
      <c r="D738">
        <v>3212.1</v>
      </c>
      <c r="E738">
        <v>1</v>
      </c>
      <c r="F738">
        <v>1</v>
      </c>
      <c r="G738">
        <v>3212.1</v>
      </c>
      <c r="H738">
        <v>3212.1</v>
      </c>
    </row>
    <row r="739" spans="1:8" x14ac:dyDescent="0.35">
      <c r="A739">
        <v>103410300</v>
      </c>
      <c r="B739" t="s">
        <v>4076</v>
      </c>
      <c r="C739" s="2">
        <v>44749</v>
      </c>
      <c r="D739">
        <v>978</v>
      </c>
      <c r="E739">
        <v>2</v>
      </c>
      <c r="F739">
        <v>1</v>
      </c>
      <c r="G739">
        <v>489</v>
      </c>
      <c r="H739">
        <v>978</v>
      </c>
    </row>
    <row r="740" spans="1:8" x14ac:dyDescent="0.35">
      <c r="A740">
        <v>103410311</v>
      </c>
      <c r="B740" t="s">
        <v>4076</v>
      </c>
      <c r="C740" s="2">
        <v>44749</v>
      </c>
      <c r="D740">
        <v>549</v>
      </c>
      <c r="E740">
        <v>1</v>
      </c>
      <c r="F740">
        <v>1</v>
      </c>
      <c r="G740">
        <v>549</v>
      </c>
      <c r="H740">
        <v>549</v>
      </c>
    </row>
    <row r="741" spans="1:8" x14ac:dyDescent="0.35">
      <c r="A741">
        <v>103410312</v>
      </c>
      <c r="B741" t="s">
        <v>4076</v>
      </c>
      <c r="C741" s="2">
        <v>44749</v>
      </c>
      <c r="D741">
        <v>3212.1</v>
      </c>
      <c r="E741">
        <v>1</v>
      </c>
      <c r="F741">
        <v>1</v>
      </c>
      <c r="G741">
        <v>3212.1</v>
      </c>
      <c r="H741">
        <v>3212.1</v>
      </c>
    </row>
    <row r="742" spans="1:8" x14ac:dyDescent="0.35">
      <c r="A742">
        <v>103410316</v>
      </c>
      <c r="B742" t="s">
        <v>4076</v>
      </c>
      <c r="C742" s="2">
        <v>44749</v>
      </c>
      <c r="D742">
        <v>5898</v>
      </c>
      <c r="E742">
        <v>2</v>
      </c>
      <c r="F742">
        <v>1</v>
      </c>
      <c r="G742">
        <v>2949</v>
      </c>
      <c r="H742">
        <v>5898</v>
      </c>
    </row>
    <row r="743" spans="1:8" x14ac:dyDescent="0.35">
      <c r="A743">
        <v>103410324</v>
      </c>
      <c r="B743" t="s">
        <v>4076</v>
      </c>
      <c r="C743" s="2">
        <v>44749</v>
      </c>
      <c r="D743">
        <v>2849.05</v>
      </c>
      <c r="E743">
        <v>1</v>
      </c>
      <c r="F743">
        <v>1</v>
      </c>
      <c r="G743">
        <v>2849.05</v>
      </c>
      <c r="H743">
        <v>2849.05</v>
      </c>
    </row>
    <row r="744" spans="1:8" x14ac:dyDescent="0.35">
      <c r="A744">
        <v>103410325</v>
      </c>
      <c r="B744" t="s">
        <v>4076</v>
      </c>
      <c r="C744" s="2">
        <v>44749</v>
      </c>
      <c r="D744">
        <v>2165.1</v>
      </c>
      <c r="E744">
        <v>1</v>
      </c>
      <c r="F744">
        <v>1</v>
      </c>
      <c r="G744">
        <v>2165.1</v>
      </c>
      <c r="H744">
        <v>2165.1</v>
      </c>
    </row>
    <row r="745" spans="1:8" x14ac:dyDescent="0.35">
      <c r="A745">
        <v>103410328</v>
      </c>
      <c r="B745" t="s">
        <v>4076</v>
      </c>
      <c r="C745" s="2">
        <v>44749</v>
      </c>
      <c r="D745">
        <v>1632.1</v>
      </c>
      <c r="E745">
        <v>2</v>
      </c>
      <c r="F745">
        <v>1</v>
      </c>
      <c r="G745">
        <v>816.05</v>
      </c>
      <c r="H745">
        <v>1632.1</v>
      </c>
    </row>
    <row r="746" spans="1:8" x14ac:dyDescent="0.35">
      <c r="A746">
        <v>103410332</v>
      </c>
      <c r="B746" t="s">
        <v>4076</v>
      </c>
      <c r="C746" s="2">
        <v>44749</v>
      </c>
      <c r="D746">
        <v>1578.47</v>
      </c>
      <c r="E746">
        <v>1</v>
      </c>
      <c r="F746">
        <v>1</v>
      </c>
      <c r="G746">
        <v>1578.47</v>
      </c>
      <c r="H746">
        <v>1578.47</v>
      </c>
    </row>
    <row r="747" spans="1:8" x14ac:dyDescent="0.35">
      <c r="A747">
        <v>103410336</v>
      </c>
      <c r="B747" t="s">
        <v>4076</v>
      </c>
      <c r="C747" s="2">
        <v>44749</v>
      </c>
      <c r="D747">
        <v>1879.29</v>
      </c>
      <c r="E747">
        <v>2</v>
      </c>
      <c r="F747">
        <v>1</v>
      </c>
      <c r="G747">
        <v>939.64499999999998</v>
      </c>
      <c r="H747">
        <v>1879.29</v>
      </c>
    </row>
    <row r="748" spans="1:8" x14ac:dyDescent="0.35">
      <c r="A748">
        <v>103410342</v>
      </c>
      <c r="B748" t="s">
        <v>4076</v>
      </c>
      <c r="C748" s="2">
        <v>44749</v>
      </c>
      <c r="D748">
        <v>1999</v>
      </c>
      <c r="E748">
        <v>1</v>
      </c>
      <c r="F748">
        <v>1</v>
      </c>
      <c r="G748">
        <v>1999</v>
      </c>
      <c r="H748">
        <v>1999</v>
      </c>
    </row>
    <row r="749" spans="1:8" x14ac:dyDescent="0.35">
      <c r="A749">
        <v>103410344</v>
      </c>
      <c r="B749" t="s">
        <v>4076</v>
      </c>
      <c r="C749" s="2">
        <v>44749</v>
      </c>
      <c r="D749">
        <v>1499</v>
      </c>
      <c r="E749">
        <v>1</v>
      </c>
      <c r="F749">
        <v>1</v>
      </c>
      <c r="G749">
        <v>1499</v>
      </c>
      <c r="H749">
        <v>1499</v>
      </c>
    </row>
    <row r="750" spans="1:8" x14ac:dyDescent="0.35">
      <c r="A750">
        <v>103410346</v>
      </c>
      <c r="B750" t="s">
        <v>4076</v>
      </c>
      <c r="C750" s="2">
        <v>44749</v>
      </c>
      <c r="D750">
        <v>1538.05</v>
      </c>
      <c r="E750">
        <v>1</v>
      </c>
      <c r="F750">
        <v>1</v>
      </c>
      <c r="G750">
        <v>1538.05</v>
      </c>
      <c r="H750">
        <v>1538.05</v>
      </c>
    </row>
    <row r="751" spans="1:8" x14ac:dyDescent="0.35">
      <c r="A751">
        <v>103410347</v>
      </c>
      <c r="B751" t="s">
        <v>4076</v>
      </c>
      <c r="C751" s="2">
        <v>44749</v>
      </c>
      <c r="D751">
        <v>1269</v>
      </c>
      <c r="E751">
        <v>1</v>
      </c>
      <c r="F751">
        <v>1</v>
      </c>
      <c r="G751">
        <v>1269</v>
      </c>
      <c r="H751">
        <v>1269</v>
      </c>
    </row>
    <row r="752" spans="1:8" x14ac:dyDescent="0.35">
      <c r="A752">
        <v>103410351</v>
      </c>
      <c r="B752" t="s">
        <v>4076</v>
      </c>
      <c r="C752" s="2">
        <v>44749</v>
      </c>
      <c r="D752">
        <v>2399</v>
      </c>
      <c r="E752">
        <v>1</v>
      </c>
      <c r="F752">
        <v>1</v>
      </c>
      <c r="G752">
        <v>2399</v>
      </c>
      <c r="H752">
        <v>2399</v>
      </c>
    </row>
    <row r="753" spans="1:8" x14ac:dyDescent="0.35">
      <c r="A753">
        <v>103410353</v>
      </c>
      <c r="B753" t="s">
        <v>4076</v>
      </c>
      <c r="C753" s="2">
        <v>44749</v>
      </c>
      <c r="D753">
        <v>4568</v>
      </c>
      <c r="E753">
        <v>2</v>
      </c>
      <c r="F753">
        <v>1</v>
      </c>
      <c r="G753">
        <v>2284</v>
      </c>
      <c r="H753">
        <v>4568</v>
      </c>
    </row>
    <row r="754" spans="1:8" x14ac:dyDescent="0.35">
      <c r="A754">
        <v>103410355</v>
      </c>
      <c r="B754" t="s">
        <v>4076</v>
      </c>
      <c r="C754" s="2">
        <v>44749</v>
      </c>
      <c r="D754">
        <v>1938</v>
      </c>
      <c r="E754">
        <v>2</v>
      </c>
      <c r="F754">
        <v>1</v>
      </c>
      <c r="G754">
        <v>969</v>
      </c>
      <c r="H754">
        <v>1938</v>
      </c>
    </row>
    <row r="755" spans="1:8" x14ac:dyDescent="0.35">
      <c r="A755">
        <v>103410370</v>
      </c>
      <c r="B755" t="s">
        <v>4076</v>
      </c>
      <c r="C755" s="2">
        <v>44749</v>
      </c>
      <c r="D755">
        <v>1234.05</v>
      </c>
      <c r="E755">
        <v>1</v>
      </c>
      <c r="F755">
        <v>1</v>
      </c>
      <c r="G755">
        <v>1234.05</v>
      </c>
      <c r="H755">
        <v>1234.05</v>
      </c>
    </row>
    <row r="756" spans="1:8" x14ac:dyDescent="0.35">
      <c r="A756">
        <v>103410383</v>
      </c>
      <c r="B756" t="s">
        <v>4076</v>
      </c>
      <c r="C756" s="2">
        <v>44749</v>
      </c>
      <c r="D756">
        <v>4511.6000000000004</v>
      </c>
      <c r="E756">
        <v>1</v>
      </c>
      <c r="F756">
        <v>1</v>
      </c>
      <c r="G756">
        <v>4511.6000000000004</v>
      </c>
      <c r="H756">
        <v>4511.6000000000004</v>
      </c>
    </row>
    <row r="757" spans="1:8" x14ac:dyDescent="0.35">
      <c r="A757">
        <v>103410384</v>
      </c>
      <c r="B757" t="s">
        <v>4076</v>
      </c>
      <c r="C757" s="2">
        <v>44749</v>
      </c>
      <c r="D757">
        <v>3108</v>
      </c>
      <c r="E757">
        <v>2</v>
      </c>
      <c r="F757">
        <v>1</v>
      </c>
      <c r="G757">
        <v>1554</v>
      </c>
      <c r="H757">
        <v>3108</v>
      </c>
    </row>
    <row r="758" spans="1:8" x14ac:dyDescent="0.35">
      <c r="A758">
        <v>103410388</v>
      </c>
      <c r="B758" t="s">
        <v>4076</v>
      </c>
      <c r="C758" s="2">
        <v>44749</v>
      </c>
      <c r="D758">
        <v>2659.05</v>
      </c>
      <c r="E758">
        <v>1</v>
      </c>
      <c r="F758">
        <v>1</v>
      </c>
      <c r="G758">
        <v>2659.05</v>
      </c>
      <c r="H758">
        <v>2659.05</v>
      </c>
    </row>
    <row r="759" spans="1:8" x14ac:dyDescent="0.35">
      <c r="A759">
        <v>103410390</v>
      </c>
      <c r="B759" t="s">
        <v>4076</v>
      </c>
      <c r="C759" s="2">
        <v>44749</v>
      </c>
      <c r="D759">
        <v>3039.05</v>
      </c>
      <c r="E759">
        <v>1</v>
      </c>
      <c r="F759">
        <v>1</v>
      </c>
      <c r="G759">
        <v>3039.05</v>
      </c>
      <c r="H759">
        <v>3039.05</v>
      </c>
    </row>
    <row r="760" spans="1:8" x14ac:dyDescent="0.35">
      <c r="A760">
        <v>103410395</v>
      </c>
      <c r="B760" t="s">
        <v>4076</v>
      </c>
      <c r="C760" s="2">
        <v>44749</v>
      </c>
      <c r="D760">
        <v>1850.6</v>
      </c>
      <c r="E760">
        <v>2</v>
      </c>
      <c r="F760">
        <v>1</v>
      </c>
      <c r="G760">
        <v>925.3</v>
      </c>
      <c r="H760">
        <v>1850.6</v>
      </c>
    </row>
    <row r="761" spans="1:8" x14ac:dyDescent="0.35">
      <c r="A761">
        <v>103410409</v>
      </c>
      <c r="B761" t="s">
        <v>4076</v>
      </c>
      <c r="C761" s="2">
        <v>44749</v>
      </c>
      <c r="D761">
        <v>2611.5500000000002</v>
      </c>
      <c r="E761">
        <v>1</v>
      </c>
      <c r="F761">
        <v>1</v>
      </c>
      <c r="G761">
        <v>2611.5500000000002</v>
      </c>
      <c r="H761">
        <v>2611.5500000000002</v>
      </c>
    </row>
    <row r="762" spans="1:8" x14ac:dyDescent="0.35">
      <c r="A762">
        <v>103410413</v>
      </c>
      <c r="B762" t="s">
        <v>4076</v>
      </c>
      <c r="C762" s="2">
        <v>44749</v>
      </c>
      <c r="D762">
        <v>1139.05</v>
      </c>
      <c r="E762">
        <v>1</v>
      </c>
      <c r="F762">
        <v>1</v>
      </c>
      <c r="G762">
        <v>1139.05</v>
      </c>
      <c r="H762">
        <v>1139.05</v>
      </c>
    </row>
    <row r="763" spans="1:8" x14ac:dyDescent="0.35">
      <c r="A763">
        <v>103410420</v>
      </c>
      <c r="B763" t="s">
        <v>4076</v>
      </c>
      <c r="C763" s="2">
        <v>44749</v>
      </c>
      <c r="D763">
        <v>550.04999999999995</v>
      </c>
      <c r="E763">
        <v>1</v>
      </c>
      <c r="F763">
        <v>1</v>
      </c>
      <c r="G763">
        <v>550.04999999999995</v>
      </c>
      <c r="H763">
        <v>550.04999999999995</v>
      </c>
    </row>
    <row r="764" spans="1:8" x14ac:dyDescent="0.35">
      <c r="A764">
        <v>103410434</v>
      </c>
      <c r="B764" t="s">
        <v>4076</v>
      </c>
      <c r="C764" s="2">
        <v>44749</v>
      </c>
      <c r="D764">
        <v>2599</v>
      </c>
      <c r="E764">
        <v>1</v>
      </c>
      <c r="F764">
        <v>1</v>
      </c>
      <c r="G764">
        <v>2599</v>
      </c>
      <c r="H764">
        <v>2599</v>
      </c>
    </row>
    <row r="765" spans="1:8" x14ac:dyDescent="0.35">
      <c r="A765">
        <v>103410438</v>
      </c>
      <c r="B765" t="s">
        <v>4076</v>
      </c>
      <c r="C765" s="2">
        <v>44749</v>
      </c>
      <c r="D765">
        <v>4799</v>
      </c>
      <c r="E765">
        <v>1</v>
      </c>
      <c r="F765">
        <v>1</v>
      </c>
      <c r="G765">
        <v>4799</v>
      </c>
      <c r="H765">
        <v>4799</v>
      </c>
    </row>
    <row r="766" spans="1:8" x14ac:dyDescent="0.35">
      <c r="A766">
        <v>103410444</v>
      </c>
      <c r="B766" t="s">
        <v>4076</v>
      </c>
      <c r="C766" s="2">
        <v>44749</v>
      </c>
      <c r="D766">
        <v>2564.14</v>
      </c>
      <c r="E766">
        <v>1</v>
      </c>
      <c r="F766">
        <v>1</v>
      </c>
      <c r="G766">
        <v>2564.14</v>
      </c>
      <c r="H766">
        <v>2564.14</v>
      </c>
    </row>
    <row r="767" spans="1:8" x14ac:dyDescent="0.35">
      <c r="A767">
        <v>103410449</v>
      </c>
      <c r="B767" t="s">
        <v>4076</v>
      </c>
      <c r="C767" s="2">
        <v>44749</v>
      </c>
      <c r="D767">
        <v>1631.72</v>
      </c>
      <c r="E767">
        <v>2</v>
      </c>
      <c r="F767">
        <v>1</v>
      </c>
      <c r="G767">
        <v>815.86</v>
      </c>
      <c r="H767">
        <v>1631.72</v>
      </c>
    </row>
    <row r="768" spans="1:8" x14ac:dyDescent="0.35">
      <c r="A768">
        <v>103410450</v>
      </c>
      <c r="B768" t="s">
        <v>4076</v>
      </c>
      <c r="C768" s="2">
        <v>44749</v>
      </c>
      <c r="D768">
        <v>635.54999999999995</v>
      </c>
      <c r="E768">
        <v>1</v>
      </c>
      <c r="F768">
        <v>1</v>
      </c>
      <c r="G768">
        <v>635.54999999999995</v>
      </c>
      <c r="H768">
        <v>635.54999999999995</v>
      </c>
    </row>
    <row r="769" spans="1:8" x14ac:dyDescent="0.35">
      <c r="A769">
        <v>103410455</v>
      </c>
      <c r="B769" t="s">
        <v>4076</v>
      </c>
      <c r="C769" s="2">
        <v>44749</v>
      </c>
      <c r="D769">
        <v>1623.55</v>
      </c>
      <c r="E769">
        <v>1</v>
      </c>
      <c r="F769">
        <v>1</v>
      </c>
      <c r="G769">
        <v>1623.55</v>
      </c>
      <c r="H769">
        <v>1623.55</v>
      </c>
    </row>
    <row r="770" spans="1:8" x14ac:dyDescent="0.35">
      <c r="A770">
        <v>103410460</v>
      </c>
      <c r="B770" t="s">
        <v>4076</v>
      </c>
      <c r="C770" s="2">
        <v>44749</v>
      </c>
      <c r="D770">
        <v>1079</v>
      </c>
      <c r="E770">
        <v>1</v>
      </c>
      <c r="F770">
        <v>1</v>
      </c>
      <c r="G770">
        <v>1079</v>
      </c>
      <c r="H770">
        <v>1079</v>
      </c>
    </row>
    <row r="771" spans="1:8" x14ac:dyDescent="0.35">
      <c r="A771">
        <v>103410467</v>
      </c>
      <c r="B771" t="s">
        <v>4076</v>
      </c>
      <c r="C771" s="2">
        <v>44749</v>
      </c>
      <c r="D771">
        <v>740.05</v>
      </c>
      <c r="E771">
        <v>1</v>
      </c>
      <c r="F771">
        <v>1</v>
      </c>
      <c r="G771">
        <v>740.05</v>
      </c>
      <c r="H771">
        <v>740.05</v>
      </c>
    </row>
    <row r="772" spans="1:8" x14ac:dyDescent="0.35">
      <c r="A772">
        <v>103410469</v>
      </c>
      <c r="B772" t="s">
        <v>4076</v>
      </c>
      <c r="C772" s="2">
        <v>44749</v>
      </c>
      <c r="D772">
        <v>2399</v>
      </c>
      <c r="E772">
        <v>1</v>
      </c>
      <c r="F772">
        <v>1</v>
      </c>
      <c r="G772">
        <v>2399</v>
      </c>
      <c r="H772">
        <v>2399</v>
      </c>
    </row>
    <row r="773" spans="1:8" x14ac:dyDescent="0.35">
      <c r="A773">
        <v>103410480</v>
      </c>
      <c r="B773" t="s">
        <v>4076</v>
      </c>
      <c r="C773" s="2">
        <v>44749</v>
      </c>
      <c r="D773">
        <v>2499</v>
      </c>
      <c r="E773">
        <v>1</v>
      </c>
      <c r="F773">
        <v>1</v>
      </c>
      <c r="G773">
        <v>2499</v>
      </c>
      <c r="H773">
        <v>2499</v>
      </c>
    </row>
    <row r="774" spans="1:8" x14ac:dyDescent="0.35">
      <c r="A774">
        <v>103410481</v>
      </c>
      <c r="B774" t="s">
        <v>4076</v>
      </c>
      <c r="C774" s="2">
        <v>44749</v>
      </c>
      <c r="D774">
        <v>749</v>
      </c>
      <c r="E774">
        <v>1</v>
      </c>
      <c r="F774">
        <v>1</v>
      </c>
      <c r="G774">
        <v>749</v>
      </c>
      <c r="H774">
        <v>749</v>
      </c>
    </row>
    <row r="775" spans="1:8" x14ac:dyDescent="0.35">
      <c r="A775">
        <v>103410489</v>
      </c>
      <c r="B775" t="s">
        <v>4076</v>
      </c>
      <c r="C775" s="2">
        <v>44749</v>
      </c>
      <c r="D775">
        <v>1424.05</v>
      </c>
      <c r="E775">
        <v>1</v>
      </c>
      <c r="F775">
        <v>1</v>
      </c>
      <c r="G775">
        <v>1424.05</v>
      </c>
      <c r="H775">
        <v>1424.05</v>
      </c>
    </row>
    <row r="776" spans="1:8" x14ac:dyDescent="0.35">
      <c r="A776">
        <v>103410490</v>
      </c>
      <c r="B776" t="s">
        <v>4076</v>
      </c>
      <c r="C776" s="2">
        <v>44749</v>
      </c>
      <c r="D776">
        <v>2777.89</v>
      </c>
      <c r="E776">
        <v>1</v>
      </c>
      <c r="F776">
        <v>1</v>
      </c>
      <c r="G776">
        <v>2777.89</v>
      </c>
      <c r="H776">
        <v>2777.89</v>
      </c>
    </row>
    <row r="777" spans="1:8" x14ac:dyDescent="0.35">
      <c r="A777">
        <v>103410496</v>
      </c>
      <c r="B777" t="s">
        <v>4076</v>
      </c>
      <c r="C777" s="2">
        <v>44749</v>
      </c>
      <c r="D777">
        <v>521.54999999999995</v>
      </c>
      <c r="E777">
        <v>1</v>
      </c>
      <c r="F777">
        <v>1</v>
      </c>
      <c r="G777">
        <v>521.54999999999995</v>
      </c>
      <c r="H777">
        <v>521.54999999999995</v>
      </c>
    </row>
    <row r="778" spans="1:8" x14ac:dyDescent="0.35">
      <c r="A778">
        <v>103410502</v>
      </c>
      <c r="B778" t="s">
        <v>4076</v>
      </c>
      <c r="C778" s="2">
        <v>44749</v>
      </c>
      <c r="D778">
        <v>2817</v>
      </c>
      <c r="E778">
        <v>3</v>
      </c>
      <c r="F778">
        <v>1</v>
      </c>
      <c r="G778">
        <v>939</v>
      </c>
      <c r="H778">
        <v>2817</v>
      </c>
    </row>
    <row r="779" spans="1:8" x14ac:dyDescent="0.35">
      <c r="A779">
        <v>103410506</v>
      </c>
      <c r="B779" t="s">
        <v>4076</v>
      </c>
      <c r="C779" s="2">
        <v>44749</v>
      </c>
      <c r="D779">
        <v>4939.05</v>
      </c>
      <c r="E779">
        <v>1</v>
      </c>
      <c r="F779">
        <v>1</v>
      </c>
      <c r="G779">
        <v>4939.05</v>
      </c>
      <c r="H779">
        <v>4939.05</v>
      </c>
    </row>
    <row r="780" spans="1:8" x14ac:dyDescent="0.35">
      <c r="A780">
        <v>103410513</v>
      </c>
      <c r="B780" t="s">
        <v>4076</v>
      </c>
      <c r="C780" s="2">
        <v>44749</v>
      </c>
      <c r="D780">
        <v>2699.25</v>
      </c>
      <c r="E780">
        <v>1</v>
      </c>
      <c r="F780">
        <v>1</v>
      </c>
      <c r="G780">
        <v>2699.25</v>
      </c>
      <c r="H780">
        <v>2699.25</v>
      </c>
    </row>
    <row r="781" spans="1:8" x14ac:dyDescent="0.35">
      <c r="A781">
        <v>103410515</v>
      </c>
      <c r="B781" t="s">
        <v>4076</v>
      </c>
      <c r="C781" s="2">
        <v>44749</v>
      </c>
      <c r="D781">
        <v>1172.3499999999999</v>
      </c>
      <c r="E781">
        <v>1</v>
      </c>
      <c r="F781">
        <v>1</v>
      </c>
      <c r="G781">
        <v>1172.3499999999999</v>
      </c>
      <c r="H781">
        <v>1172.3499999999999</v>
      </c>
    </row>
    <row r="782" spans="1:8" x14ac:dyDescent="0.35">
      <c r="A782">
        <v>103410519</v>
      </c>
      <c r="B782" t="s">
        <v>4076</v>
      </c>
      <c r="C782" s="2">
        <v>44749</v>
      </c>
      <c r="D782">
        <v>969</v>
      </c>
      <c r="E782">
        <v>1</v>
      </c>
      <c r="F782">
        <v>1</v>
      </c>
      <c r="G782">
        <v>969</v>
      </c>
      <c r="H782">
        <v>969</v>
      </c>
    </row>
    <row r="783" spans="1:8" x14ac:dyDescent="0.35">
      <c r="A783">
        <v>103410531</v>
      </c>
      <c r="B783" t="s">
        <v>4076</v>
      </c>
      <c r="C783" s="2">
        <v>44749</v>
      </c>
      <c r="D783">
        <v>4199</v>
      </c>
      <c r="E783">
        <v>1</v>
      </c>
      <c r="F783">
        <v>1</v>
      </c>
      <c r="G783">
        <v>4199</v>
      </c>
      <c r="H783">
        <v>4199</v>
      </c>
    </row>
    <row r="784" spans="1:8" x14ac:dyDescent="0.35">
      <c r="A784">
        <v>103410534</v>
      </c>
      <c r="B784" t="s">
        <v>4076</v>
      </c>
      <c r="C784" s="2">
        <v>44749</v>
      </c>
      <c r="D784">
        <v>1880.14</v>
      </c>
      <c r="E784">
        <v>1</v>
      </c>
      <c r="F784">
        <v>1</v>
      </c>
      <c r="G784">
        <v>1880.14</v>
      </c>
      <c r="H784">
        <v>1880.14</v>
      </c>
    </row>
    <row r="785" spans="1:8" x14ac:dyDescent="0.35">
      <c r="A785">
        <v>103410539</v>
      </c>
      <c r="B785" t="s">
        <v>4076</v>
      </c>
      <c r="C785" s="2">
        <v>44749</v>
      </c>
      <c r="D785">
        <v>6564.69</v>
      </c>
      <c r="E785">
        <v>2</v>
      </c>
      <c r="F785">
        <v>1</v>
      </c>
      <c r="G785">
        <v>3282.3449999999998</v>
      </c>
      <c r="H785">
        <v>6564.69</v>
      </c>
    </row>
    <row r="786" spans="1:8" x14ac:dyDescent="0.35">
      <c r="A786">
        <v>103410545</v>
      </c>
      <c r="B786" t="s">
        <v>4076</v>
      </c>
      <c r="C786" s="2">
        <v>44749</v>
      </c>
      <c r="D786">
        <v>3134.05</v>
      </c>
      <c r="E786">
        <v>1</v>
      </c>
      <c r="F786">
        <v>1</v>
      </c>
      <c r="G786">
        <v>3134.05</v>
      </c>
      <c r="H786">
        <v>3134.05</v>
      </c>
    </row>
    <row r="787" spans="1:8" x14ac:dyDescent="0.35">
      <c r="A787">
        <v>103410549</v>
      </c>
      <c r="B787" t="s">
        <v>4076</v>
      </c>
      <c r="C787" s="2">
        <v>44749</v>
      </c>
      <c r="D787">
        <v>2199</v>
      </c>
      <c r="E787">
        <v>1</v>
      </c>
      <c r="F787">
        <v>1</v>
      </c>
      <c r="G787">
        <v>2199</v>
      </c>
      <c r="H787">
        <v>2199</v>
      </c>
    </row>
    <row r="788" spans="1:8" x14ac:dyDescent="0.35">
      <c r="A788">
        <v>103410554</v>
      </c>
      <c r="B788" t="s">
        <v>4076</v>
      </c>
      <c r="C788" s="2">
        <v>44749</v>
      </c>
      <c r="D788">
        <v>1679</v>
      </c>
      <c r="E788">
        <v>1</v>
      </c>
      <c r="F788">
        <v>1</v>
      </c>
      <c r="G788">
        <v>1679</v>
      </c>
      <c r="H788">
        <v>1679</v>
      </c>
    </row>
    <row r="789" spans="1:8" x14ac:dyDescent="0.35">
      <c r="A789">
        <v>103410558</v>
      </c>
      <c r="B789" t="s">
        <v>4076</v>
      </c>
      <c r="C789" s="2">
        <v>44749</v>
      </c>
      <c r="D789">
        <v>2659.05</v>
      </c>
      <c r="E789">
        <v>1</v>
      </c>
      <c r="F789">
        <v>1</v>
      </c>
      <c r="G789">
        <v>2659.05</v>
      </c>
      <c r="H789">
        <v>2659.05</v>
      </c>
    </row>
    <row r="790" spans="1:8" x14ac:dyDescent="0.35">
      <c r="A790">
        <v>103410560</v>
      </c>
      <c r="B790" t="s">
        <v>4076</v>
      </c>
      <c r="C790" s="2">
        <v>44749</v>
      </c>
      <c r="D790">
        <v>2378</v>
      </c>
      <c r="E790">
        <v>2</v>
      </c>
      <c r="F790">
        <v>1</v>
      </c>
      <c r="G790">
        <v>1189</v>
      </c>
      <c r="H790">
        <v>2378</v>
      </c>
    </row>
    <row r="791" spans="1:8" x14ac:dyDescent="0.35">
      <c r="A791">
        <v>103410561</v>
      </c>
      <c r="B791" t="s">
        <v>4076</v>
      </c>
      <c r="C791" s="2">
        <v>44749</v>
      </c>
      <c r="D791">
        <v>4102.29</v>
      </c>
      <c r="E791">
        <v>2</v>
      </c>
      <c r="F791">
        <v>1</v>
      </c>
      <c r="G791">
        <v>2051.145</v>
      </c>
      <c r="H791">
        <v>4102.29</v>
      </c>
    </row>
    <row r="792" spans="1:8" x14ac:dyDescent="0.35">
      <c r="A792">
        <v>103410565</v>
      </c>
      <c r="B792" t="s">
        <v>4076</v>
      </c>
      <c r="C792" s="2">
        <v>44749</v>
      </c>
      <c r="D792">
        <v>521.54999999999995</v>
      </c>
      <c r="E792">
        <v>1</v>
      </c>
      <c r="F792">
        <v>1</v>
      </c>
      <c r="G792">
        <v>521.54999999999995</v>
      </c>
      <c r="H792">
        <v>521.54999999999995</v>
      </c>
    </row>
    <row r="793" spans="1:8" x14ac:dyDescent="0.35">
      <c r="A793">
        <v>103410568</v>
      </c>
      <c r="B793" t="s">
        <v>4076</v>
      </c>
      <c r="C793" s="2">
        <v>44749</v>
      </c>
      <c r="D793">
        <v>597.64</v>
      </c>
      <c r="E793">
        <v>1</v>
      </c>
      <c r="F793">
        <v>1</v>
      </c>
      <c r="G793">
        <v>597.64</v>
      </c>
      <c r="H793">
        <v>597.64</v>
      </c>
    </row>
    <row r="794" spans="1:8" x14ac:dyDescent="0.35">
      <c r="A794">
        <v>103410589</v>
      </c>
      <c r="B794" t="s">
        <v>4076</v>
      </c>
      <c r="C794" s="2">
        <v>44749</v>
      </c>
      <c r="D794">
        <v>946.72</v>
      </c>
      <c r="E794">
        <v>1</v>
      </c>
      <c r="F794">
        <v>1</v>
      </c>
      <c r="G794">
        <v>946.72</v>
      </c>
      <c r="H794">
        <v>946.72</v>
      </c>
    </row>
    <row r="795" spans="1:8" x14ac:dyDescent="0.35">
      <c r="A795">
        <v>103410592</v>
      </c>
      <c r="B795" t="s">
        <v>4076</v>
      </c>
      <c r="C795" s="2">
        <v>44749</v>
      </c>
      <c r="D795">
        <v>825.55</v>
      </c>
      <c r="E795">
        <v>1</v>
      </c>
      <c r="F795">
        <v>1</v>
      </c>
      <c r="G795">
        <v>825.55</v>
      </c>
      <c r="H795">
        <v>825.55</v>
      </c>
    </row>
    <row r="796" spans="1:8" x14ac:dyDescent="0.35">
      <c r="A796">
        <v>103410594</v>
      </c>
      <c r="B796" t="s">
        <v>4076</v>
      </c>
      <c r="C796" s="2">
        <v>44749</v>
      </c>
      <c r="D796">
        <v>759.05</v>
      </c>
      <c r="E796">
        <v>1</v>
      </c>
      <c r="F796">
        <v>1</v>
      </c>
      <c r="G796">
        <v>759.05</v>
      </c>
      <c r="H796">
        <v>759.05</v>
      </c>
    </row>
    <row r="797" spans="1:8" x14ac:dyDescent="0.35">
      <c r="A797">
        <v>103410596</v>
      </c>
      <c r="B797" t="s">
        <v>4076</v>
      </c>
      <c r="C797" s="2">
        <v>44749</v>
      </c>
      <c r="D797">
        <v>1262.5999999999999</v>
      </c>
      <c r="E797">
        <v>1</v>
      </c>
      <c r="F797">
        <v>1</v>
      </c>
      <c r="G797">
        <v>1262.5999999999999</v>
      </c>
      <c r="H797">
        <v>1262.5999999999999</v>
      </c>
    </row>
    <row r="798" spans="1:8" x14ac:dyDescent="0.35">
      <c r="A798">
        <v>103410597</v>
      </c>
      <c r="B798" t="s">
        <v>4076</v>
      </c>
      <c r="C798" s="2">
        <v>44749</v>
      </c>
      <c r="D798">
        <v>2527</v>
      </c>
      <c r="E798">
        <v>3</v>
      </c>
      <c r="F798">
        <v>1</v>
      </c>
      <c r="G798">
        <v>842.33333333333303</v>
      </c>
      <c r="H798">
        <v>2527</v>
      </c>
    </row>
    <row r="799" spans="1:8" x14ac:dyDescent="0.35">
      <c r="A799">
        <v>103410603</v>
      </c>
      <c r="B799" t="s">
        <v>4076</v>
      </c>
      <c r="C799" s="2">
        <v>44749</v>
      </c>
      <c r="D799">
        <v>899</v>
      </c>
      <c r="E799">
        <v>1</v>
      </c>
      <c r="F799">
        <v>1</v>
      </c>
      <c r="G799">
        <v>899</v>
      </c>
      <c r="H799">
        <v>899</v>
      </c>
    </row>
    <row r="800" spans="1:8" x14ac:dyDescent="0.35">
      <c r="A800">
        <v>103410605</v>
      </c>
      <c r="B800" t="s">
        <v>4076</v>
      </c>
      <c r="C800" s="2">
        <v>44749</v>
      </c>
      <c r="D800">
        <v>4994.1499999999996</v>
      </c>
      <c r="E800">
        <v>3</v>
      </c>
      <c r="F800">
        <v>1</v>
      </c>
      <c r="G800">
        <v>1664.7166666666601</v>
      </c>
      <c r="H800">
        <v>4994.1499999999996</v>
      </c>
    </row>
    <row r="801" spans="1:8" x14ac:dyDescent="0.35">
      <c r="A801">
        <v>103410619</v>
      </c>
      <c r="B801" t="s">
        <v>4076</v>
      </c>
      <c r="C801" s="2">
        <v>44749</v>
      </c>
      <c r="D801">
        <v>3248.1</v>
      </c>
      <c r="E801">
        <v>1</v>
      </c>
      <c r="F801">
        <v>1</v>
      </c>
      <c r="G801">
        <v>3248.1</v>
      </c>
      <c r="H801">
        <v>3248.1</v>
      </c>
    </row>
    <row r="802" spans="1:8" x14ac:dyDescent="0.35">
      <c r="A802">
        <v>103410628</v>
      </c>
      <c r="B802" t="s">
        <v>4076</v>
      </c>
      <c r="C802" s="2">
        <v>44749</v>
      </c>
      <c r="D802">
        <v>3989.05</v>
      </c>
      <c r="E802">
        <v>1</v>
      </c>
      <c r="F802">
        <v>1</v>
      </c>
      <c r="G802">
        <v>3989.05</v>
      </c>
      <c r="H802">
        <v>3989.05</v>
      </c>
    </row>
    <row r="803" spans="1:8" x14ac:dyDescent="0.35">
      <c r="A803">
        <v>103410630</v>
      </c>
      <c r="B803" t="s">
        <v>4076</v>
      </c>
      <c r="C803" s="2">
        <v>44749</v>
      </c>
      <c r="D803">
        <v>2350.39</v>
      </c>
      <c r="E803">
        <v>1</v>
      </c>
      <c r="F803">
        <v>1</v>
      </c>
      <c r="G803">
        <v>2350.39</v>
      </c>
      <c r="H803">
        <v>2350.39</v>
      </c>
    </row>
    <row r="804" spans="1:8" x14ac:dyDescent="0.35">
      <c r="A804">
        <v>103410634</v>
      </c>
      <c r="B804" t="s">
        <v>4076</v>
      </c>
      <c r="C804" s="2">
        <v>44749</v>
      </c>
      <c r="D804">
        <v>550.04999999999995</v>
      </c>
      <c r="E804">
        <v>1</v>
      </c>
      <c r="F804">
        <v>1</v>
      </c>
      <c r="G804">
        <v>550.04999999999995</v>
      </c>
      <c r="H804">
        <v>550.04999999999995</v>
      </c>
    </row>
    <row r="805" spans="1:8" x14ac:dyDescent="0.35">
      <c r="A805">
        <v>103410640</v>
      </c>
      <c r="B805" t="s">
        <v>4076</v>
      </c>
      <c r="C805" s="2">
        <v>44749</v>
      </c>
      <c r="D805">
        <v>1984.6</v>
      </c>
      <c r="E805">
        <v>1</v>
      </c>
      <c r="F805">
        <v>1</v>
      </c>
      <c r="G805">
        <v>1984.6</v>
      </c>
      <c r="H805">
        <v>1984.6</v>
      </c>
    </row>
    <row r="806" spans="1:8" x14ac:dyDescent="0.35">
      <c r="A806">
        <v>103410652</v>
      </c>
      <c r="B806" t="s">
        <v>4076</v>
      </c>
      <c r="C806" s="2">
        <v>44749</v>
      </c>
      <c r="D806">
        <v>3989.05</v>
      </c>
      <c r="E806">
        <v>1</v>
      </c>
      <c r="F806">
        <v>1</v>
      </c>
      <c r="G806">
        <v>3989.05</v>
      </c>
      <c r="H806">
        <v>3989.05</v>
      </c>
    </row>
    <row r="807" spans="1:8" x14ac:dyDescent="0.35">
      <c r="A807">
        <v>103410653</v>
      </c>
      <c r="B807" t="s">
        <v>4076</v>
      </c>
      <c r="C807" s="2">
        <v>44749</v>
      </c>
      <c r="D807">
        <v>1348</v>
      </c>
      <c r="E807">
        <v>2</v>
      </c>
      <c r="F807">
        <v>1</v>
      </c>
      <c r="G807">
        <v>674</v>
      </c>
      <c r="H807">
        <v>1348</v>
      </c>
    </row>
    <row r="808" spans="1:8" x14ac:dyDescent="0.35">
      <c r="A808">
        <v>103410654</v>
      </c>
      <c r="B808" t="s">
        <v>4076</v>
      </c>
      <c r="C808" s="2">
        <v>44749</v>
      </c>
      <c r="D808">
        <v>2991.55</v>
      </c>
      <c r="E808">
        <v>1</v>
      </c>
      <c r="F808">
        <v>1</v>
      </c>
      <c r="G808">
        <v>2991.55</v>
      </c>
      <c r="H808">
        <v>2991.55</v>
      </c>
    </row>
    <row r="809" spans="1:8" x14ac:dyDescent="0.35">
      <c r="A809">
        <v>103410659</v>
      </c>
      <c r="B809" t="s">
        <v>4076</v>
      </c>
      <c r="C809" s="2">
        <v>44749</v>
      </c>
      <c r="D809">
        <v>2199</v>
      </c>
      <c r="E809">
        <v>1</v>
      </c>
      <c r="F809">
        <v>1</v>
      </c>
      <c r="G809">
        <v>2199</v>
      </c>
      <c r="H809">
        <v>2199</v>
      </c>
    </row>
    <row r="810" spans="1:8" x14ac:dyDescent="0.35">
      <c r="A810">
        <v>103410660</v>
      </c>
      <c r="B810" t="s">
        <v>4076</v>
      </c>
      <c r="C810" s="2">
        <v>44749</v>
      </c>
      <c r="D810">
        <v>419</v>
      </c>
      <c r="E810">
        <v>1</v>
      </c>
      <c r="F810">
        <v>1</v>
      </c>
      <c r="G810">
        <v>419</v>
      </c>
      <c r="H810">
        <v>419</v>
      </c>
    </row>
    <row r="811" spans="1:8" x14ac:dyDescent="0.35">
      <c r="A811">
        <v>103410663</v>
      </c>
      <c r="B811" t="s">
        <v>4076</v>
      </c>
      <c r="C811" s="2">
        <v>44749</v>
      </c>
      <c r="D811">
        <v>2749</v>
      </c>
      <c r="E811">
        <v>1</v>
      </c>
      <c r="F811">
        <v>1</v>
      </c>
      <c r="G811">
        <v>2749</v>
      </c>
      <c r="H811">
        <v>2749</v>
      </c>
    </row>
    <row r="812" spans="1:8" x14ac:dyDescent="0.35">
      <c r="A812">
        <v>103410670</v>
      </c>
      <c r="B812" t="s">
        <v>4076</v>
      </c>
      <c r="C812" s="2">
        <v>44749</v>
      </c>
      <c r="D812">
        <v>673.55</v>
      </c>
      <c r="E812">
        <v>1</v>
      </c>
      <c r="F812">
        <v>1</v>
      </c>
      <c r="G812">
        <v>673.55</v>
      </c>
      <c r="H812">
        <v>673.55</v>
      </c>
    </row>
    <row r="813" spans="1:8" x14ac:dyDescent="0.35">
      <c r="A813">
        <v>103410674</v>
      </c>
      <c r="B813" t="s">
        <v>4076</v>
      </c>
      <c r="C813" s="2">
        <v>44749</v>
      </c>
      <c r="D813">
        <v>969</v>
      </c>
      <c r="E813">
        <v>1</v>
      </c>
      <c r="F813">
        <v>1</v>
      </c>
      <c r="G813">
        <v>969</v>
      </c>
      <c r="H813">
        <v>969</v>
      </c>
    </row>
    <row r="814" spans="1:8" x14ac:dyDescent="0.35">
      <c r="A814">
        <v>103410682</v>
      </c>
      <c r="B814" t="s">
        <v>4076</v>
      </c>
      <c r="C814" s="2">
        <v>44749</v>
      </c>
      <c r="D814">
        <v>1424.05</v>
      </c>
      <c r="E814">
        <v>1</v>
      </c>
      <c r="F814">
        <v>1</v>
      </c>
      <c r="G814">
        <v>1424.05</v>
      </c>
      <c r="H814">
        <v>1424.05</v>
      </c>
    </row>
    <row r="815" spans="1:8" x14ac:dyDescent="0.35">
      <c r="A815">
        <v>103410683</v>
      </c>
      <c r="B815" t="s">
        <v>4076</v>
      </c>
      <c r="C815" s="2">
        <v>44749</v>
      </c>
      <c r="D815">
        <v>3474.1499999999901</v>
      </c>
      <c r="E815">
        <v>3</v>
      </c>
      <c r="F815">
        <v>1</v>
      </c>
      <c r="G815">
        <v>1158.05</v>
      </c>
      <c r="H815">
        <v>3474.1499999999901</v>
      </c>
    </row>
    <row r="816" spans="1:8" x14ac:dyDescent="0.35">
      <c r="A816">
        <v>103410684</v>
      </c>
      <c r="B816" t="s">
        <v>4076</v>
      </c>
      <c r="C816" s="2">
        <v>44749</v>
      </c>
      <c r="D816">
        <v>3499</v>
      </c>
      <c r="E816">
        <v>1</v>
      </c>
      <c r="F816">
        <v>1</v>
      </c>
      <c r="G816">
        <v>3499</v>
      </c>
      <c r="H816">
        <v>3499</v>
      </c>
    </row>
    <row r="817" spans="1:8" x14ac:dyDescent="0.35">
      <c r="A817">
        <v>103410688</v>
      </c>
      <c r="B817" t="s">
        <v>4076</v>
      </c>
      <c r="C817" s="2">
        <v>44749</v>
      </c>
      <c r="D817">
        <v>3569</v>
      </c>
      <c r="E817">
        <v>1</v>
      </c>
      <c r="F817">
        <v>1</v>
      </c>
      <c r="G817">
        <v>3569</v>
      </c>
      <c r="H817">
        <v>3569</v>
      </c>
    </row>
    <row r="818" spans="1:8" x14ac:dyDescent="0.35">
      <c r="A818">
        <v>103410690</v>
      </c>
      <c r="B818" t="s">
        <v>4076</v>
      </c>
      <c r="C818" s="2">
        <v>44749</v>
      </c>
      <c r="D818">
        <v>4178.1000000000004</v>
      </c>
      <c r="E818">
        <v>2</v>
      </c>
      <c r="F818">
        <v>1</v>
      </c>
      <c r="G818">
        <v>2089.0500000000002</v>
      </c>
      <c r="H818">
        <v>4178.1000000000004</v>
      </c>
    </row>
    <row r="819" spans="1:8" x14ac:dyDescent="0.35">
      <c r="A819">
        <v>103410691</v>
      </c>
      <c r="B819" t="s">
        <v>4076</v>
      </c>
      <c r="C819" s="2">
        <v>44749</v>
      </c>
      <c r="D819">
        <v>799</v>
      </c>
      <c r="E819">
        <v>1</v>
      </c>
      <c r="F819">
        <v>1</v>
      </c>
      <c r="G819">
        <v>799</v>
      </c>
      <c r="H819">
        <v>799</v>
      </c>
    </row>
    <row r="820" spans="1:8" x14ac:dyDescent="0.35">
      <c r="A820">
        <v>103410697</v>
      </c>
      <c r="B820" t="s">
        <v>4076</v>
      </c>
      <c r="C820" s="2">
        <v>44749</v>
      </c>
      <c r="D820">
        <v>768.55</v>
      </c>
      <c r="E820">
        <v>1</v>
      </c>
      <c r="F820">
        <v>1</v>
      </c>
      <c r="G820">
        <v>768.55</v>
      </c>
      <c r="H820">
        <v>768.55</v>
      </c>
    </row>
    <row r="821" spans="1:8" x14ac:dyDescent="0.35">
      <c r="A821">
        <v>103410699</v>
      </c>
      <c r="B821" t="s">
        <v>4076</v>
      </c>
      <c r="C821" s="2">
        <v>44749</v>
      </c>
      <c r="D821">
        <v>14367.8</v>
      </c>
      <c r="E821">
        <v>6</v>
      </c>
      <c r="F821">
        <v>1</v>
      </c>
      <c r="G821">
        <v>2394.63333333333</v>
      </c>
      <c r="H821">
        <v>14367.8</v>
      </c>
    </row>
    <row r="822" spans="1:8" x14ac:dyDescent="0.35">
      <c r="A822">
        <v>103410704</v>
      </c>
      <c r="B822" t="s">
        <v>4076</v>
      </c>
      <c r="C822" s="2">
        <v>44749</v>
      </c>
      <c r="D822">
        <v>1199</v>
      </c>
      <c r="E822">
        <v>1</v>
      </c>
      <c r="F822">
        <v>1</v>
      </c>
      <c r="G822">
        <v>1199</v>
      </c>
      <c r="H822">
        <v>1199</v>
      </c>
    </row>
    <row r="823" spans="1:8" x14ac:dyDescent="0.35">
      <c r="A823">
        <v>103410706</v>
      </c>
      <c r="B823" t="s">
        <v>4076</v>
      </c>
      <c r="C823" s="2">
        <v>44749</v>
      </c>
      <c r="D823">
        <v>701.1</v>
      </c>
      <c r="E823">
        <v>1</v>
      </c>
      <c r="F823">
        <v>1</v>
      </c>
      <c r="G823">
        <v>701.1</v>
      </c>
      <c r="H823">
        <v>701.1</v>
      </c>
    </row>
    <row r="824" spans="1:8" x14ac:dyDescent="0.35">
      <c r="A824">
        <v>103410708</v>
      </c>
      <c r="B824" t="s">
        <v>4076</v>
      </c>
      <c r="C824" s="2">
        <v>44749</v>
      </c>
      <c r="D824">
        <v>1129.55</v>
      </c>
      <c r="E824">
        <v>1</v>
      </c>
      <c r="F824">
        <v>1</v>
      </c>
      <c r="G824">
        <v>1129.55</v>
      </c>
      <c r="H824">
        <v>1129.55</v>
      </c>
    </row>
    <row r="825" spans="1:8" x14ac:dyDescent="0.35">
      <c r="A825">
        <v>103410720</v>
      </c>
      <c r="B825" t="s">
        <v>4076</v>
      </c>
      <c r="C825" s="2">
        <v>44749</v>
      </c>
      <c r="D825">
        <v>1424.05</v>
      </c>
      <c r="E825">
        <v>1</v>
      </c>
      <c r="F825">
        <v>1</v>
      </c>
      <c r="G825">
        <v>1424.05</v>
      </c>
      <c r="H825">
        <v>1424.05</v>
      </c>
    </row>
    <row r="826" spans="1:8" x14ac:dyDescent="0.35">
      <c r="A826">
        <v>103410724</v>
      </c>
      <c r="B826" t="s">
        <v>4076</v>
      </c>
      <c r="C826" s="2">
        <v>44749</v>
      </c>
      <c r="D826">
        <v>1281.55</v>
      </c>
      <c r="E826">
        <v>1</v>
      </c>
      <c r="F826">
        <v>1</v>
      </c>
      <c r="G826">
        <v>1281.55</v>
      </c>
      <c r="H826">
        <v>1281.55</v>
      </c>
    </row>
    <row r="827" spans="1:8" x14ac:dyDescent="0.35">
      <c r="A827">
        <v>103410725</v>
      </c>
      <c r="B827" t="s">
        <v>4076</v>
      </c>
      <c r="C827" s="2">
        <v>44749</v>
      </c>
      <c r="D827">
        <v>449</v>
      </c>
      <c r="E827">
        <v>1</v>
      </c>
      <c r="F827">
        <v>1</v>
      </c>
      <c r="G827">
        <v>449</v>
      </c>
      <c r="H827">
        <v>449</v>
      </c>
    </row>
    <row r="828" spans="1:8" x14ac:dyDescent="0.35">
      <c r="A828">
        <v>103410728</v>
      </c>
      <c r="B828" t="s">
        <v>4076</v>
      </c>
      <c r="C828" s="2">
        <v>44749</v>
      </c>
      <c r="D828">
        <v>2249.6</v>
      </c>
      <c r="E828">
        <v>2</v>
      </c>
      <c r="F828">
        <v>1</v>
      </c>
      <c r="G828">
        <v>1124.8</v>
      </c>
      <c r="H828">
        <v>2249.6</v>
      </c>
    </row>
    <row r="829" spans="1:8" x14ac:dyDescent="0.35">
      <c r="A829">
        <v>103410732</v>
      </c>
      <c r="B829" t="s">
        <v>4076</v>
      </c>
      <c r="C829" s="2">
        <v>44749</v>
      </c>
      <c r="D829">
        <v>549</v>
      </c>
      <c r="E829">
        <v>1</v>
      </c>
      <c r="F829">
        <v>1</v>
      </c>
      <c r="G829">
        <v>549</v>
      </c>
      <c r="H829">
        <v>549</v>
      </c>
    </row>
    <row r="830" spans="1:8" x14ac:dyDescent="0.35">
      <c r="A830">
        <v>103410733</v>
      </c>
      <c r="B830" t="s">
        <v>4076</v>
      </c>
      <c r="C830" s="2">
        <v>44749</v>
      </c>
      <c r="D830">
        <v>2699.25</v>
      </c>
      <c r="E830">
        <v>1</v>
      </c>
      <c r="F830">
        <v>1</v>
      </c>
      <c r="G830">
        <v>2699.25</v>
      </c>
      <c r="H830">
        <v>2699.25</v>
      </c>
    </row>
    <row r="831" spans="1:8" x14ac:dyDescent="0.35">
      <c r="A831">
        <v>103410742</v>
      </c>
      <c r="B831" t="s">
        <v>4076</v>
      </c>
      <c r="C831" s="2">
        <v>44749</v>
      </c>
      <c r="D831">
        <v>3704.05</v>
      </c>
      <c r="E831">
        <v>1</v>
      </c>
      <c r="F831">
        <v>1</v>
      </c>
      <c r="G831">
        <v>3704.05</v>
      </c>
      <c r="H831">
        <v>3704.05</v>
      </c>
    </row>
    <row r="832" spans="1:8" x14ac:dyDescent="0.35">
      <c r="A832">
        <v>103410745</v>
      </c>
      <c r="B832" t="s">
        <v>4076</v>
      </c>
      <c r="C832" s="2">
        <v>44749</v>
      </c>
      <c r="D832">
        <v>3418.1</v>
      </c>
      <c r="E832">
        <v>2</v>
      </c>
      <c r="F832">
        <v>1</v>
      </c>
      <c r="G832">
        <v>1709.05</v>
      </c>
      <c r="H832">
        <v>3418.1</v>
      </c>
    </row>
    <row r="833" spans="1:8" x14ac:dyDescent="0.35">
      <c r="A833">
        <v>103410746</v>
      </c>
      <c r="B833" t="s">
        <v>4076</v>
      </c>
      <c r="C833" s="2">
        <v>44749</v>
      </c>
      <c r="D833">
        <v>4244.6000000000004</v>
      </c>
      <c r="E833">
        <v>2</v>
      </c>
      <c r="F833">
        <v>1</v>
      </c>
      <c r="G833">
        <v>2122.3000000000002</v>
      </c>
      <c r="H833">
        <v>4244.6000000000004</v>
      </c>
    </row>
    <row r="834" spans="1:8" x14ac:dyDescent="0.35">
      <c r="A834">
        <v>103410755</v>
      </c>
      <c r="B834" t="s">
        <v>4076</v>
      </c>
      <c r="C834" s="2">
        <v>44749</v>
      </c>
      <c r="D834">
        <v>4872.6000000000004</v>
      </c>
      <c r="E834">
        <v>1</v>
      </c>
      <c r="F834">
        <v>1</v>
      </c>
      <c r="G834">
        <v>4872.6000000000004</v>
      </c>
      <c r="H834">
        <v>4872.6000000000004</v>
      </c>
    </row>
    <row r="835" spans="1:8" x14ac:dyDescent="0.35">
      <c r="A835">
        <v>103410757</v>
      </c>
      <c r="B835" t="s">
        <v>4076</v>
      </c>
      <c r="C835" s="2">
        <v>44749</v>
      </c>
      <c r="D835">
        <v>489</v>
      </c>
      <c r="E835">
        <v>1</v>
      </c>
      <c r="F835">
        <v>1</v>
      </c>
      <c r="G835">
        <v>489</v>
      </c>
      <c r="H835">
        <v>489</v>
      </c>
    </row>
    <row r="836" spans="1:8" x14ac:dyDescent="0.35">
      <c r="A836">
        <v>103410762</v>
      </c>
      <c r="B836" t="s">
        <v>4076</v>
      </c>
      <c r="C836" s="2">
        <v>44749</v>
      </c>
      <c r="D836">
        <v>3149</v>
      </c>
      <c r="E836">
        <v>1</v>
      </c>
      <c r="F836">
        <v>1</v>
      </c>
      <c r="G836">
        <v>3149</v>
      </c>
      <c r="H836">
        <v>3149</v>
      </c>
    </row>
    <row r="837" spans="1:8" x14ac:dyDescent="0.35">
      <c r="A837">
        <v>103410765</v>
      </c>
      <c r="B837" t="s">
        <v>4076</v>
      </c>
      <c r="C837" s="2">
        <v>44749</v>
      </c>
      <c r="D837">
        <v>1439</v>
      </c>
      <c r="E837">
        <v>1</v>
      </c>
      <c r="F837">
        <v>1</v>
      </c>
      <c r="G837">
        <v>1439</v>
      </c>
      <c r="H837">
        <v>1439</v>
      </c>
    </row>
    <row r="838" spans="1:8" x14ac:dyDescent="0.35">
      <c r="A838">
        <v>103410774</v>
      </c>
      <c r="B838" t="s">
        <v>4076</v>
      </c>
      <c r="C838" s="2">
        <v>44749</v>
      </c>
      <c r="D838">
        <v>987.05</v>
      </c>
      <c r="E838">
        <v>1</v>
      </c>
      <c r="F838">
        <v>1</v>
      </c>
      <c r="G838">
        <v>987.05</v>
      </c>
      <c r="H838">
        <v>987.05</v>
      </c>
    </row>
    <row r="839" spans="1:8" x14ac:dyDescent="0.35">
      <c r="A839">
        <v>103410779</v>
      </c>
      <c r="B839" t="s">
        <v>4076</v>
      </c>
      <c r="C839" s="2">
        <v>44749</v>
      </c>
      <c r="D839">
        <v>2222.1</v>
      </c>
      <c r="E839">
        <v>1</v>
      </c>
      <c r="F839">
        <v>1</v>
      </c>
      <c r="G839">
        <v>2222.1</v>
      </c>
      <c r="H839">
        <v>2222.1</v>
      </c>
    </row>
    <row r="840" spans="1:8" x14ac:dyDescent="0.35">
      <c r="A840">
        <v>103410786</v>
      </c>
      <c r="B840" t="s">
        <v>4076</v>
      </c>
      <c r="C840" s="2">
        <v>44749</v>
      </c>
      <c r="D840">
        <v>1499</v>
      </c>
      <c r="E840">
        <v>1</v>
      </c>
      <c r="F840">
        <v>1</v>
      </c>
      <c r="G840">
        <v>1499</v>
      </c>
      <c r="H840">
        <v>1499</v>
      </c>
    </row>
    <row r="841" spans="1:8" x14ac:dyDescent="0.35">
      <c r="A841">
        <v>103410789</v>
      </c>
      <c r="B841" t="s">
        <v>4076</v>
      </c>
      <c r="C841" s="2">
        <v>44749</v>
      </c>
      <c r="D841">
        <v>806.55</v>
      </c>
      <c r="E841">
        <v>1</v>
      </c>
      <c r="F841">
        <v>1</v>
      </c>
      <c r="G841">
        <v>806.55</v>
      </c>
      <c r="H841">
        <v>806.55</v>
      </c>
    </row>
    <row r="842" spans="1:8" x14ac:dyDescent="0.35">
      <c r="A842">
        <v>103410790</v>
      </c>
      <c r="B842" t="s">
        <v>4076</v>
      </c>
      <c r="C842" s="2">
        <v>44749</v>
      </c>
      <c r="D842">
        <v>3599</v>
      </c>
      <c r="E842">
        <v>1</v>
      </c>
      <c r="F842">
        <v>1</v>
      </c>
      <c r="G842">
        <v>3599</v>
      </c>
      <c r="H842">
        <v>3599</v>
      </c>
    </row>
    <row r="843" spans="1:8" x14ac:dyDescent="0.35">
      <c r="A843">
        <v>103410792</v>
      </c>
      <c r="B843" t="s">
        <v>4076</v>
      </c>
      <c r="C843" s="2">
        <v>44749</v>
      </c>
      <c r="D843">
        <v>1578.47</v>
      </c>
      <c r="E843">
        <v>1</v>
      </c>
      <c r="F843">
        <v>1</v>
      </c>
      <c r="G843">
        <v>1578.47</v>
      </c>
      <c r="H843">
        <v>1578.47</v>
      </c>
    </row>
    <row r="844" spans="1:8" x14ac:dyDescent="0.35">
      <c r="A844">
        <v>103410797</v>
      </c>
      <c r="B844" t="s">
        <v>4076</v>
      </c>
      <c r="C844" s="2">
        <v>44749</v>
      </c>
      <c r="D844">
        <v>1352.85</v>
      </c>
      <c r="E844">
        <v>1</v>
      </c>
      <c r="F844">
        <v>1</v>
      </c>
      <c r="G844">
        <v>1352.85</v>
      </c>
      <c r="H844">
        <v>1352.85</v>
      </c>
    </row>
    <row r="845" spans="1:8" x14ac:dyDescent="0.35">
      <c r="A845">
        <v>103410805</v>
      </c>
      <c r="B845" t="s">
        <v>4076</v>
      </c>
      <c r="C845" s="2">
        <v>44749</v>
      </c>
      <c r="D845">
        <v>3324.05</v>
      </c>
      <c r="E845">
        <v>1</v>
      </c>
      <c r="F845">
        <v>1</v>
      </c>
      <c r="G845">
        <v>3324.05</v>
      </c>
      <c r="H845">
        <v>3324.05</v>
      </c>
    </row>
    <row r="846" spans="1:8" x14ac:dyDescent="0.35">
      <c r="A846">
        <v>103410809</v>
      </c>
      <c r="B846" t="s">
        <v>4076</v>
      </c>
      <c r="C846" s="2">
        <v>44749</v>
      </c>
      <c r="D846">
        <v>1499</v>
      </c>
      <c r="E846">
        <v>1</v>
      </c>
      <c r="F846">
        <v>1</v>
      </c>
      <c r="G846">
        <v>1499</v>
      </c>
      <c r="H846">
        <v>1499</v>
      </c>
    </row>
    <row r="847" spans="1:8" x14ac:dyDescent="0.35">
      <c r="A847">
        <v>103410818</v>
      </c>
      <c r="B847" t="s">
        <v>4076</v>
      </c>
      <c r="C847" s="2">
        <v>44749</v>
      </c>
      <c r="D847">
        <v>4939.05</v>
      </c>
      <c r="E847">
        <v>1</v>
      </c>
      <c r="F847">
        <v>1</v>
      </c>
      <c r="G847">
        <v>4939.05</v>
      </c>
      <c r="H847">
        <v>4939.05</v>
      </c>
    </row>
    <row r="848" spans="1:8" x14ac:dyDescent="0.35">
      <c r="A848">
        <v>103410819</v>
      </c>
      <c r="B848" t="s">
        <v>4076</v>
      </c>
      <c r="C848" s="2">
        <v>44749</v>
      </c>
      <c r="D848">
        <v>2345.5500000000002</v>
      </c>
      <c r="E848">
        <v>1</v>
      </c>
      <c r="F848">
        <v>1</v>
      </c>
      <c r="G848">
        <v>2345.5500000000002</v>
      </c>
      <c r="H848">
        <v>2345.5500000000002</v>
      </c>
    </row>
    <row r="849" spans="1:8" x14ac:dyDescent="0.35">
      <c r="A849">
        <v>103410823</v>
      </c>
      <c r="B849" t="s">
        <v>4076</v>
      </c>
      <c r="C849" s="2">
        <v>44749</v>
      </c>
      <c r="D849">
        <v>1851.55</v>
      </c>
      <c r="E849">
        <v>1</v>
      </c>
      <c r="F849">
        <v>1</v>
      </c>
      <c r="G849">
        <v>1851.55</v>
      </c>
      <c r="H849">
        <v>1851.55</v>
      </c>
    </row>
    <row r="850" spans="1:8" x14ac:dyDescent="0.35">
      <c r="A850">
        <v>103410827</v>
      </c>
      <c r="B850" t="s">
        <v>4076</v>
      </c>
      <c r="C850" s="2">
        <v>44749</v>
      </c>
      <c r="D850">
        <v>1918.05</v>
      </c>
      <c r="E850">
        <v>1</v>
      </c>
      <c r="F850">
        <v>1</v>
      </c>
      <c r="G850">
        <v>1918.05</v>
      </c>
      <c r="H850">
        <v>1918.05</v>
      </c>
    </row>
    <row r="851" spans="1:8" x14ac:dyDescent="0.35">
      <c r="A851">
        <v>103410828</v>
      </c>
      <c r="B851" t="s">
        <v>4076</v>
      </c>
      <c r="C851" s="2">
        <v>44749</v>
      </c>
      <c r="D851">
        <v>999</v>
      </c>
      <c r="E851">
        <v>1</v>
      </c>
      <c r="F851">
        <v>1</v>
      </c>
      <c r="G851">
        <v>999</v>
      </c>
      <c r="H851">
        <v>999</v>
      </c>
    </row>
    <row r="852" spans="1:8" x14ac:dyDescent="0.35">
      <c r="A852">
        <v>103410834</v>
      </c>
      <c r="B852" t="s">
        <v>4076</v>
      </c>
      <c r="C852" s="2">
        <v>44749</v>
      </c>
      <c r="D852">
        <v>2778</v>
      </c>
      <c r="E852">
        <v>2</v>
      </c>
      <c r="F852">
        <v>1</v>
      </c>
      <c r="G852">
        <v>1389</v>
      </c>
      <c r="H852">
        <v>2778</v>
      </c>
    </row>
    <row r="853" spans="1:8" x14ac:dyDescent="0.35">
      <c r="A853">
        <v>103410837</v>
      </c>
      <c r="B853" t="s">
        <v>4076</v>
      </c>
      <c r="C853" s="2">
        <v>44749</v>
      </c>
      <c r="D853">
        <v>1148</v>
      </c>
      <c r="E853">
        <v>2</v>
      </c>
      <c r="F853">
        <v>1</v>
      </c>
      <c r="G853">
        <v>574</v>
      </c>
      <c r="H853">
        <v>1148</v>
      </c>
    </row>
    <row r="854" spans="1:8" x14ac:dyDescent="0.35">
      <c r="A854">
        <v>103410838</v>
      </c>
      <c r="B854" t="s">
        <v>4076</v>
      </c>
      <c r="C854" s="2">
        <v>44749</v>
      </c>
      <c r="D854">
        <v>2991.64</v>
      </c>
      <c r="E854">
        <v>1</v>
      </c>
      <c r="F854">
        <v>1</v>
      </c>
      <c r="G854">
        <v>2991.64</v>
      </c>
      <c r="H854">
        <v>2991.64</v>
      </c>
    </row>
    <row r="855" spans="1:8" x14ac:dyDescent="0.35">
      <c r="A855">
        <v>103410854</v>
      </c>
      <c r="B855" t="s">
        <v>4076</v>
      </c>
      <c r="C855" s="2">
        <v>44749</v>
      </c>
      <c r="D855">
        <v>3499</v>
      </c>
      <c r="E855">
        <v>1</v>
      </c>
      <c r="F855">
        <v>1</v>
      </c>
      <c r="G855">
        <v>3499</v>
      </c>
      <c r="H855">
        <v>3499</v>
      </c>
    </row>
    <row r="856" spans="1:8" x14ac:dyDescent="0.35">
      <c r="A856">
        <v>103410861</v>
      </c>
      <c r="B856" t="s">
        <v>4076</v>
      </c>
      <c r="C856" s="2">
        <v>44749</v>
      </c>
      <c r="D856">
        <v>849</v>
      </c>
      <c r="E856">
        <v>1</v>
      </c>
      <c r="F856">
        <v>1</v>
      </c>
      <c r="G856">
        <v>849</v>
      </c>
      <c r="H856">
        <v>849</v>
      </c>
    </row>
    <row r="857" spans="1:8" x14ac:dyDescent="0.35">
      <c r="A857">
        <v>103410874</v>
      </c>
      <c r="B857" t="s">
        <v>4076</v>
      </c>
      <c r="C857" s="2">
        <v>44749</v>
      </c>
      <c r="D857">
        <v>799</v>
      </c>
      <c r="E857">
        <v>1</v>
      </c>
      <c r="F857">
        <v>1</v>
      </c>
      <c r="G857">
        <v>799</v>
      </c>
      <c r="H857">
        <v>799</v>
      </c>
    </row>
    <row r="858" spans="1:8" x14ac:dyDescent="0.35">
      <c r="A858">
        <v>103410875</v>
      </c>
      <c r="B858" t="s">
        <v>4076</v>
      </c>
      <c r="C858" s="2">
        <v>44749</v>
      </c>
      <c r="D858">
        <v>2222.14</v>
      </c>
      <c r="E858">
        <v>1</v>
      </c>
      <c r="F858">
        <v>1</v>
      </c>
      <c r="G858">
        <v>2222.14</v>
      </c>
      <c r="H858">
        <v>2222.14</v>
      </c>
    </row>
    <row r="859" spans="1:8" x14ac:dyDescent="0.35">
      <c r="A859">
        <v>103410883</v>
      </c>
      <c r="B859" t="s">
        <v>4076</v>
      </c>
      <c r="C859" s="2">
        <v>44749</v>
      </c>
      <c r="D859">
        <v>819</v>
      </c>
      <c r="E859">
        <v>1</v>
      </c>
      <c r="F859">
        <v>1</v>
      </c>
      <c r="G859">
        <v>819</v>
      </c>
      <c r="H859">
        <v>819</v>
      </c>
    </row>
    <row r="860" spans="1:8" x14ac:dyDescent="0.35">
      <c r="A860">
        <v>103410891</v>
      </c>
      <c r="B860" t="s">
        <v>4076</v>
      </c>
      <c r="C860" s="2">
        <v>44749</v>
      </c>
      <c r="D860">
        <v>468.4</v>
      </c>
      <c r="E860">
        <v>1</v>
      </c>
      <c r="F860">
        <v>1</v>
      </c>
      <c r="G860">
        <v>468.4</v>
      </c>
      <c r="H860">
        <v>468.4</v>
      </c>
    </row>
    <row r="861" spans="1:8" x14ac:dyDescent="0.35">
      <c r="A861">
        <v>103410894</v>
      </c>
      <c r="B861" t="s">
        <v>4076</v>
      </c>
      <c r="C861" s="2">
        <v>44749</v>
      </c>
      <c r="D861">
        <v>1329.05</v>
      </c>
      <c r="E861">
        <v>1</v>
      </c>
      <c r="F861">
        <v>1</v>
      </c>
      <c r="G861">
        <v>1329.05</v>
      </c>
      <c r="H861">
        <v>1329.05</v>
      </c>
    </row>
    <row r="862" spans="1:8" x14ac:dyDescent="0.35">
      <c r="A862">
        <v>103410896</v>
      </c>
      <c r="B862" t="s">
        <v>4076</v>
      </c>
      <c r="C862" s="2">
        <v>44749</v>
      </c>
      <c r="D862">
        <v>1049</v>
      </c>
      <c r="E862">
        <v>1</v>
      </c>
      <c r="F862">
        <v>1</v>
      </c>
      <c r="G862">
        <v>1049</v>
      </c>
      <c r="H862">
        <v>1049</v>
      </c>
    </row>
    <row r="863" spans="1:8" x14ac:dyDescent="0.35">
      <c r="A863">
        <v>103410900</v>
      </c>
      <c r="B863" t="s">
        <v>4076</v>
      </c>
      <c r="C863" s="2">
        <v>44749</v>
      </c>
      <c r="D863">
        <v>2799</v>
      </c>
      <c r="E863">
        <v>1</v>
      </c>
      <c r="F863">
        <v>1</v>
      </c>
      <c r="G863">
        <v>2799</v>
      </c>
      <c r="H863">
        <v>2799</v>
      </c>
    </row>
    <row r="864" spans="1:8" x14ac:dyDescent="0.35">
      <c r="A864">
        <v>103410905</v>
      </c>
      <c r="B864" t="s">
        <v>4076</v>
      </c>
      <c r="C864" s="2">
        <v>44749</v>
      </c>
      <c r="D864">
        <v>1999</v>
      </c>
      <c r="E864">
        <v>1</v>
      </c>
      <c r="F864">
        <v>1</v>
      </c>
      <c r="G864">
        <v>1999</v>
      </c>
      <c r="H864">
        <v>1999</v>
      </c>
    </row>
    <row r="865" spans="1:8" x14ac:dyDescent="0.35">
      <c r="A865">
        <v>103410911</v>
      </c>
      <c r="B865" t="s">
        <v>4076</v>
      </c>
      <c r="C865" s="2">
        <v>44749</v>
      </c>
      <c r="D865">
        <v>1999</v>
      </c>
      <c r="E865">
        <v>1</v>
      </c>
      <c r="F865">
        <v>1</v>
      </c>
      <c r="G865">
        <v>1999</v>
      </c>
      <c r="H865">
        <v>1999</v>
      </c>
    </row>
    <row r="866" spans="1:8" x14ac:dyDescent="0.35">
      <c r="A866">
        <v>103410912</v>
      </c>
      <c r="B866" t="s">
        <v>4076</v>
      </c>
      <c r="C866" s="2">
        <v>44749</v>
      </c>
      <c r="D866">
        <v>2800.6</v>
      </c>
      <c r="E866">
        <v>2</v>
      </c>
      <c r="F866">
        <v>1</v>
      </c>
      <c r="G866">
        <v>1400.3</v>
      </c>
      <c r="H866">
        <v>2800.6</v>
      </c>
    </row>
    <row r="867" spans="1:8" x14ac:dyDescent="0.35">
      <c r="A867">
        <v>103410913</v>
      </c>
      <c r="B867" t="s">
        <v>4076</v>
      </c>
      <c r="C867" s="2">
        <v>44749</v>
      </c>
      <c r="D867">
        <v>1545.84</v>
      </c>
      <c r="E867">
        <v>2</v>
      </c>
      <c r="F867">
        <v>1</v>
      </c>
      <c r="G867">
        <v>772.92</v>
      </c>
      <c r="H867">
        <v>1545.84</v>
      </c>
    </row>
    <row r="868" spans="1:8" x14ac:dyDescent="0.35">
      <c r="A868">
        <v>103410919</v>
      </c>
      <c r="B868" t="s">
        <v>4076</v>
      </c>
      <c r="C868" s="2">
        <v>44749</v>
      </c>
      <c r="D868">
        <v>868</v>
      </c>
      <c r="E868">
        <v>2</v>
      </c>
      <c r="F868">
        <v>1</v>
      </c>
      <c r="G868">
        <v>434</v>
      </c>
      <c r="H868">
        <v>868</v>
      </c>
    </row>
    <row r="869" spans="1:8" x14ac:dyDescent="0.35">
      <c r="A869">
        <v>103410928</v>
      </c>
      <c r="B869" t="s">
        <v>4076</v>
      </c>
      <c r="C869" s="2">
        <v>44749</v>
      </c>
      <c r="D869">
        <v>3473.72</v>
      </c>
      <c r="E869">
        <v>1</v>
      </c>
      <c r="F869">
        <v>1</v>
      </c>
      <c r="G869">
        <v>3473.72</v>
      </c>
      <c r="H869">
        <v>3473.72</v>
      </c>
    </row>
    <row r="870" spans="1:8" x14ac:dyDescent="0.35">
      <c r="A870">
        <v>103410930</v>
      </c>
      <c r="B870" t="s">
        <v>4076</v>
      </c>
      <c r="C870" s="2">
        <v>44749</v>
      </c>
      <c r="D870">
        <v>2659.05</v>
      </c>
      <c r="E870">
        <v>1</v>
      </c>
      <c r="F870">
        <v>1</v>
      </c>
      <c r="G870">
        <v>2659.05</v>
      </c>
      <c r="H870">
        <v>2659.05</v>
      </c>
    </row>
    <row r="871" spans="1:8" x14ac:dyDescent="0.35">
      <c r="A871">
        <v>103410933</v>
      </c>
      <c r="B871" t="s">
        <v>4076</v>
      </c>
      <c r="C871" s="2">
        <v>44749</v>
      </c>
      <c r="D871">
        <v>549</v>
      </c>
      <c r="E871">
        <v>1</v>
      </c>
      <c r="F871">
        <v>1</v>
      </c>
      <c r="G871">
        <v>549</v>
      </c>
      <c r="H871">
        <v>549</v>
      </c>
    </row>
    <row r="872" spans="1:8" x14ac:dyDescent="0.35">
      <c r="A872">
        <v>103410935</v>
      </c>
      <c r="B872" t="s">
        <v>4076</v>
      </c>
      <c r="C872" s="2">
        <v>44749</v>
      </c>
      <c r="D872">
        <v>2499</v>
      </c>
      <c r="E872">
        <v>1</v>
      </c>
      <c r="F872">
        <v>1</v>
      </c>
      <c r="G872">
        <v>2499</v>
      </c>
      <c r="H872">
        <v>2499</v>
      </c>
    </row>
    <row r="873" spans="1:8" x14ac:dyDescent="0.35">
      <c r="A873">
        <v>103410949</v>
      </c>
      <c r="B873" t="s">
        <v>4076</v>
      </c>
      <c r="C873" s="2">
        <v>44749</v>
      </c>
      <c r="D873">
        <v>4435.55</v>
      </c>
      <c r="E873">
        <v>1</v>
      </c>
      <c r="F873">
        <v>1</v>
      </c>
      <c r="G873">
        <v>4435.55</v>
      </c>
      <c r="H873">
        <v>4435.55</v>
      </c>
    </row>
    <row r="874" spans="1:8" x14ac:dyDescent="0.35">
      <c r="A874">
        <v>103410952</v>
      </c>
      <c r="B874" t="s">
        <v>4076</v>
      </c>
      <c r="C874" s="2">
        <v>44749</v>
      </c>
      <c r="D874">
        <v>709</v>
      </c>
      <c r="E874">
        <v>1</v>
      </c>
      <c r="F874">
        <v>1</v>
      </c>
      <c r="G874">
        <v>709</v>
      </c>
      <c r="H874">
        <v>709</v>
      </c>
    </row>
    <row r="875" spans="1:8" x14ac:dyDescent="0.35">
      <c r="A875">
        <v>103410953</v>
      </c>
      <c r="B875" t="s">
        <v>4076</v>
      </c>
      <c r="C875" s="2">
        <v>44749</v>
      </c>
      <c r="D875">
        <v>3077.14</v>
      </c>
      <c r="E875">
        <v>1</v>
      </c>
      <c r="F875">
        <v>1</v>
      </c>
      <c r="G875">
        <v>3077.14</v>
      </c>
      <c r="H875">
        <v>3077.14</v>
      </c>
    </row>
    <row r="876" spans="1:8" x14ac:dyDescent="0.35">
      <c r="A876">
        <v>103410958</v>
      </c>
      <c r="B876" t="s">
        <v>4076</v>
      </c>
      <c r="C876" s="2">
        <v>44749</v>
      </c>
      <c r="D876">
        <v>2469.0500000000002</v>
      </c>
      <c r="E876">
        <v>1</v>
      </c>
      <c r="F876">
        <v>1</v>
      </c>
      <c r="G876">
        <v>2469.0500000000002</v>
      </c>
      <c r="H876">
        <v>2469.0500000000002</v>
      </c>
    </row>
    <row r="877" spans="1:8" x14ac:dyDescent="0.35">
      <c r="A877">
        <v>103410962</v>
      </c>
      <c r="B877" t="s">
        <v>4076</v>
      </c>
      <c r="C877" s="2">
        <v>44749</v>
      </c>
      <c r="D877">
        <v>1799</v>
      </c>
      <c r="E877">
        <v>1</v>
      </c>
      <c r="F877">
        <v>1</v>
      </c>
      <c r="G877">
        <v>1799</v>
      </c>
      <c r="H877">
        <v>1799</v>
      </c>
    </row>
    <row r="878" spans="1:8" x14ac:dyDescent="0.35">
      <c r="A878">
        <v>103410968</v>
      </c>
      <c r="B878" t="s">
        <v>4076</v>
      </c>
      <c r="C878" s="2">
        <v>44749</v>
      </c>
      <c r="D878">
        <v>493.05</v>
      </c>
      <c r="E878">
        <v>1</v>
      </c>
      <c r="F878">
        <v>1</v>
      </c>
      <c r="G878">
        <v>493.05</v>
      </c>
      <c r="H878">
        <v>493.05</v>
      </c>
    </row>
    <row r="879" spans="1:8" x14ac:dyDescent="0.35">
      <c r="A879">
        <v>103410975</v>
      </c>
      <c r="B879" t="s">
        <v>4076</v>
      </c>
      <c r="C879" s="2">
        <v>44749</v>
      </c>
      <c r="D879">
        <v>1499</v>
      </c>
      <c r="E879">
        <v>1</v>
      </c>
      <c r="F879">
        <v>1</v>
      </c>
      <c r="G879">
        <v>1499</v>
      </c>
      <c r="H879">
        <v>1499</v>
      </c>
    </row>
    <row r="880" spans="1:8" x14ac:dyDescent="0.35">
      <c r="A880">
        <v>103410977</v>
      </c>
      <c r="B880" t="s">
        <v>4076</v>
      </c>
      <c r="C880" s="2">
        <v>44749</v>
      </c>
      <c r="D880">
        <v>2309</v>
      </c>
      <c r="E880">
        <v>1</v>
      </c>
      <c r="F880">
        <v>1</v>
      </c>
      <c r="G880">
        <v>2309</v>
      </c>
      <c r="H880">
        <v>2309</v>
      </c>
    </row>
    <row r="881" spans="1:8" x14ac:dyDescent="0.35">
      <c r="A881">
        <v>103410978</v>
      </c>
      <c r="B881" t="s">
        <v>4076</v>
      </c>
      <c r="C881" s="2">
        <v>44749</v>
      </c>
      <c r="D881">
        <v>3419.05</v>
      </c>
      <c r="E881">
        <v>1</v>
      </c>
      <c r="F881">
        <v>1</v>
      </c>
      <c r="G881">
        <v>3419.05</v>
      </c>
      <c r="H881">
        <v>3419.05</v>
      </c>
    </row>
    <row r="882" spans="1:8" x14ac:dyDescent="0.35">
      <c r="A882">
        <v>103410984</v>
      </c>
      <c r="B882" t="s">
        <v>4076</v>
      </c>
      <c r="C882" s="2">
        <v>44749</v>
      </c>
      <c r="D882">
        <v>699</v>
      </c>
      <c r="E882">
        <v>1</v>
      </c>
      <c r="F882">
        <v>1</v>
      </c>
      <c r="G882">
        <v>699</v>
      </c>
      <c r="H882">
        <v>699</v>
      </c>
    </row>
    <row r="883" spans="1:8" x14ac:dyDescent="0.35">
      <c r="A883">
        <v>103410986</v>
      </c>
      <c r="B883" t="s">
        <v>4076</v>
      </c>
      <c r="C883" s="2">
        <v>44749</v>
      </c>
      <c r="D883">
        <v>869</v>
      </c>
      <c r="E883">
        <v>1</v>
      </c>
      <c r="F883">
        <v>1</v>
      </c>
      <c r="G883">
        <v>869</v>
      </c>
      <c r="H883">
        <v>869</v>
      </c>
    </row>
    <row r="884" spans="1:8" x14ac:dyDescent="0.35">
      <c r="A884">
        <v>103410994</v>
      </c>
      <c r="B884" t="s">
        <v>4076</v>
      </c>
      <c r="C884" s="2">
        <v>44749</v>
      </c>
      <c r="D884">
        <v>2841.97</v>
      </c>
      <c r="E884">
        <v>1</v>
      </c>
      <c r="F884">
        <v>1</v>
      </c>
      <c r="G884">
        <v>2841.97</v>
      </c>
      <c r="H884">
        <v>2841.97</v>
      </c>
    </row>
    <row r="885" spans="1:8" x14ac:dyDescent="0.35">
      <c r="A885">
        <v>103410998</v>
      </c>
      <c r="B885" t="s">
        <v>4076</v>
      </c>
      <c r="C885" s="2">
        <v>44749</v>
      </c>
      <c r="D885">
        <v>4103.1400000000003</v>
      </c>
      <c r="E885">
        <v>1</v>
      </c>
      <c r="F885">
        <v>1</v>
      </c>
      <c r="G885">
        <v>4103.1400000000003</v>
      </c>
      <c r="H885">
        <v>4103.1400000000003</v>
      </c>
    </row>
    <row r="886" spans="1:8" x14ac:dyDescent="0.35">
      <c r="A886">
        <v>103410999</v>
      </c>
      <c r="B886" t="s">
        <v>4076</v>
      </c>
      <c r="C886" s="2">
        <v>44749</v>
      </c>
      <c r="D886">
        <v>1661.55</v>
      </c>
      <c r="E886">
        <v>1</v>
      </c>
      <c r="F886">
        <v>1</v>
      </c>
      <c r="G886">
        <v>1661.55</v>
      </c>
      <c r="H886">
        <v>1661.55</v>
      </c>
    </row>
    <row r="887" spans="1:8" x14ac:dyDescent="0.35">
      <c r="A887">
        <v>103411000</v>
      </c>
      <c r="B887" t="s">
        <v>4076</v>
      </c>
      <c r="C887" s="2">
        <v>44749</v>
      </c>
      <c r="D887">
        <v>976.599999999999</v>
      </c>
      <c r="E887">
        <v>2</v>
      </c>
      <c r="F887">
        <v>1</v>
      </c>
      <c r="G887">
        <v>488.29999999999899</v>
      </c>
      <c r="H887">
        <v>976.599999999999</v>
      </c>
    </row>
    <row r="888" spans="1:8" x14ac:dyDescent="0.35">
      <c r="A888">
        <v>103411003</v>
      </c>
      <c r="B888" t="s">
        <v>4076</v>
      </c>
      <c r="C888" s="2">
        <v>44749</v>
      </c>
      <c r="D888">
        <v>3118</v>
      </c>
      <c r="E888">
        <v>2</v>
      </c>
      <c r="F888">
        <v>1</v>
      </c>
      <c r="G888">
        <v>1559</v>
      </c>
      <c r="H888">
        <v>3118</v>
      </c>
    </row>
    <row r="889" spans="1:8" x14ac:dyDescent="0.35">
      <c r="A889">
        <v>103411006</v>
      </c>
      <c r="B889" t="s">
        <v>4076</v>
      </c>
      <c r="C889" s="2">
        <v>44749</v>
      </c>
      <c r="D889">
        <v>2222.14</v>
      </c>
      <c r="E889">
        <v>1</v>
      </c>
      <c r="F889">
        <v>1</v>
      </c>
      <c r="G889">
        <v>2222.14</v>
      </c>
      <c r="H889">
        <v>2222.14</v>
      </c>
    </row>
    <row r="890" spans="1:8" x14ac:dyDescent="0.35">
      <c r="A890">
        <v>103411011</v>
      </c>
      <c r="B890" t="s">
        <v>4076</v>
      </c>
      <c r="C890" s="2">
        <v>44749</v>
      </c>
      <c r="D890">
        <v>1649.29</v>
      </c>
      <c r="E890">
        <v>1</v>
      </c>
      <c r="F890">
        <v>1</v>
      </c>
      <c r="G890">
        <v>1649.29</v>
      </c>
      <c r="H890">
        <v>1649.29</v>
      </c>
    </row>
    <row r="891" spans="1:8" x14ac:dyDescent="0.35">
      <c r="A891">
        <v>103411012</v>
      </c>
      <c r="B891" t="s">
        <v>4076</v>
      </c>
      <c r="C891" s="2">
        <v>44749</v>
      </c>
      <c r="D891">
        <v>4510.6000000000004</v>
      </c>
      <c r="E891">
        <v>2</v>
      </c>
      <c r="F891">
        <v>1</v>
      </c>
      <c r="G891">
        <v>2255.3000000000002</v>
      </c>
      <c r="H891">
        <v>4510.6000000000004</v>
      </c>
    </row>
    <row r="892" spans="1:8" x14ac:dyDescent="0.35">
      <c r="A892">
        <v>103411023</v>
      </c>
      <c r="B892" t="s">
        <v>4076</v>
      </c>
      <c r="C892" s="2">
        <v>44749</v>
      </c>
      <c r="D892">
        <v>1999</v>
      </c>
      <c r="E892">
        <v>1</v>
      </c>
      <c r="F892">
        <v>1</v>
      </c>
      <c r="G892">
        <v>1999</v>
      </c>
      <c r="H892">
        <v>1999</v>
      </c>
    </row>
    <row r="893" spans="1:8" x14ac:dyDescent="0.35">
      <c r="A893">
        <v>103411024</v>
      </c>
      <c r="B893" t="s">
        <v>4076</v>
      </c>
      <c r="C893" s="2">
        <v>44749</v>
      </c>
      <c r="D893">
        <v>1079</v>
      </c>
      <c r="E893">
        <v>1</v>
      </c>
      <c r="F893">
        <v>1</v>
      </c>
      <c r="G893">
        <v>1079</v>
      </c>
      <c r="H893">
        <v>1079</v>
      </c>
    </row>
    <row r="894" spans="1:8" x14ac:dyDescent="0.35">
      <c r="A894">
        <v>103411028</v>
      </c>
      <c r="B894" t="s">
        <v>4076</v>
      </c>
      <c r="C894" s="2">
        <v>44749</v>
      </c>
      <c r="D894">
        <v>4798</v>
      </c>
      <c r="E894">
        <v>2</v>
      </c>
      <c r="F894">
        <v>1</v>
      </c>
      <c r="G894">
        <v>2399</v>
      </c>
      <c r="H894">
        <v>4798</v>
      </c>
    </row>
    <row r="895" spans="1:8" x14ac:dyDescent="0.35">
      <c r="A895">
        <v>103411030</v>
      </c>
      <c r="B895" t="s">
        <v>4076</v>
      </c>
      <c r="C895" s="2">
        <v>44749</v>
      </c>
      <c r="D895">
        <v>969</v>
      </c>
      <c r="E895">
        <v>1</v>
      </c>
      <c r="F895">
        <v>1</v>
      </c>
      <c r="G895">
        <v>969</v>
      </c>
      <c r="H895">
        <v>969</v>
      </c>
    </row>
    <row r="896" spans="1:8" x14ac:dyDescent="0.35">
      <c r="A896">
        <v>103411032</v>
      </c>
      <c r="B896" t="s">
        <v>4076</v>
      </c>
      <c r="C896" s="2">
        <v>44749</v>
      </c>
      <c r="D896">
        <v>3848</v>
      </c>
      <c r="E896">
        <v>2</v>
      </c>
      <c r="F896">
        <v>1</v>
      </c>
      <c r="G896">
        <v>1924</v>
      </c>
      <c r="H896">
        <v>3848</v>
      </c>
    </row>
    <row r="897" spans="1:8" x14ac:dyDescent="0.35">
      <c r="A897">
        <v>103411033</v>
      </c>
      <c r="B897" t="s">
        <v>4076</v>
      </c>
      <c r="C897" s="2">
        <v>44749</v>
      </c>
      <c r="D897">
        <v>350.55</v>
      </c>
      <c r="E897">
        <v>1</v>
      </c>
      <c r="F897">
        <v>1</v>
      </c>
      <c r="G897">
        <v>350.55</v>
      </c>
      <c r="H897">
        <v>350.55</v>
      </c>
    </row>
    <row r="898" spans="1:8" x14ac:dyDescent="0.35">
      <c r="A898">
        <v>103411034</v>
      </c>
      <c r="B898" t="s">
        <v>4076</v>
      </c>
      <c r="C898" s="2">
        <v>44749</v>
      </c>
      <c r="D898">
        <v>2099</v>
      </c>
      <c r="E898">
        <v>1</v>
      </c>
      <c r="F898">
        <v>1</v>
      </c>
      <c r="G898">
        <v>2099</v>
      </c>
      <c r="H898">
        <v>2099</v>
      </c>
    </row>
    <row r="899" spans="1:8" x14ac:dyDescent="0.35">
      <c r="A899">
        <v>103411035</v>
      </c>
      <c r="B899" t="s">
        <v>4076</v>
      </c>
      <c r="C899" s="2">
        <v>44749</v>
      </c>
      <c r="D899">
        <v>2849.05</v>
      </c>
      <c r="E899">
        <v>1</v>
      </c>
      <c r="F899">
        <v>1</v>
      </c>
      <c r="G899">
        <v>2849.05</v>
      </c>
      <c r="H899">
        <v>2849.05</v>
      </c>
    </row>
    <row r="900" spans="1:8" x14ac:dyDescent="0.35">
      <c r="A900">
        <v>103411038</v>
      </c>
      <c r="B900" t="s">
        <v>4076</v>
      </c>
      <c r="C900" s="2">
        <v>44749</v>
      </c>
      <c r="D900">
        <v>359</v>
      </c>
      <c r="E900">
        <v>1</v>
      </c>
      <c r="F900">
        <v>1</v>
      </c>
      <c r="G900">
        <v>359</v>
      </c>
      <c r="H900">
        <v>359</v>
      </c>
    </row>
    <row r="901" spans="1:8" x14ac:dyDescent="0.35">
      <c r="A901">
        <v>103411059</v>
      </c>
      <c r="B901" t="s">
        <v>4076</v>
      </c>
      <c r="C901" s="2">
        <v>44749</v>
      </c>
      <c r="D901">
        <v>3599</v>
      </c>
      <c r="E901">
        <v>1</v>
      </c>
      <c r="F901">
        <v>1</v>
      </c>
      <c r="G901">
        <v>3599</v>
      </c>
      <c r="H901">
        <v>3599</v>
      </c>
    </row>
    <row r="902" spans="1:8" x14ac:dyDescent="0.35">
      <c r="A902">
        <v>103411061</v>
      </c>
      <c r="B902" t="s">
        <v>4076</v>
      </c>
      <c r="C902" s="2">
        <v>44749</v>
      </c>
      <c r="D902">
        <v>5849</v>
      </c>
      <c r="E902">
        <v>1</v>
      </c>
      <c r="F902">
        <v>1</v>
      </c>
      <c r="G902">
        <v>5849</v>
      </c>
      <c r="H902">
        <v>5849</v>
      </c>
    </row>
    <row r="903" spans="1:8" x14ac:dyDescent="0.35">
      <c r="A903">
        <v>103411076</v>
      </c>
      <c r="B903" t="s">
        <v>4076</v>
      </c>
      <c r="C903" s="2">
        <v>44749</v>
      </c>
      <c r="D903">
        <v>1999</v>
      </c>
      <c r="E903">
        <v>1</v>
      </c>
      <c r="F903">
        <v>1</v>
      </c>
      <c r="G903">
        <v>1999</v>
      </c>
      <c r="H903">
        <v>1999</v>
      </c>
    </row>
    <row r="904" spans="1:8" x14ac:dyDescent="0.35">
      <c r="A904">
        <v>103411078</v>
      </c>
      <c r="B904" t="s">
        <v>4076</v>
      </c>
      <c r="C904" s="2">
        <v>44749</v>
      </c>
      <c r="D904">
        <v>1499</v>
      </c>
      <c r="E904">
        <v>1</v>
      </c>
      <c r="F904">
        <v>1</v>
      </c>
      <c r="G904">
        <v>1499</v>
      </c>
      <c r="H904">
        <v>1499</v>
      </c>
    </row>
    <row r="905" spans="1:8" x14ac:dyDescent="0.35">
      <c r="A905">
        <v>103411085</v>
      </c>
      <c r="B905" t="s">
        <v>4076</v>
      </c>
      <c r="C905" s="2">
        <v>44749</v>
      </c>
      <c r="D905">
        <v>2091.33</v>
      </c>
      <c r="E905">
        <v>4</v>
      </c>
      <c r="F905">
        <v>1</v>
      </c>
      <c r="G905">
        <v>522.83249999999998</v>
      </c>
      <c r="H905">
        <v>2091.33</v>
      </c>
    </row>
    <row r="906" spans="1:8" x14ac:dyDescent="0.35">
      <c r="A906">
        <v>103411091</v>
      </c>
      <c r="B906" t="s">
        <v>4076</v>
      </c>
      <c r="C906" s="2">
        <v>44749</v>
      </c>
      <c r="D906">
        <v>2399</v>
      </c>
      <c r="E906">
        <v>1</v>
      </c>
      <c r="F906">
        <v>1</v>
      </c>
      <c r="G906">
        <v>2399</v>
      </c>
      <c r="H906">
        <v>2399</v>
      </c>
    </row>
    <row r="907" spans="1:8" x14ac:dyDescent="0.35">
      <c r="A907">
        <v>103411098</v>
      </c>
      <c r="B907" t="s">
        <v>4076</v>
      </c>
      <c r="C907" s="2">
        <v>44749</v>
      </c>
      <c r="D907">
        <v>3419.05</v>
      </c>
      <c r="E907">
        <v>1</v>
      </c>
      <c r="F907">
        <v>1</v>
      </c>
      <c r="G907">
        <v>3419.05</v>
      </c>
      <c r="H907">
        <v>3419.05</v>
      </c>
    </row>
    <row r="908" spans="1:8" x14ac:dyDescent="0.35">
      <c r="A908">
        <v>103411099</v>
      </c>
      <c r="B908" t="s">
        <v>4076</v>
      </c>
      <c r="C908" s="2">
        <v>44749</v>
      </c>
      <c r="D908">
        <v>1271.0999999999999</v>
      </c>
      <c r="E908">
        <v>2</v>
      </c>
      <c r="F908">
        <v>1</v>
      </c>
      <c r="G908">
        <v>635.54999999999995</v>
      </c>
      <c r="H908">
        <v>1271.0999999999999</v>
      </c>
    </row>
    <row r="909" spans="1:8" x14ac:dyDescent="0.35">
      <c r="A909">
        <v>103411101</v>
      </c>
      <c r="B909" t="s">
        <v>4076</v>
      </c>
      <c r="C909" s="2">
        <v>44749</v>
      </c>
      <c r="D909">
        <v>2749</v>
      </c>
      <c r="E909">
        <v>1</v>
      </c>
      <c r="F909">
        <v>1</v>
      </c>
      <c r="G909">
        <v>2749</v>
      </c>
      <c r="H909">
        <v>2749</v>
      </c>
    </row>
    <row r="910" spans="1:8" x14ac:dyDescent="0.35">
      <c r="A910">
        <v>103411103</v>
      </c>
      <c r="B910" t="s">
        <v>4076</v>
      </c>
      <c r="C910" s="2">
        <v>44749</v>
      </c>
      <c r="D910">
        <v>1196.05</v>
      </c>
      <c r="E910">
        <v>1</v>
      </c>
      <c r="F910">
        <v>1</v>
      </c>
      <c r="G910">
        <v>1196.05</v>
      </c>
      <c r="H910">
        <v>1196.05</v>
      </c>
    </row>
    <row r="911" spans="1:8" x14ac:dyDescent="0.35">
      <c r="A911">
        <v>103411105</v>
      </c>
      <c r="B911" t="s">
        <v>4076</v>
      </c>
      <c r="C911" s="2">
        <v>44749</v>
      </c>
      <c r="D911">
        <v>1749</v>
      </c>
      <c r="E911">
        <v>1</v>
      </c>
      <c r="F911">
        <v>1</v>
      </c>
      <c r="G911">
        <v>1749</v>
      </c>
      <c r="H911">
        <v>1749</v>
      </c>
    </row>
    <row r="912" spans="1:8" x14ac:dyDescent="0.35">
      <c r="A912">
        <v>103411112</v>
      </c>
      <c r="B912" t="s">
        <v>4076</v>
      </c>
      <c r="C912" s="2">
        <v>44749</v>
      </c>
      <c r="D912">
        <v>2228.27</v>
      </c>
      <c r="E912">
        <v>1</v>
      </c>
      <c r="F912">
        <v>1</v>
      </c>
      <c r="G912">
        <v>2228.27</v>
      </c>
      <c r="H912">
        <v>2228.27</v>
      </c>
    </row>
    <row r="913" spans="1:8" x14ac:dyDescent="0.35">
      <c r="A913">
        <v>103411114</v>
      </c>
      <c r="B913" t="s">
        <v>4076</v>
      </c>
      <c r="C913" s="2">
        <v>44749</v>
      </c>
      <c r="D913">
        <v>2887.05</v>
      </c>
      <c r="E913">
        <v>1</v>
      </c>
      <c r="F913">
        <v>1</v>
      </c>
      <c r="G913">
        <v>2887.05</v>
      </c>
      <c r="H913">
        <v>2887.05</v>
      </c>
    </row>
    <row r="914" spans="1:8" x14ac:dyDescent="0.35">
      <c r="A914">
        <v>103411117</v>
      </c>
      <c r="B914" t="s">
        <v>4076</v>
      </c>
      <c r="C914" s="2">
        <v>44749</v>
      </c>
      <c r="D914">
        <v>1682.1</v>
      </c>
      <c r="E914">
        <v>1</v>
      </c>
      <c r="F914">
        <v>1</v>
      </c>
      <c r="G914">
        <v>1682.1</v>
      </c>
      <c r="H914">
        <v>1682.1</v>
      </c>
    </row>
    <row r="915" spans="1:8" x14ac:dyDescent="0.35">
      <c r="A915">
        <v>103411118</v>
      </c>
      <c r="B915" t="s">
        <v>4076</v>
      </c>
      <c r="C915" s="2">
        <v>44749</v>
      </c>
      <c r="D915">
        <v>1869</v>
      </c>
      <c r="E915">
        <v>1</v>
      </c>
      <c r="F915">
        <v>1</v>
      </c>
      <c r="G915">
        <v>1869</v>
      </c>
      <c r="H915">
        <v>1869</v>
      </c>
    </row>
    <row r="916" spans="1:8" x14ac:dyDescent="0.35">
      <c r="A916">
        <v>103411124</v>
      </c>
      <c r="B916" t="s">
        <v>4076</v>
      </c>
      <c r="C916" s="2">
        <v>44749</v>
      </c>
      <c r="D916">
        <v>635.54999999999995</v>
      </c>
      <c r="E916">
        <v>1</v>
      </c>
      <c r="F916">
        <v>1</v>
      </c>
      <c r="G916">
        <v>635.54999999999995</v>
      </c>
      <c r="H916">
        <v>635.54999999999995</v>
      </c>
    </row>
    <row r="917" spans="1:8" x14ac:dyDescent="0.35">
      <c r="A917">
        <v>103411126</v>
      </c>
      <c r="B917" t="s">
        <v>4076</v>
      </c>
      <c r="C917" s="2">
        <v>44749</v>
      </c>
      <c r="D917">
        <v>1679</v>
      </c>
      <c r="E917">
        <v>1</v>
      </c>
      <c r="F917">
        <v>1</v>
      </c>
      <c r="G917">
        <v>1679</v>
      </c>
      <c r="H917">
        <v>1679</v>
      </c>
    </row>
    <row r="918" spans="1:8" x14ac:dyDescent="0.35">
      <c r="A918">
        <v>103411132</v>
      </c>
      <c r="B918" t="s">
        <v>4076</v>
      </c>
      <c r="C918" s="2">
        <v>44749</v>
      </c>
      <c r="D918">
        <v>1025.1400000000001</v>
      </c>
      <c r="E918">
        <v>1</v>
      </c>
      <c r="F918">
        <v>1</v>
      </c>
      <c r="G918">
        <v>1025.1400000000001</v>
      </c>
      <c r="H918">
        <v>1025.1400000000001</v>
      </c>
    </row>
    <row r="919" spans="1:8" x14ac:dyDescent="0.35">
      <c r="A919">
        <v>103411137</v>
      </c>
      <c r="B919" t="s">
        <v>4076</v>
      </c>
      <c r="C919" s="2">
        <v>44749</v>
      </c>
      <c r="D919">
        <v>4439.49</v>
      </c>
      <c r="E919">
        <v>2</v>
      </c>
      <c r="F919">
        <v>1</v>
      </c>
      <c r="G919">
        <v>2219.7449999999999</v>
      </c>
      <c r="H919">
        <v>4439.49</v>
      </c>
    </row>
    <row r="920" spans="1:8" x14ac:dyDescent="0.35">
      <c r="A920">
        <v>103411138</v>
      </c>
      <c r="B920" t="s">
        <v>4076</v>
      </c>
      <c r="C920" s="2">
        <v>44749</v>
      </c>
      <c r="D920">
        <v>1899.05</v>
      </c>
      <c r="E920">
        <v>1</v>
      </c>
      <c r="F920">
        <v>1</v>
      </c>
      <c r="G920">
        <v>1899.05</v>
      </c>
      <c r="H920">
        <v>1899.05</v>
      </c>
    </row>
    <row r="921" spans="1:8" x14ac:dyDescent="0.35">
      <c r="A921">
        <v>103411140</v>
      </c>
      <c r="B921" t="s">
        <v>4076</v>
      </c>
      <c r="C921" s="2">
        <v>44749</v>
      </c>
      <c r="D921">
        <v>4321.55</v>
      </c>
      <c r="E921">
        <v>1</v>
      </c>
      <c r="F921">
        <v>1</v>
      </c>
      <c r="G921">
        <v>4321.55</v>
      </c>
      <c r="H921">
        <v>4321.55</v>
      </c>
    </row>
    <row r="922" spans="1:8" x14ac:dyDescent="0.35">
      <c r="A922">
        <v>103411142</v>
      </c>
      <c r="B922" t="s">
        <v>4076</v>
      </c>
      <c r="C922" s="2">
        <v>44749</v>
      </c>
      <c r="D922">
        <v>3656.55</v>
      </c>
      <c r="E922">
        <v>1</v>
      </c>
      <c r="F922">
        <v>1</v>
      </c>
      <c r="G922">
        <v>3656.55</v>
      </c>
      <c r="H922">
        <v>3656.55</v>
      </c>
    </row>
    <row r="923" spans="1:8" x14ac:dyDescent="0.35">
      <c r="A923">
        <v>103411143</v>
      </c>
      <c r="B923" t="s">
        <v>4076</v>
      </c>
      <c r="C923" s="2">
        <v>44749</v>
      </c>
      <c r="D923">
        <v>1076.44</v>
      </c>
      <c r="E923">
        <v>1</v>
      </c>
      <c r="F923">
        <v>1</v>
      </c>
      <c r="G923">
        <v>1076.44</v>
      </c>
      <c r="H923">
        <v>1076.44</v>
      </c>
    </row>
    <row r="924" spans="1:8" x14ac:dyDescent="0.35">
      <c r="A924">
        <v>103411144</v>
      </c>
      <c r="B924" t="s">
        <v>4076</v>
      </c>
      <c r="C924" s="2">
        <v>44749</v>
      </c>
      <c r="D924">
        <v>6345</v>
      </c>
      <c r="E924">
        <v>5</v>
      </c>
      <c r="F924">
        <v>1</v>
      </c>
      <c r="G924">
        <v>1269</v>
      </c>
      <c r="H924">
        <v>6345</v>
      </c>
    </row>
    <row r="925" spans="1:8" x14ac:dyDescent="0.35">
      <c r="A925">
        <v>103411146</v>
      </c>
      <c r="B925" t="s">
        <v>4076</v>
      </c>
      <c r="C925" s="2">
        <v>44749</v>
      </c>
      <c r="D925">
        <v>2374.0500000000002</v>
      </c>
      <c r="E925">
        <v>1</v>
      </c>
      <c r="F925">
        <v>1</v>
      </c>
      <c r="G925">
        <v>2374.0500000000002</v>
      </c>
      <c r="H925">
        <v>2374.0500000000002</v>
      </c>
    </row>
    <row r="926" spans="1:8" x14ac:dyDescent="0.35">
      <c r="A926">
        <v>103411150</v>
      </c>
      <c r="B926" t="s">
        <v>4076</v>
      </c>
      <c r="C926" s="2">
        <v>44749</v>
      </c>
      <c r="D926">
        <v>806.55</v>
      </c>
      <c r="E926">
        <v>1</v>
      </c>
      <c r="F926">
        <v>1</v>
      </c>
      <c r="G926">
        <v>806.55</v>
      </c>
      <c r="H926">
        <v>806.55</v>
      </c>
    </row>
    <row r="927" spans="1:8" x14ac:dyDescent="0.35">
      <c r="A927">
        <v>103411155</v>
      </c>
      <c r="B927" t="s">
        <v>4076</v>
      </c>
      <c r="C927" s="2">
        <v>44749</v>
      </c>
      <c r="D927">
        <v>389</v>
      </c>
      <c r="E927">
        <v>1</v>
      </c>
      <c r="F927">
        <v>1</v>
      </c>
      <c r="G927">
        <v>389</v>
      </c>
      <c r="H927">
        <v>389</v>
      </c>
    </row>
    <row r="928" spans="1:8" x14ac:dyDescent="0.35">
      <c r="A928">
        <v>103411156</v>
      </c>
      <c r="B928" t="s">
        <v>4076</v>
      </c>
      <c r="C928" s="2">
        <v>44749</v>
      </c>
      <c r="D928">
        <v>5199</v>
      </c>
      <c r="E928">
        <v>1</v>
      </c>
      <c r="F928">
        <v>1</v>
      </c>
      <c r="G928">
        <v>5199</v>
      </c>
      <c r="H928">
        <v>5199</v>
      </c>
    </row>
    <row r="929" spans="1:8" x14ac:dyDescent="0.35">
      <c r="A929">
        <v>103411161</v>
      </c>
      <c r="B929" t="s">
        <v>4076</v>
      </c>
      <c r="C929" s="2">
        <v>44749</v>
      </c>
      <c r="D929">
        <v>6839.05</v>
      </c>
      <c r="E929">
        <v>1</v>
      </c>
      <c r="F929">
        <v>1</v>
      </c>
      <c r="G929">
        <v>6839.05</v>
      </c>
      <c r="H929">
        <v>6839.05</v>
      </c>
    </row>
    <row r="930" spans="1:8" x14ac:dyDescent="0.35">
      <c r="A930">
        <v>103411169</v>
      </c>
      <c r="B930" t="s">
        <v>4076</v>
      </c>
      <c r="C930" s="2">
        <v>44749</v>
      </c>
      <c r="D930">
        <v>806.55</v>
      </c>
      <c r="E930">
        <v>1</v>
      </c>
      <c r="F930">
        <v>1</v>
      </c>
      <c r="G930">
        <v>806.55</v>
      </c>
      <c r="H930">
        <v>806.55</v>
      </c>
    </row>
    <row r="931" spans="1:8" x14ac:dyDescent="0.35">
      <c r="A931">
        <v>103411174</v>
      </c>
      <c r="B931" t="s">
        <v>4076</v>
      </c>
      <c r="C931" s="2">
        <v>44749</v>
      </c>
      <c r="D931">
        <v>1063.05</v>
      </c>
      <c r="E931">
        <v>1</v>
      </c>
      <c r="F931">
        <v>1</v>
      </c>
      <c r="G931">
        <v>1063.05</v>
      </c>
      <c r="H931">
        <v>1063.05</v>
      </c>
    </row>
    <row r="932" spans="1:8" x14ac:dyDescent="0.35">
      <c r="A932">
        <v>103411177</v>
      </c>
      <c r="B932" t="s">
        <v>4076</v>
      </c>
      <c r="C932" s="2">
        <v>44749</v>
      </c>
      <c r="D932">
        <v>3599</v>
      </c>
      <c r="E932">
        <v>1</v>
      </c>
      <c r="F932">
        <v>1</v>
      </c>
      <c r="G932">
        <v>3599</v>
      </c>
      <c r="H932">
        <v>3599</v>
      </c>
    </row>
    <row r="933" spans="1:8" x14ac:dyDescent="0.35">
      <c r="A933">
        <v>103411179</v>
      </c>
      <c r="B933" t="s">
        <v>4076</v>
      </c>
      <c r="C933" s="2">
        <v>44749</v>
      </c>
      <c r="D933">
        <v>4143.33</v>
      </c>
      <c r="E933">
        <v>4</v>
      </c>
      <c r="F933">
        <v>1</v>
      </c>
      <c r="G933">
        <v>1035.8325</v>
      </c>
      <c r="H933">
        <v>4143.33</v>
      </c>
    </row>
    <row r="934" spans="1:8" x14ac:dyDescent="0.35">
      <c r="A934">
        <v>103411186</v>
      </c>
      <c r="B934" t="s">
        <v>4076</v>
      </c>
      <c r="C934" s="2">
        <v>44749</v>
      </c>
      <c r="D934">
        <v>1851.55</v>
      </c>
      <c r="E934">
        <v>1</v>
      </c>
      <c r="F934">
        <v>1</v>
      </c>
      <c r="G934">
        <v>1851.55</v>
      </c>
      <c r="H934">
        <v>1851.55</v>
      </c>
    </row>
    <row r="935" spans="1:8" x14ac:dyDescent="0.35">
      <c r="A935">
        <v>103411187</v>
      </c>
      <c r="B935" t="s">
        <v>4076</v>
      </c>
      <c r="C935" s="2">
        <v>44749</v>
      </c>
      <c r="D935">
        <v>1999</v>
      </c>
      <c r="E935">
        <v>1</v>
      </c>
      <c r="F935">
        <v>1</v>
      </c>
      <c r="G935">
        <v>1999</v>
      </c>
      <c r="H935">
        <v>1999</v>
      </c>
    </row>
    <row r="936" spans="1:8" x14ac:dyDescent="0.35">
      <c r="A936">
        <v>103411188</v>
      </c>
      <c r="B936" t="s">
        <v>4076</v>
      </c>
      <c r="C936" s="2">
        <v>44749</v>
      </c>
      <c r="D936">
        <v>350.55</v>
      </c>
      <c r="E936">
        <v>1</v>
      </c>
      <c r="F936">
        <v>1</v>
      </c>
      <c r="G936">
        <v>350.55</v>
      </c>
      <c r="H936">
        <v>350.55</v>
      </c>
    </row>
    <row r="937" spans="1:8" x14ac:dyDescent="0.35">
      <c r="A937">
        <v>103411192</v>
      </c>
      <c r="B937" t="s">
        <v>4076</v>
      </c>
      <c r="C937" s="2">
        <v>44749</v>
      </c>
      <c r="D937">
        <v>9598</v>
      </c>
      <c r="E937">
        <v>2</v>
      </c>
      <c r="F937">
        <v>1</v>
      </c>
      <c r="G937">
        <v>4799</v>
      </c>
      <c r="H937">
        <v>9598</v>
      </c>
    </row>
    <row r="938" spans="1:8" x14ac:dyDescent="0.35">
      <c r="A938">
        <v>103411205</v>
      </c>
      <c r="B938" t="s">
        <v>4076</v>
      </c>
      <c r="C938" s="2">
        <v>44749</v>
      </c>
      <c r="D938">
        <v>3373.5</v>
      </c>
      <c r="E938">
        <v>2</v>
      </c>
      <c r="F938">
        <v>1</v>
      </c>
      <c r="G938">
        <v>1686.75</v>
      </c>
      <c r="H938">
        <v>3373.5</v>
      </c>
    </row>
    <row r="939" spans="1:8" x14ac:dyDescent="0.35">
      <c r="A939">
        <v>103411207</v>
      </c>
      <c r="B939" t="s">
        <v>4076</v>
      </c>
      <c r="C939" s="2">
        <v>44749</v>
      </c>
      <c r="D939">
        <v>1063.05</v>
      </c>
      <c r="E939">
        <v>1</v>
      </c>
      <c r="F939">
        <v>1</v>
      </c>
      <c r="G939">
        <v>1063.05</v>
      </c>
      <c r="H939">
        <v>1063.05</v>
      </c>
    </row>
    <row r="940" spans="1:8" x14ac:dyDescent="0.35">
      <c r="A940">
        <v>103411210</v>
      </c>
      <c r="B940" t="s">
        <v>4076</v>
      </c>
      <c r="C940" s="2">
        <v>44749</v>
      </c>
      <c r="D940">
        <v>709</v>
      </c>
      <c r="E940">
        <v>1</v>
      </c>
      <c r="F940">
        <v>1</v>
      </c>
      <c r="G940">
        <v>709</v>
      </c>
      <c r="H940">
        <v>709</v>
      </c>
    </row>
    <row r="941" spans="1:8" x14ac:dyDescent="0.35">
      <c r="A941">
        <v>103411211</v>
      </c>
      <c r="B941" t="s">
        <v>4076</v>
      </c>
      <c r="C941" s="2">
        <v>44749</v>
      </c>
      <c r="D941">
        <v>3299</v>
      </c>
      <c r="E941">
        <v>1</v>
      </c>
      <c r="F941">
        <v>1</v>
      </c>
      <c r="G941">
        <v>3299</v>
      </c>
      <c r="H941">
        <v>3299</v>
      </c>
    </row>
    <row r="942" spans="1:8" x14ac:dyDescent="0.35">
      <c r="A942">
        <v>103411218</v>
      </c>
      <c r="B942" t="s">
        <v>4076</v>
      </c>
      <c r="C942" s="2">
        <v>44749</v>
      </c>
      <c r="D942">
        <v>499</v>
      </c>
      <c r="E942">
        <v>1</v>
      </c>
      <c r="F942">
        <v>1</v>
      </c>
      <c r="G942">
        <v>499</v>
      </c>
      <c r="H942">
        <v>499</v>
      </c>
    </row>
    <row r="943" spans="1:8" x14ac:dyDescent="0.35">
      <c r="A943">
        <v>103411219</v>
      </c>
      <c r="B943" t="s">
        <v>4076</v>
      </c>
      <c r="C943" s="2">
        <v>44749</v>
      </c>
      <c r="D943">
        <v>439</v>
      </c>
      <c r="E943">
        <v>1</v>
      </c>
      <c r="F943">
        <v>1</v>
      </c>
      <c r="G943">
        <v>439</v>
      </c>
      <c r="H943">
        <v>439</v>
      </c>
    </row>
    <row r="944" spans="1:8" x14ac:dyDescent="0.35">
      <c r="A944">
        <v>103411226</v>
      </c>
      <c r="B944" t="s">
        <v>4076</v>
      </c>
      <c r="C944" s="2">
        <v>44749</v>
      </c>
      <c r="D944">
        <v>899</v>
      </c>
      <c r="E944">
        <v>1</v>
      </c>
      <c r="F944">
        <v>1</v>
      </c>
      <c r="G944">
        <v>899</v>
      </c>
      <c r="H944">
        <v>899</v>
      </c>
    </row>
    <row r="945" spans="1:8" x14ac:dyDescent="0.35">
      <c r="A945">
        <v>103411232</v>
      </c>
      <c r="B945" t="s">
        <v>4076</v>
      </c>
      <c r="C945" s="2">
        <v>44749</v>
      </c>
      <c r="D945">
        <v>2919</v>
      </c>
      <c r="E945">
        <v>1</v>
      </c>
      <c r="F945">
        <v>1</v>
      </c>
      <c r="G945">
        <v>2919</v>
      </c>
      <c r="H945">
        <v>2919</v>
      </c>
    </row>
    <row r="946" spans="1:8" x14ac:dyDescent="0.35">
      <c r="A946">
        <v>103411235</v>
      </c>
      <c r="B946" t="s">
        <v>4076</v>
      </c>
      <c r="C946" s="2">
        <v>44749</v>
      </c>
      <c r="D946">
        <v>1110.55</v>
      </c>
      <c r="E946">
        <v>1</v>
      </c>
      <c r="F946">
        <v>1</v>
      </c>
      <c r="G946">
        <v>1110.55</v>
      </c>
      <c r="H946">
        <v>1110.55</v>
      </c>
    </row>
    <row r="947" spans="1:8" x14ac:dyDescent="0.35">
      <c r="A947">
        <v>103411239</v>
      </c>
      <c r="B947" t="s">
        <v>4076</v>
      </c>
      <c r="C947" s="2">
        <v>44749</v>
      </c>
      <c r="D947">
        <v>1899.05</v>
      </c>
      <c r="E947">
        <v>1</v>
      </c>
      <c r="F947">
        <v>1</v>
      </c>
      <c r="G947">
        <v>1899.05</v>
      </c>
      <c r="H947">
        <v>1899.05</v>
      </c>
    </row>
    <row r="948" spans="1:8" x14ac:dyDescent="0.35">
      <c r="A948">
        <v>103411248</v>
      </c>
      <c r="B948" t="s">
        <v>4076</v>
      </c>
      <c r="C948" s="2">
        <v>44749</v>
      </c>
      <c r="D948">
        <v>1063.05</v>
      </c>
      <c r="E948">
        <v>1</v>
      </c>
      <c r="F948">
        <v>1</v>
      </c>
      <c r="G948">
        <v>1063.05</v>
      </c>
      <c r="H948">
        <v>1063.05</v>
      </c>
    </row>
    <row r="949" spans="1:8" x14ac:dyDescent="0.35">
      <c r="A949">
        <v>103411254</v>
      </c>
      <c r="B949" t="s">
        <v>4076</v>
      </c>
      <c r="C949" s="2">
        <v>44749</v>
      </c>
      <c r="D949">
        <v>1310.05</v>
      </c>
      <c r="E949">
        <v>1</v>
      </c>
      <c r="F949">
        <v>1</v>
      </c>
      <c r="G949">
        <v>1310.05</v>
      </c>
      <c r="H949">
        <v>1310.05</v>
      </c>
    </row>
    <row r="950" spans="1:8" x14ac:dyDescent="0.35">
      <c r="A950">
        <v>103411259</v>
      </c>
      <c r="B950" t="s">
        <v>4076</v>
      </c>
      <c r="C950" s="2">
        <v>44749</v>
      </c>
      <c r="D950">
        <v>1749</v>
      </c>
      <c r="E950">
        <v>1</v>
      </c>
      <c r="F950">
        <v>1</v>
      </c>
      <c r="G950">
        <v>1749</v>
      </c>
      <c r="H950">
        <v>1749</v>
      </c>
    </row>
    <row r="951" spans="1:8" x14ac:dyDescent="0.35">
      <c r="A951">
        <v>103411265</v>
      </c>
      <c r="B951" t="s">
        <v>4076</v>
      </c>
      <c r="C951" s="2">
        <v>44749</v>
      </c>
      <c r="D951">
        <v>489</v>
      </c>
      <c r="E951">
        <v>1</v>
      </c>
      <c r="F951">
        <v>1</v>
      </c>
      <c r="G951">
        <v>489</v>
      </c>
      <c r="H951">
        <v>489</v>
      </c>
    </row>
    <row r="952" spans="1:8" x14ac:dyDescent="0.35">
      <c r="A952">
        <v>103411266</v>
      </c>
      <c r="B952" t="s">
        <v>4076</v>
      </c>
      <c r="C952" s="2">
        <v>44749</v>
      </c>
      <c r="D952">
        <v>3051.49</v>
      </c>
      <c r="E952">
        <v>1</v>
      </c>
      <c r="F952">
        <v>1</v>
      </c>
      <c r="G952">
        <v>3051.49</v>
      </c>
      <c r="H952">
        <v>3051.49</v>
      </c>
    </row>
    <row r="953" spans="1:8" x14ac:dyDescent="0.35">
      <c r="A953">
        <v>103411270</v>
      </c>
      <c r="B953" t="s">
        <v>4076</v>
      </c>
      <c r="C953" s="2">
        <v>44749</v>
      </c>
      <c r="D953">
        <v>616.54999999999995</v>
      </c>
      <c r="E953">
        <v>1</v>
      </c>
      <c r="F953">
        <v>1</v>
      </c>
      <c r="G953">
        <v>616.54999999999995</v>
      </c>
      <c r="H953">
        <v>616.54999999999995</v>
      </c>
    </row>
    <row r="954" spans="1:8" x14ac:dyDescent="0.35">
      <c r="A954">
        <v>103411272</v>
      </c>
      <c r="B954" t="s">
        <v>4076</v>
      </c>
      <c r="C954" s="2">
        <v>44749</v>
      </c>
      <c r="D954">
        <v>1249</v>
      </c>
      <c r="E954">
        <v>1</v>
      </c>
      <c r="F954">
        <v>1</v>
      </c>
      <c r="G954">
        <v>1249</v>
      </c>
      <c r="H954">
        <v>1249</v>
      </c>
    </row>
    <row r="955" spans="1:8" x14ac:dyDescent="0.35">
      <c r="A955">
        <v>103411274</v>
      </c>
      <c r="B955" t="s">
        <v>4076</v>
      </c>
      <c r="C955" s="2">
        <v>44749</v>
      </c>
      <c r="D955">
        <v>5849</v>
      </c>
      <c r="E955">
        <v>1</v>
      </c>
      <c r="F955">
        <v>1</v>
      </c>
      <c r="G955">
        <v>5849</v>
      </c>
      <c r="H955">
        <v>5849</v>
      </c>
    </row>
    <row r="956" spans="1:8" x14ac:dyDescent="0.35">
      <c r="A956">
        <v>103411281</v>
      </c>
      <c r="B956" t="s">
        <v>4076</v>
      </c>
      <c r="C956" s="2">
        <v>44749</v>
      </c>
      <c r="D956">
        <v>2468.1</v>
      </c>
      <c r="E956">
        <v>2</v>
      </c>
      <c r="F956">
        <v>1</v>
      </c>
      <c r="G956">
        <v>1234.05</v>
      </c>
      <c r="H956">
        <v>2468.1</v>
      </c>
    </row>
    <row r="957" spans="1:8" x14ac:dyDescent="0.35">
      <c r="A957">
        <v>103411292</v>
      </c>
      <c r="B957" t="s">
        <v>4076</v>
      </c>
      <c r="C957" s="2">
        <v>44749</v>
      </c>
      <c r="D957">
        <v>6839.14</v>
      </c>
      <c r="E957">
        <v>1</v>
      </c>
      <c r="F957">
        <v>1</v>
      </c>
      <c r="G957">
        <v>6839.14</v>
      </c>
      <c r="H957">
        <v>6839.14</v>
      </c>
    </row>
    <row r="958" spans="1:8" x14ac:dyDescent="0.35">
      <c r="A958">
        <v>103411295</v>
      </c>
      <c r="B958" t="s">
        <v>4076</v>
      </c>
      <c r="C958" s="2">
        <v>44749</v>
      </c>
      <c r="D958">
        <v>439</v>
      </c>
      <c r="E958">
        <v>1</v>
      </c>
      <c r="F958">
        <v>1</v>
      </c>
      <c r="G958">
        <v>439</v>
      </c>
      <c r="H958">
        <v>439</v>
      </c>
    </row>
    <row r="959" spans="1:8" x14ac:dyDescent="0.35">
      <c r="A959">
        <v>103411301</v>
      </c>
      <c r="B959" t="s">
        <v>4076</v>
      </c>
      <c r="C959" s="2">
        <v>44749</v>
      </c>
      <c r="D959">
        <v>1337.6</v>
      </c>
      <c r="E959">
        <v>2</v>
      </c>
      <c r="F959">
        <v>1</v>
      </c>
      <c r="G959">
        <v>668.8</v>
      </c>
      <c r="H959">
        <v>1337.6</v>
      </c>
    </row>
    <row r="960" spans="1:8" x14ac:dyDescent="0.35">
      <c r="A960">
        <v>103411306</v>
      </c>
      <c r="B960" t="s">
        <v>4076</v>
      </c>
      <c r="C960" s="2">
        <v>44749</v>
      </c>
      <c r="D960">
        <v>3499</v>
      </c>
      <c r="E960">
        <v>1</v>
      </c>
      <c r="F960">
        <v>1</v>
      </c>
      <c r="G960">
        <v>3499</v>
      </c>
      <c r="H960">
        <v>3499</v>
      </c>
    </row>
    <row r="961" spans="1:8" x14ac:dyDescent="0.35">
      <c r="A961">
        <v>103411308</v>
      </c>
      <c r="B961" t="s">
        <v>4076</v>
      </c>
      <c r="C961" s="2">
        <v>44749</v>
      </c>
      <c r="D961">
        <v>779</v>
      </c>
      <c r="E961">
        <v>1</v>
      </c>
      <c r="F961">
        <v>1</v>
      </c>
      <c r="G961">
        <v>779</v>
      </c>
      <c r="H961">
        <v>779</v>
      </c>
    </row>
    <row r="962" spans="1:8" x14ac:dyDescent="0.35">
      <c r="A962">
        <v>103411309</v>
      </c>
      <c r="B962" t="s">
        <v>4076</v>
      </c>
      <c r="C962" s="2">
        <v>44749</v>
      </c>
      <c r="D962">
        <v>3849</v>
      </c>
      <c r="E962">
        <v>1</v>
      </c>
      <c r="F962">
        <v>1</v>
      </c>
      <c r="G962">
        <v>3849</v>
      </c>
      <c r="H962">
        <v>3849</v>
      </c>
    </row>
    <row r="963" spans="1:8" x14ac:dyDescent="0.35">
      <c r="A963">
        <v>103411312</v>
      </c>
      <c r="B963" t="s">
        <v>4076</v>
      </c>
      <c r="C963" s="2">
        <v>44749</v>
      </c>
      <c r="D963">
        <v>2165.1</v>
      </c>
      <c r="E963">
        <v>1</v>
      </c>
      <c r="F963">
        <v>1</v>
      </c>
      <c r="G963">
        <v>2165.1</v>
      </c>
      <c r="H963">
        <v>2165.1</v>
      </c>
    </row>
    <row r="964" spans="1:8" x14ac:dyDescent="0.35">
      <c r="A964">
        <v>103411315</v>
      </c>
      <c r="B964" t="s">
        <v>4076</v>
      </c>
      <c r="C964" s="2">
        <v>44749</v>
      </c>
      <c r="D964">
        <v>1938</v>
      </c>
      <c r="E964">
        <v>2</v>
      </c>
      <c r="F964">
        <v>1</v>
      </c>
      <c r="G964">
        <v>969</v>
      </c>
      <c r="H964">
        <v>1938</v>
      </c>
    </row>
    <row r="965" spans="1:8" x14ac:dyDescent="0.35">
      <c r="A965">
        <v>103411320</v>
      </c>
      <c r="B965" t="s">
        <v>4076</v>
      </c>
      <c r="C965" s="2">
        <v>44749</v>
      </c>
      <c r="D965">
        <v>4231.3900000000003</v>
      </c>
      <c r="E965">
        <v>1</v>
      </c>
      <c r="F965">
        <v>1</v>
      </c>
      <c r="G965">
        <v>4231.3900000000003</v>
      </c>
      <c r="H965">
        <v>4231.3900000000003</v>
      </c>
    </row>
    <row r="966" spans="1:8" x14ac:dyDescent="0.35">
      <c r="A966">
        <v>103411325</v>
      </c>
      <c r="B966" t="s">
        <v>4076</v>
      </c>
      <c r="C966" s="2">
        <v>44749</v>
      </c>
      <c r="D966">
        <v>8334.53999999999</v>
      </c>
      <c r="E966">
        <v>2</v>
      </c>
      <c r="F966">
        <v>1</v>
      </c>
      <c r="G966">
        <v>4167.2699999999904</v>
      </c>
      <c r="H966">
        <v>8334.53999999999</v>
      </c>
    </row>
    <row r="967" spans="1:8" x14ac:dyDescent="0.35">
      <c r="A967">
        <v>103411326</v>
      </c>
      <c r="B967" t="s">
        <v>4076</v>
      </c>
      <c r="C967" s="2">
        <v>44749</v>
      </c>
      <c r="D967">
        <v>2999</v>
      </c>
      <c r="E967">
        <v>1</v>
      </c>
      <c r="F967">
        <v>1</v>
      </c>
      <c r="G967">
        <v>2999</v>
      </c>
      <c r="H967">
        <v>2999</v>
      </c>
    </row>
    <row r="968" spans="1:8" x14ac:dyDescent="0.35">
      <c r="A968">
        <v>103411327</v>
      </c>
      <c r="B968" t="s">
        <v>4076</v>
      </c>
      <c r="C968" s="2">
        <v>44749</v>
      </c>
      <c r="D968">
        <v>2773.05</v>
      </c>
      <c r="E968">
        <v>1</v>
      </c>
      <c r="F968">
        <v>1</v>
      </c>
      <c r="G968">
        <v>2773.05</v>
      </c>
      <c r="H968">
        <v>2773.05</v>
      </c>
    </row>
    <row r="969" spans="1:8" x14ac:dyDescent="0.35">
      <c r="A969">
        <v>103411340</v>
      </c>
      <c r="B969" t="s">
        <v>4076</v>
      </c>
      <c r="C969" s="2">
        <v>44749</v>
      </c>
      <c r="D969">
        <v>1577.57</v>
      </c>
      <c r="E969">
        <v>2</v>
      </c>
      <c r="F969">
        <v>1</v>
      </c>
      <c r="G969">
        <v>788.78499999999997</v>
      </c>
      <c r="H969">
        <v>1577.57</v>
      </c>
    </row>
    <row r="970" spans="1:8" x14ac:dyDescent="0.35">
      <c r="A970">
        <v>103411354</v>
      </c>
      <c r="B970" t="s">
        <v>4076</v>
      </c>
      <c r="C970" s="2">
        <v>44749</v>
      </c>
      <c r="D970">
        <v>4899</v>
      </c>
      <c r="E970">
        <v>1</v>
      </c>
      <c r="F970">
        <v>1</v>
      </c>
      <c r="G970">
        <v>4899</v>
      </c>
      <c r="H970">
        <v>4899</v>
      </c>
    </row>
    <row r="971" spans="1:8" x14ac:dyDescent="0.35">
      <c r="A971">
        <v>103411357</v>
      </c>
      <c r="B971" t="s">
        <v>4076</v>
      </c>
      <c r="C971" s="2">
        <v>44749</v>
      </c>
      <c r="D971">
        <v>3086.55</v>
      </c>
      <c r="E971">
        <v>1</v>
      </c>
      <c r="F971">
        <v>1</v>
      </c>
      <c r="G971">
        <v>3086.55</v>
      </c>
      <c r="H971">
        <v>3086.55</v>
      </c>
    </row>
    <row r="972" spans="1:8" x14ac:dyDescent="0.35">
      <c r="A972">
        <v>103411358</v>
      </c>
      <c r="B972" t="s">
        <v>4076</v>
      </c>
      <c r="C972" s="2">
        <v>44749</v>
      </c>
      <c r="D972">
        <v>1499</v>
      </c>
      <c r="E972">
        <v>1</v>
      </c>
      <c r="F972">
        <v>1</v>
      </c>
      <c r="G972">
        <v>1499</v>
      </c>
      <c r="H972">
        <v>1499</v>
      </c>
    </row>
    <row r="973" spans="1:8" x14ac:dyDescent="0.35">
      <c r="A973">
        <v>103411360</v>
      </c>
      <c r="B973" t="s">
        <v>4076</v>
      </c>
      <c r="C973" s="2">
        <v>44749</v>
      </c>
      <c r="D973">
        <v>4749.05</v>
      </c>
      <c r="E973">
        <v>1</v>
      </c>
      <c r="F973">
        <v>1</v>
      </c>
      <c r="G973">
        <v>4749.05</v>
      </c>
      <c r="H973">
        <v>4749.05</v>
      </c>
    </row>
    <row r="974" spans="1:8" x14ac:dyDescent="0.35">
      <c r="A974">
        <v>103411364</v>
      </c>
      <c r="B974" t="s">
        <v>4076</v>
      </c>
      <c r="C974" s="2">
        <v>44749</v>
      </c>
      <c r="D974">
        <v>1139.05</v>
      </c>
      <c r="E974">
        <v>1</v>
      </c>
      <c r="F974">
        <v>1</v>
      </c>
      <c r="G974">
        <v>1139.05</v>
      </c>
      <c r="H974">
        <v>1139.05</v>
      </c>
    </row>
    <row r="975" spans="1:8" x14ac:dyDescent="0.35">
      <c r="A975">
        <v>103411365</v>
      </c>
      <c r="B975" t="s">
        <v>4076</v>
      </c>
      <c r="C975" s="2">
        <v>44749</v>
      </c>
      <c r="D975">
        <v>1749</v>
      </c>
      <c r="E975">
        <v>1</v>
      </c>
      <c r="F975">
        <v>1</v>
      </c>
      <c r="G975">
        <v>1749</v>
      </c>
      <c r="H975">
        <v>1749</v>
      </c>
    </row>
    <row r="976" spans="1:8" x14ac:dyDescent="0.35">
      <c r="A976">
        <v>103411373</v>
      </c>
      <c r="B976" t="s">
        <v>4076</v>
      </c>
      <c r="C976" s="2">
        <v>44749</v>
      </c>
      <c r="D976">
        <v>1511.6399999999901</v>
      </c>
      <c r="E976">
        <v>2</v>
      </c>
      <c r="F976">
        <v>1</v>
      </c>
      <c r="G976">
        <v>755.81999999999903</v>
      </c>
      <c r="H976">
        <v>1511.6399999999901</v>
      </c>
    </row>
    <row r="977" spans="1:8" x14ac:dyDescent="0.35">
      <c r="A977">
        <v>103411377</v>
      </c>
      <c r="B977" t="s">
        <v>4076</v>
      </c>
      <c r="C977" s="2">
        <v>44749</v>
      </c>
      <c r="D977">
        <v>1110.55</v>
      </c>
      <c r="E977">
        <v>1</v>
      </c>
      <c r="F977">
        <v>1</v>
      </c>
      <c r="G977">
        <v>1110.55</v>
      </c>
      <c r="H977">
        <v>1110.55</v>
      </c>
    </row>
    <row r="978" spans="1:8" x14ac:dyDescent="0.35">
      <c r="A978">
        <v>103411379</v>
      </c>
      <c r="B978" t="s">
        <v>4076</v>
      </c>
      <c r="C978" s="2">
        <v>44749</v>
      </c>
      <c r="D978">
        <v>7599.05</v>
      </c>
      <c r="E978">
        <v>1</v>
      </c>
      <c r="F978">
        <v>1</v>
      </c>
      <c r="G978">
        <v>7599.05</v>
      </c>
      <c r="H978">
        <v>7599.05</v>
      </c>
    </row>
    <row r="979" spans="1:8" x14ac:dyDescent="0.35">
      <c r="A979">
        <v>103411380</v>
      </c>
      <c r="B979" t="s">
        <v>4076</v>
      </c>
      <c r="C979" s="2">
        <v>44749</v>
      </c>
      <c r="D979">
        <v>2849.05</v>
      </c>
      <c r="E979">
        <v>1</v>
      </c>
      <c r="F979">
        <v>1</v>
      </c>
      <c r="G979">
        <v>2849.05</v>
      </c>
      <c r="H979">
        <v>2849.05</v>
      </c>
    </row>
    <row r="980" spans="1:8" x14ac:dyDescent="0.35">
      <c r="A980">
        <v>103411382</v>
      </c>
      <c r="B980" t="s">
        <v>4076</v>
      </c>
      <c r="C980" s="2">
        <v>44749</v>
      </c>
      <c r="D980">
        <v>3317</v>
      </c>
      <c r="E980">
        <v>3</v>
      </c>
      <c r="F980">
        <v>1</v>
      </c>
      <c r="G980">
        <v>1105.6666666666599</v>
      </c>
      <c r="H980">
        <v>3317</v>
      </c>
    </row>
    <row r="981" spans="1:8" x14ac:dyDescent="0.35">
      <c r="A981">
        <v>103411466</v>
      </c>
      <c r="B981" t="s">
        <v>4076</v>
      </c>
      <c r="C981" s="2">
        <v>44749</v>
      </c>
      <c r="D981">
        <v>2480.9699999999998</v>
      </c>
      <c r="E981">
        <v>1</v>
      </c>
      <c r="F981">
        <v>1</v>
      </c>
      <c r="G981">
        <v>2480.9699999999998</v>
      </c>
      <c r="H981">
        <v>2480.9699999999998</v>
      </c>
    </row>
    <row r="982" spans="1:8" x14ac:dyDescent="0.35">
      <c r="A982">
        <v>103411476</v>
      </c>
      <c r="B982" t="s">
        <v>4076</v>
      </c>
      <c r="C982" s="2">
        <v>44749</v>
      </c>
      <c r="D982">
        <v>1999</v>
      </c>
      <c r="E982">
        <v>1</v>
      </c>
      <c r="F982">
        <v>1</v>
      </c>
      <c r="G982">
        <v>1999</v>
      </c>
      <c r="H982">
        <v>1999</v>
      </c>
    </row>
    <row r="983" spans="1:8" x14ac:dyDescent="0.35">
      <c r="A983">
        <v>103411477</v>
      </c>
      <c r="B983" t="s">
        <v>4076</v>
      </c>
      <c r="C983" s="2">
        <v>44749</v>
      </c>
      <c r="D983">
        <v>7199</v>
      </c>
      <c r="E983">
        <v>1</v>
      </c>
      <c r="F983">
        <v>1</v>
      </c>
      <c r="G983">
        <v>7199</v>
      </c>
      <c r="H983">
        <v>7199</v>
      </c>
    </row>
    <row r="984" spans="1:8" x14ac:dyDescent="0.35">
      <c r="A984">
        <v>103411481</v>
      </c>
      <c r="B984" t="s">
        <v>4076</v>
      </c>
      <c r="C984" s="2">
        <v>44749</v>
      </c>
      <c r="D984">
        <v>2279.0500000000002</v>
      </c>
      <c r="E984">
        <v>1</v>
      </c>
      <c r="F984">
        <v>1</v>
      </c>
      <c r="G984">
        <v>2279.0500000000002</v>
      </c>
      <c r="H984">
        <v>2279.0500000000002</v>
      </c>
    </row>
    <row r="985" spans="1:8" x14ac:dyDescent="0.35">
      <c r="A985">
        <v>103411484</v>
      </c>
      <c r="B985" t="s">
        <v>4076</v>
      </c>
      <c r="C985" s="2">
        <v>44749</v>
      </c>
      <c r="D985">
        <v>2019</v>
      </c>
      <c r="E985">
        <v>1</v>
      </c>
      <c r="F985">
        <v>1</v>
      </c>
      <c r="G985">
        <v>2019</v>
      </c>
      <c r="H985">
        <v>2019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saket_raw_data</vt:lpstr>
      <vt:lpstr>Cleaned_SFCC</vt:lpstr>
      <vt:lpstr>Database</vt:lpstr>
      <vt:lpstr>SFCC+DB</vt:lpstr>
      <vt:lpstr>DB+SFCC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saket.narayane@puma.com</dc:creator>
  <cp:lastModifiedBy>Narayane, Saket</cp:lastModifiedBy>
  <dcterms:created xsi:type="dcterms:W3CDTF">2022-06-01T16:26:38Z</dcterms:created>
  <dcterms:modified xsi:type="dcterms:W3CDTF">2022-07-07T10:08:14Z</dcterms:modified>
</cp:coreProperties>
</file>